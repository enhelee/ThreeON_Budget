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AI\예산예측프로그램\양식\표준화\"/>
    </mc:Choice>
  </mc:AlternateContent>
  <bookViews>
    <workbookView xWindow="0" yWindow="0" windowWidth="20520" windowHeight="9278" tabRatio="1000"/>
  </bookViews>
  <sheets>
    <sheet name="총괄표" sheetId="35" r:id="rId1"/>
    <sheet name="26년" sheetId="57" r:id="rId2"/>
    <sheet name="27년" sheetId="58" r:id="rId3"/>
    <sheet name="28년" sheetId="59" r:id="rId4"/>
    <sheet name="29년" sheetId="60" r:id="rId5"/>
    <sheet name="30년" sheetId="61" r:id="rId6"/>
    <sheet name="31년" sheetId="62" r:id="rId7"/>
    <sheet name="32년" sheetId="63" r:id="rId8"/>
    <sheet name="33년" sheetId="64" r:id="rId9"/>
    <sheet name="34년" sheetId="70" r:id="rId10"/>
    <sheet name="35년" sheetId="71" r:id="rId11"/>
    <sheet name="동탄" sheetId="9" r:id="rId12"/>
    <sheet name="화성" sheetId="4" r:id="rId13"/>
    <sheet name="파주" sheetId="6" r:id="rId14"/>
    <sheet name="광교" sheetId="8" r:id="rId15"/>
    <sheet name="판교" sheetId="7" r:id="rId16"/>
    <sheet name="삼송" sheetId="11" r:id="rId17"/>
    <sheet name="양산" sheetId="22" r:id="rId18"/>
    <sheet name="대구" sheetId="12" r:id="rId19"/>
    <sheet name="청주" sheetId="13" r:id="rId20"/>
    <sheet name="수원" sheetId="16" r:id="rId21"/>
    <sheet name="광주전남" sheetId="15" r:id="rId22"/>
    <sheet name="강남" sheetId="14" r:id="rId23"/>
    <sheet name="중앙" sheetId="17" r:id="rId24"/>
    <sheet name="고양" sheetId="18" r:id="rId25"/>
    <sheet name="용인" sheetId="19" r:id="rId26"/>
    <sheet name="분당" sheetId="20" r:id="rId27"/>
    <sheet name="세종" sheetId="21" r:id="rId28"/>
    <sheet name="김해" sheetId="24" r:id="rId29"/>
    <sheet name="평택" sheetId="23" r:id="rId30"/>
    <sheet name="26년 총원가 배분" sheetId="69" r:id="rId31"/>
    <sheet name="26년 본사 원가분배" sheetId="52" r:id="rId32"/>
    <sheet name="투자비" sheetId="73" r:id="rId33"/>
    <sheet name="고온부품(26)" sheetId="67" r:id="rId34"/>
    <sheet name="정기점검보수공사 일정(2026~2041)" sheetId="68" r:id="rId35"/>
  </sheets>
  <externalReferences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</externalReferences>
  <definedNames>
    <definedName name="_">#N/A</definedName>
    <definedName name="__123Graph_A" hidden="1">#REF!</definedName>
    <definedName name="__123Graph_B" hidden="1">[1]B!#REF!</definedName>
    <definedName name="__123Graph_C" hidden="1">[2]sal!#REF!</definedName>
    <definedName name="__123Graph_D" hidden="1">[1]B!#REF!</definedName>
    <definedName name="__123Graph_E" hidden="1">[3]LOB!#REF!</definedName>
    <definedName name="__123Graph_F" hidden="1">[1]B!#REF!</definedName>
    <definedName name="__123Graph_X" hidden="1">[1]B!#REF!</definedName>
    <definedName name="__dfdfe" hidden="1">#REF!</definedName>
    <definedName name="__IntlFixup" hidden="1">TRUE</definedName>
    <definedName name="__JJ1">[4]지입S3!#REF!</definedName>
    <definedName name="__JJ10">[5]자재단가!#REF!</definedName>
    <definedName name="__JJ100">#N/A</definedName>
    <definedName name="__JJ101">#N/A</definedName>
    <definedName name="__JJ102">#N/A</definedName>
    <definedName name="__JJ103">#N/A</definedName>
    <definedName name="__JJ104">#N/A</definedName>
    <definedName name="__JJ105">#N/A</definedName>
    <definedName name="__JJ106">#N/A</definedName>
    <definedName name="__JJ107">#N/A</definedName>
    <definedName name="__JJ108">#N/A</definedName>
    <definedName name="__JJ109">#N/A</definedName>
    <definedName name="__JJ11">[5]자재단가!#REF!</definedName>
    <definedName name="__JJ110">#N/A</definedName>
    <definedName name="__JJ111">#N/A</definedName>
    <definedName name="__JJ112">#N/A</definedName>
    <definedName name="__JJ113">[5]자재단가!#REF!</definedName>
    <definedName name="__JJ114">[5]자재단가!#REF!</definedName>
    <definedName name="__JJ115">[5]자재단가!#REF!</definedName>
    <definedName name="__JJ116">[5]자재단가!#REF!</definedName>
    <definedName name="__JJ117">[5]자재단가!#REF!</definedName>
    <definedName name="__JJ118">[5]자재단가!#REF!</definedName>
    <definedName name="__JJ119">[5]자재단가!#REF!</definedName>
    <definedName name="__JJ12">[5]자재단가!#REF!</definedName>
    <definedName name="__JJ120">[5]자재단가!#REF!</definedName>
    <definedName name="__JJ121">[5]자재단가!#REF!</definedName>
    <definedName name="__JJ122">[5]자재단가!#REF!</definedName>
    <definedName name="__JJ123">[5]자재단가!#REF!</definedName>
    <definedName name="__JJ124">[5]자재단가!#REF!</definedName>
    <definedName name="__JJ125">[5]자재단가!#REF!</definedName>
    <definedName name="__JJ126">[5]자재단가!#REF!</definedName>
    <definedName name="__JJ127">[5]자재단가!#REF!</definedName>
    <definedName name="__JJ128">[5]자재단가!#REF!</definedName>
    <definedName name="__JJ129">[5]자재단가!#REF!</definedName>
    <definedName name="__JJ13">[5]자재단가!#REF!</definedName>
    <definedName name="__JJ130">[5]자재단가!#REF!</definedName>
    <definedName name="__JJ131">[5]자재단가!#REF!</definedName>
    <definedName name="__JJ132">[5]자재단가!#REF!</definedName>
    <definedName name="__JJ133">[5]자재단가!#REF!</definedName>
    <definedName name="__JJ134">[5]자재단가!#REF!</definedName>
    <definedName name="__JJ135">[5]자재단가!#REF!</definedName>
    <definedName name="__JJ136">[5]자재단가!#REF!</definedName>
    <definedName name="__JJ137">[5]자재단가!#REF!</definedName>
    <definedName name="__JJ138">[5]자재단가!#REF!</definedName>
    <definedName name="__JJ139">[5]자재단가!#REF!</definedName>
    <definedName name="__JJ14">[5]자재단가!#REF!</definedName>
    <definedName name="__JJ140">[5]자재단가!#REF!</definedName>
    <definedName name="__JJ141">#N/A</definedName>
    <definedName name="__JJ142">#N/A</definedName>
    <definedName name="__JJ143">#N/A</definedName>
    <definedName name="__JJ144">#N/A</definedName>
    <definedName name="__JJ145">#N/A</definedName>
    <definedName name="__JJ146">#N/A</definedName>
    <definedName name="__JJ147">#N/A</definedName>
    <definedName name="__JJ148">#N/A</definedName>
    <definedName name="__JJ149">#N/A</definedName>
    <definedName name="__JJ15">[5]자재단가!#REF!</definedName>
    <definedName name="__JJ150">#N/A</definedName>
    <definedName name="__JJ151">#N/A</definedName>
    <definedName name="__JJ152">#N/A</definedName>
    <definedName name="__JJ153">#N/A</definedName>
    <definedName name="__JJ154">#N/A</definedName>
    <definedName name="__JJ155">#N/A</definedName>
    <definedName name="__JJ156">#N/A</definedName>
    <definedName name="__JJ157">#N/A</definedName>
    <definedName name="__JJ158">#N/A</definedName>
    <definedName name="__JJ159">#N/A</definedName>
    <definedName name="__JJ16">[5]자재단가!#REF!</definedName>
    <definedName name="__JJ160">#N/A</definedName>
    <definedName name="__JJ161">#N/A</definedName>
    <definedName name="__JJ162">#N/A</definedName>
    <definedName name="__JJ163">#N/A</definedName>
    <definedName name="__JJ164">#N/A</definedName>
    <definedName name="__JJ165">#N/A</definedName>
    <definedName name="__JJ166">#N/A</definedName>
    <definedName name="__JJ167">#N/A</definedName>
    <definedName name="__JJ168">#N/A</definedName>
    <definedName name="__JJ169">#N/A</definedName>
    <definedName name="__JJ17">[5]자재단가!#REF!</definedName>
    <definedName name="__JJ170">#N/A</definedName>
    <definedName name="__JJ171">#N/A</definedName>
    <definedName name="__JJ172">#N/A</definedName>
    <definedName name="__JJ173">#N/A</definedName>
    <definedName name="__JJ174">#N/A</definedName>
    <definedName name="__JJ175">#N/A</definedName>
    <definedName name="__JJ176">#N/A</definedName>
    <definedName name="__JJ177">#N/A</definedName>
    <definedName name="__JJ178">#N/A</definedName>
    <definedName name="__JJ179">#N/A</definedName>
    <definedName name="__JJ18">[5]자재단가!#REF!</definedName>
    <definedName name="__JJ180">#N/A</definedName>
    <definedName name="__JJ181">#N/A</definedName>
    <definedName name="__JJ182">#N/A</definedName>
    <definedName name="__JJ183">[5]자재단가!#REF!</definedName>
    <definedName name="__JJ184">[5]자재단가!#REF!</definedName>
    <definedName name="__JJ185">[5]자재단가!#REF!</definedName>
    <definedName name="__JJ186">[5]자재단가!#REF!</definedName>
    <definedName name="__JJ187">[5]자재단가!#REF!</definedName>
    <definedName name="__JJ188">[5]자재단가!#REF!</definedName>
    <definedName name="__JJ189">[5]자재단가!#REF!</definedName>
    <definedName name="__JJ19">[5]자재단가!#REF!</definedName>
    <definedName name="__JJ190">[5]자재단가!#REF!</definedName>
    <definedName name="__JJ191">[5]자재단가!#REF!</definedName>
    <definedName name="__JJ192">[5]자재단가!#REF!</definedName>
    <definedName name="__JJ193">[5]자재단가!#REF!</definedName>
    <definedName name="__JJ194">[5]자재단가!#REF!</definedName>
    <definedName name="__JJ195">[5]자재단가!#REF!</definedName>
    <definedName name="__JJ196">[5]자재단가!#REF!</definedName>
    <definedName name="__JJ197">#N/A</definedName>
    <definedName name="__JJ198">#N/A</definedName>
    <definedName name="__JJ199">#N/A</definedName>
    <definedName name="__JJ2">[4]지입S3!#REF!</definedName>
    <definedName name="__JJ20">[5]자재단가!#REF!</definedName>
    <definedName name="__JJ200">#N/A</definedName>
    <definedName name="__JJ201">#N/A</definedName>
    <definedName name="__JJ202">#N/A</definedName>
    <definedName name="__JJ203">#N/A</definedName>
    <definedName name="__JJ204">#N/A</definedName>
    <definedName name="__JJ205">#N/A</definedName>
    <definedName name="__JJ206">#N/A</definedName>
    <definedName name="__JJ207">#N/A</definedName>
    <definedName name="__JJ208">#N/A</definedName>
    <definedName name="__JJ209">#N/A</definedName>
    <definedName name="__JJ21">[5]자재단가!#REF!</definedName>
    <definedName name="__JJ210">#N/A</definedName>
    <definedName name="__JJ211">[5]자재단가!#REF!</definedName>
    <definedName name="__JJ212">[5]자재단가!#REF!</definedName>
    <definedName name="__JJ213">[5]자재단가!#REF!</definedName>
    <definedName name="__JJ214">[5]자재단가!#REF!</definedName>
    <definedName name="__JJ215">[5]자재단가!#REF!</definedName>
    <definedName name="__JJ216">[5]자재단가!#REF!</definedName>
    <definedName name="__JJ217">[5]자재단가!#REF!</definedName>
    <definedName name="__JJ218">[5]자재단가!#REF!</definedName>
    <definedName name="__JJ219">[5]자재단가!#REF!</definedName>
    <definedName name="__JJ22">[5]자재단가!#REF!</definedName>
    <definedName name="__JJ220">[5]자재단가!#REF!</definedName>
    <definedName name="__JJ221">[5]자재단가!#REF!</definedName>
    <definedName name="__JJ222">[5]자재단가!#REF!</definedName>
    <definedName name="__JJ223">[5]자재단가!#REF!</definedName>
    <definedName name="__JJ224">[5]자재단가!#REF!</definedName>
    <definedName name="__JJ225">[5]자재단가!#REF!</definedName>
    <definedName name="__JJ226">[5]자재단가!#REF!</definedName>
    <definedName name="__JJ227">[5]자재단가!#REF!</definedName>
    <definedName name="__JJ228">[5]자재단가!#REF!</definedName>
    <definedName name="__JJ229">[5]자재단가!#REF!</definedName>
    <definedName name="__JJ23">[5]자재단가!#REF!</definedName>
    <definedName name="__JJ230">[5]자재단가!#REF!</definedName>
    <definedName name="__JJ231">[5]자재단가!#REF!</definedName>
    <definedName name="__JJ232">[5]자재단가!#REF!</definedName>
    <definedName name="__JJ233">[5]자재단가!#REF!</definedName>
    <definedName name="__JJ234">[5]자재단가!#REF!</definedName>
    <definedName name="__JJ235">[5]자재단가!#REF!</definedName>
    <definedName name="__JJ236">[5]자재단가!#REF!</definedName>
    <definedName name="__JJ237">[5]자재단가!#REF!</definedName>
    <definedName name="__JJ238">[5]자재단가!#REF!</definedName>
    <definedName name="__JJ239">[5]자재단가!#REF!</definedName>
    <definedName name="__JJ24">[5]자재단가!#REF!</definedName>
    <definedName name="__JJ240">[5]자재단가!#REF!</definedName>
    <definedName name="__JJ241">[5]자재단가!#REF!</definedName>
    <definedName name="__JJ242">[5]자재단가!#REF!</definedName>
    <definedName name="__JJ243">[5]자재단가!#REF!</definedName>
    <definedName name="__JJ244">[5]자재단가!#REF!</definedName>
    <definedName name="__JJ245">[5]자재단가!#REF!</definedName>
    <definedName name="__JJ246">#N/A</definedName>
    <definedName name="__JJ247">#N/A</definedName>
    <definedName name="__JJ248">[5]자재단가!#REF!</definedName>
    <definedName name="__JJ249">[5]자재단가!#REF!</definedName>
    <definedName name="__JJ25">[5]자재단가!#REF!</definedName>
    <definedName name="__JJ250">[5]자재단가!#REF!</definedName>
    <definedName name="__JJ251">[5]자재단가!#REF!</definedName>
    <definedName name="__JJ252">[5]자재단가!#REF!</definedName>
    <definedName name="__JJ253">[5]자재단가!#REF!</definedName>
    <definedName name="__JJ254">[5]자재단가!#REF!</definedName>
    <definedName name="__JJ255">[5]자재단가!#REF!</definedName>
    <definedName name="__JJ256">[5]자재단가!#REF!</definedName>
    <definedName name="__JJ257">[5]자재단가!#REF!</definedName>
    <definedName name="__JJ258">[5]자재단가!#REF!</definedName>
    <definedName name="__JJ259">[5]자재단가!#REF!</definedName>
    <definedName name="__JJ26">[5]자재단가!#REF!</definedName>
    <definedName name="__JJ260">[5]자재단가!#REF!</definedName>
    <definedName name="__JJ261">[5]자재단가!#REF!</definedName>
    <definedName name="__JJ262">[5]자재단가!#REF!</definedName>
    <definedName name="__JJ263">[5]자재단가!#REF!</definedName>
    <definedName name="__JJ264">[5]자재단가!#REF!</definedName>
    <definedName name="__JJ265">[5]자재단가!#REF!</definedName>
    <definedName name="__JJ266">[5]자재단가!#REF!</definedName>
    <definedName name="__JJ267">[5]자재단가!#REF!</definedName>
    <definedName name="__JJ268">[5]자재단가!#REF!</definedName>
    <definedName name="__JJ269">[5]자재단가!#REF!</definedName>
    <definedName name="__JJ27">[5]자재단가!#REF!</definedName>
    <definedName name="__JJ270">[5]자재단가!#REF!</definedName>
    <definedName name="__JJ271">[5]자재단가!#REF!</definedName>
    <definedName name="__JJ272">[5]자재단가!#REF!</definedName>
    <definedName name="__JJ273">[5]자재단가!#REF!</definedName>
    <definedName name="__JJ274">[5]자재단가!#REF!</definedName>
    <definedName name="__JJ275">[5]자재단가!#REF!</definedName>
    <definedName name="__JJ276">[5]자재단가!#REF!</definedName>
    <definedName name="__JJ277">[5]자재단가!#REF!</definedName>
    <definedName name="__JJ278">[5]자재단가!#REF!</definedName>
    <definedName name="__JJ279">[5]자재단가!#REF!</definedName>
    <definedName name="__JJ28">[5]자재단가!#REF!</definedName>
    <definedName name="__JJ280">[5]자재단가!#REF!</definedName>
    <definedName name="__JJ281">[5]자재단가!#REF!</definedName>
    <definedName name="__JJ282">[5]자재단가!#REF!</definedName>
    <definedName name="__JJ283">[5]자재단가!#REF!</definedName>
    <definedName name="__JJ284">[5]자재단가!#REF!</definedName>
    <definedName name="__JJ285">[5]자재단가!#REF!</definedName>
    <definedName name="__JJ286">[5]자재단가!#REF!</definedName>
    <definedName name="__JJ287">[5]자재단가!#REF!</definedName>
    <definedName name="__JJ288">[5]자재단가!#REF!</definedName>
    <definedName name="__JJ289">[5]자재단가!#REF!</definedName>
    <definedName name="__JJ29">#N/A</definedName>
    <definedName name="__JJ290">[5]자재단가!#REF!</definedName>
    <definedName name="__JJ291">[5]자재단가!#REF!</definedName>
    <definedName name="__JJ292">[5]자재단가!#REF!</definedName>
    <definedName name="__JJ293">[5]자재단가!#REF!</definedName>
    <definedName name="__JJ294">[5]자재단가!#REF!</definedName>
    <definedName name="__JJ295">[5]자재단가!#REF!</definedName>
    <definedName name="__JJ296">[5]자재단가!#REF!</definedName>
    <definedName name="__JJ297">[5]자재단가!#REF!</definedName>
    <definedName name="__JJ298">[5]자재단가!#REF!</definedName>
    <definedName name="__JJ299">[5]자재단가!#REF!</definedName>
    <definedName name="__JJ3">[4]지입S3!#REF!</definedName>
    <definedName name="__JJ30">#N/A</definedName>
    <definedName name="__JJ300">[5]자재단가!#REF!</definedName>
    <definedName name="__JJ301">[5]자재단가!#REF!</definedName>
    <definedName name="__JJ302">[5]자재단가!#REF!</definedName>
    <definedName name="__JJ303">[5]자재단가!#REF!</definedName>
    <definedName name="__JJ304">[5]자재단가!#REF!</definedName>
    <definedName name="__JJ305">[5]자재단가!#REF!</definedName>
    <definedName name="__JJ306">[5]자재단가!#REF!</definedName>
    <definedName name="__JJ307">[5]자재단가!#REF!</definedName>
    <definedName name="__JJ308">[5]자재단가!#REF!</definedName>
    <definedName name="__JJ309">#N/A</definedName>
    <definedName name="__JJ31">#N/A</definedName>
    <definedName name="__JJ310">#N/A</definedName>
    <definedName name="__JJ311">#N/A</definedName>
    <definedName name="__JJ312">#N/A</definedName>
    <definedName name="__JJ313">#N/A</definedName>
    <definedName name="__JJ314">#N/A</definedName>
    <definedName name="__JJ315">#N/A</definedName>
    <definedName name="__JJ316">#N/A</definedName>
    <definedName name="__JJ317">#N/A</definedName>
    <definedName name="__JJ318">#N/A</definedName>
    <definedName name="__JJ319">#N/A</definedName>
    <definedName name="__JJ32">#N/A</definedName>
    <definedName name="__JJ320">#N/A</definedName>
    <definedName name="__JJ321">#N/A</definedName>
    <definedName name="__JJ322">#N/A</definedName>
    <definedName name="__JJ323">[5]자재단가!#REF!</definedName>
    <definedName name="__JJ324">[5]자재단가!#REF!</definedName>
    <definedName name="__JJ325">#N/A</definedName>
    <definedName name="__JJ326">[5]자재단가!#REF!</definedName>
    <definedName name="__JJ327">[5]자재단가!#REF!</definedName>
    <definedName name="__JJ328">[5]자재단가!#REF!</definedName>
    <definedName name="__JJ329">[5]자재단가!#REF!</definedName>
    <definedName name="__JJ33">#N/A</definedName>
    <definedName name="__JJ330">[5]자재단가!#REF!</definedName>
    <definedName name="__JJ331">[5]자재단가!#REF!</definedName>
    <definedName name="__JJ332">[5]자재단가!#REF!</definedName>
    <definedName name="__JJ333">[5]자재단가!#REF!</definedName>
    <definedName name="__JJ334">[5]자재단가!#REF!</definedName>
    <definedName name="__JJ335">[5]자재단가!#REF!</definedName>
    <definedName name="__JJ336">[5]자재단가!#REF!</definedName>
    <definedName name="__JJ337">[5]자재단가!#REF!</definedName>
    <definedName name="__JJ338">[5]자재단가!#REF!</definedName>
    <definedName name="__JJ339">[5]자재단가!#REF!</definedName>
    <definedName name="__JJ34">#N/A</definedName>
    <definedName name="__JJ340">[5]자재단가!#REF!</definedName>
    <definedName name="__JJ341">[5]자재단가!#REF!</definedName>
    <definedName name="__JJ342">[5]자재단가!#REF!</definedName>
    <definedName name="__JJ343">[5]자재단가!#REF!</definedName>
    <definedName name="__JJ344">[5]자재단가!#REF!</definedName>
    <definedName name="__JJ345">[5]자재단가!#REF!</definedName>
    <definedName name="__JJ346">[5]자재단가!#REF!</definedName>
    <definedName name="__JJ347">[5]자재단가!#REF!</definedName>
    <definedName name="__JJ348">[5]자재단가!#REF!</definedName>
    <definedName name="__JJ349">[5]자재단가!#REF!</definedName>
    <definedName name="__JJ35">#N/A</definedName>
    <definedName name="__JJ350">[5]자재단가!#REF!</definedName>
    <definedName name="__JJ351">[5]자재단가!#REF!</definedName>
    <definedName name="__JJ352">[5]자재단가!#REF!</definedName>
    <definedName name="__JJ353">[5]자재단가!#REF!</definedName>
    <definedName name="__JJ354">[5]자재단가!#REF!</definedName>
    <definedName name="__JJ355">[5]자재단가!#REF!</definedName>
    <definedName name="__JJ356">[5]자재단가!#REF!</definedName>
    <definedName name="__JJ357">[5]자재단가!#REF!</definedName>
    <definedName name="__JJ358">[5]자재단가!#REF!</definedName>
    <definedName name="__JJ359">[5]자재단가!#REF!</definedName>
    <definedName name="__JJ36">#N/A</definedName>
    <definedName name="__JJ360">[5]자재단가!#REF!</definedName>
    <definedName name="__JJ361">[5]자재단가!#REF!</definedName>
    <definedName name="__JJ362">[5]자재단가!#REF!</definedName>
    <definedName name="__JJ363">[5]자재단가!#REF!</definedName>
    <definedName name="__JJ364">[5]자재단가!#REF!</definedName>
    <definedName name="__JJ365">[5]자재단가!#REF!</definedName>
    <definedName name="__JJ366">[5]자재단가!#REF!</definedName>
    <definedName name="__JJ367">[5]자재단가!#REF!</definedName>
    <definedName name="__JJ368">[5]자재단가!#REF!</definedName>
    <definedName name="__JJ369">[5]자재단가!#REF!</definedName>
    <definedName name="__JJ37">#N/A</definedName>
    <definedName name="__JJ370">[5]자재단가!#REF!</definedName>
    <definedName name="__JJ371">[5]자재단가!#REF!</definedName>
    <definedName name="__JJ372">[5]자재단가!#REF!</definedName>
    <definedName name="__JJ373">[5]자재단가!#REF!</definedName>
    <definedName name="__JJ374">[5]자재단가!#REF!</definedName>
    <definedName name="__JJ375">[5]자재단가!#REF!</definedName>
    <definedName name="__JJ376">[5]자재단가!#REF!</definedName>
    <definedName name="__JJ377">[5]자재단가!#REF!</definedName>
    <definedName name="__JJ378">[5]자재단가!#REF!</definedName>
    <definedName name="__JJ379">#N/A</definedName>
    <definedName name="__JJ38">#N/A</definedName>
    <definedName name="__JJ380">#N/A</definedName>
    <definedName name="__JJ381">#N/A</definedName>
    <definedName name="__JJ382">#N/A</definedName>
    <definedName name="__JJ383">#N/A</definedName>
    <definedName name="__JJ384">#N/A</definedName>
    <definedName name="__JJ385">#N/A</definedName>
    <definedName name="__JJ386">#N/A</definedName>
    <definedName name="__JJ387">#N/A</definedName>
    <definedName name="__JJ388">#N/A</definedName>
    <definedName name="__JJ389">#N/A</definedName>
    <definedName name="__JJ39">#N/A</definedName>
    <definedName name="__JJ390">#N/A</definedName>
    <definedName name="__JJ391">#N/A</definedName>
    <definedName name="__JJ392">#N/A</definedName>
    <definedName name="__JJ393">[5]자재단가!#REF!</definedName>
    <definedName name="__JJ394">[5]자재단가!#REF!</definedName>
    <definedName name="__JJ395">[5]자재단가!#REF!</definedName>
    <definedName name="__JJ396">[5]자재단가!#REF!</definedName>
    <definedName name="__JJ397">[5]자재단가!#REF!</definedName>
    <definedName name="__JJ398">[5]자재단가!#REF!</definedName>
    <definedName name="__JJ399">[5]자재단가!#REF!</definedName>
    <definedName name="__JJ4">[4]지입S3!#REF!</definedName>
    <definedName name="__JJ40">#N/A</definedName>
    <definedName name="__JJ400">[5]자재단가!#REF!</definedName>
    <definedName name="__JJ401">[5]자재단가!#REF!</definedName>
    <definedName name="__JJ402">[5]자재단가!#REF!</definedName>
    <definedName name="__JJ403">[5]자재단가!#REF!</definedName>
    <definedName name="__JJ404">[5]자재단가!#REF!</definedName>
    <definedName name="__JJ405">[5]자재단가!#REF!</definedName>
    <definedName name="__JJ406">[5]자재단가!#REF!</definedName>
    <definedName name="__JJ407">[5]자재단가!#REF!</definedName>
    <definedName name="__JJ408">[5]자재단가!#REF!</definedName>
    <definedName name="__JJ409">[5]자재단가!#REF!</definedName>
    <definedName name="__JJ41">#N/A</definedName>
    <definedName name="__JJ410">[5]자재단가!#REF!</definedName>
    <definedName name="__JJ411">[5]자재단가!#REF!</definedName>
    <definedName name="__JJ412">[5]자재단가!#REF!</definedName>
    <definedName name="__JJ413">[5]자재단가!#REF!</definedName>
    <definedName name="__JJ414">[5]자재단가!#REF!</definedName>
    <definedName name="__JJ415">[5]자재단가!#REF!</definedName>
    <definedName name="__JJ416">[5]자재단가!#REF!</definedName>
    <definedName name="__JJ417">[5]자재단가!#REF!</definedName>
    <definedName name="__JJ418">[5]자재단가!#REF!</definedName>
    <definedName name="__JJ419">[5]자재단가!#REF!</definedName>
    <definedName name="__JJ42">#N/A</definedName>
    <definedName name="__JJ420">[5]자재단가!#REF!</definedName>
    <definedName name="__JJ421">[5]자재단가!#REF!</definedName>
    <definedName name="__JJ422">[5]자재단가!#REF!</definedName>
    <definedName name="__JJ423">[5]자재단가!#REF!</definedName>
    <definedName name="__JJ424">[5]자재단가!#REF!</definedName>
    <definedName name="__JJ425">[5]자재단가!#REF!</definedName>
    <definedName name="__JJ426">[5]자재단가!#REF!</definedName>
    <definedName name="__JJ427">[5]자재단가!#REF!</definedName>
    <definedName name="__JJ428">[5]자재단가!#REF!</definedName>
    <definedName name="__JJ429">[5]자재단가!#REF!</definedName>
    <definedName name="__JJ43">#N/A</definedName>
    <definedName name="__JJ430">[5]자재단가!#REF!</definedName>
    <definedName name="__JJ431">[5]자재단가!#REF!</definedName>
    <definedName name="__JJ432">[5]자재단가!#REF!</definedName>
    <definedName name="__JJ433">[5]자재단가!#REF!</definedName>
    <definedName name="__JJ434">[5]자재단가!#REF!</definedName>
    <definedName name="__JJ435">[5]자재단가!#REF!</definedName>
    <definedName name="__JJ436">[5]자재단가!#REF!</definedName>
    <definedName name="__JJ437">[5]자재단가!#REF!</definedName>
    <definedName name="__JJ438">[5]자재단가!#REF!</definedName>
    <definedName name="__JJ439">[5]자재단가!#REF!</definedName>
    <definedName name="__JJ44">#N/A</definedName>
    <definedName name="__JJ440">[5]자재단가!#REF!</definedName>
    <definedName name="__JJ441">[5]자재단가!#REF!</definedName>
    <definedName name="__JJ442">[5]자재단가!#REF!</definedName>
    <definedName name="__JJ443">[5]자재단가!#REF!</definedName>
    <definedName name="__JJ444">[5]자재단가!#REF!</definedName>
    <definedName name="__JJ445">[5]자재단가!#REF!</definedName>
    <definedName name="__JJ446">[5]자재단가!#REF!</definedName>
    <definedName name="__JJ447">[5]자재단가!#REF!</definedName>
    <definedName name="__JJ448">[5]자재단가!#REF!</definedName>
    <definedName name="__JJ449">[5]자재단가!#REF!</definedName>
    <definedName name="__JJ45">#N/A</definedName>
    <definedName name="__JJ450">[5]자재단가!#REF!</definedName>
    <definedName name="__JJ451">[5]자재단가!#REF!</definedName>
    <definedName name="__JJ452">[5]자재단가!#REF!</definedName>
    <definedName name="__JJ453">[5]자재단가!#REF!</definedName>
    <definedName name="__JJ454">[5]자재단가!#REF!</definedName>
    <definedName name="__JJ455">[5]자재단가!#REF!</definedName>
    <definedName name="__JJ456">[5]자재단가!#REF!</definedName>
    <definedName name="__JJ457">[5]자재단가!#REF!</definedName>
    <definedName name="__JJ458">[5]자재단가!#REF!</definedName>
    <definedName name="__JJ459">[5]자재단가!#REF!</definedName>
    <definedName name="__JJ46">#N/A</definedName>
    <definedName name="__JJ460">[5]자재단가!#REF!</definedName>
    <definedName name="__JJ461">[5]자재단가!#REF!</definedName>
    <definedName name="__JJ462">[5]자재단가!#REF!</definedName>
    <definedName name="__JJ463">[5]자재단가!#REF!</definedName>
    <definedName name="__JJ464">[5]자재단가!#REF!</definedName>
    <definedName name="__JJ465">[5]자재단가!#REF!</definedName>
    <definedName name="__JJ466">[5]자재단가!#REF!</definedName>
    <definedName name="__JJ467">[5]자재단가!#REF!</definedName>
    <definedName name="__JJ468">[5]자재단가!#REF!</definedName>
    <definedName name="__JJ469">[5]자재단가!#REF!</definedName>
    <definedName name="__JJ47">#N/A</definedName>
    <definedName name="__JJ470">[5]자재단가!#REF!</definedName>
    <definedName name="__JJ471">[5]자재단가!#REF!</definedName>
    <definedName name="__JJ472">[5]자재단가!#REF!</definedName>
    <definedName name="__JJ473">[5]자재단가!#REF!</definedName>
    <definedName name="__JJ474">[5]자재단가!#REF!</definedName>
    <definedName name="__JJ475">[5]자재단가!#REF!</definedName>
    <definedName name="__JJ476">[5]자재단가!#REF!</definedName>
    <definedName name="__JJ477">[5]자재단가!#REF!</definedName>
    <definedName name="__JJ478">[5]자재단가!#REF!</definedName>
    <definedName name="__JJ479">[5]자재단가!#REF!</definedName>
    <definedName name="__JJ48">#N/A</definedName>
    <definedName name="__JJ480">[5]자재단가!#REF!</definedName>
    <definedName name="__JJ481">[5]자재단가!#REF!</definedName>
    <definedName name="__JJ482">[5]자재단가!#REF!</definedName>
    <definedName name="__JJ483">[5]자재단가!#REF!</definedName>
    <definedName name="__JJ484">[5]자재단가!#REF!</definedName>
    <definedName name="__JJ485">[5]자재단가!#REF!</definedName>
    <definedName name="__JJ486">[5]자재단가!#REF!</definedName>
    <definedName name="__JJ487">[5]자재단가!#REF!</definedName>
    <definedName name="__JJ488">[5]자재단가!#REF!</definedName>
    <definedName name="__JJ489">[5]자재단가!#REF!</definedName>
    <definedName name="__JJ49">#N/A</definedName>
    <definedName name="__JJ490">[5]자재단가!#REF!</definedName>
    <definedName name="__JJ491">#N/A</definedName>
    <definedName name="__JJ492">#N/A</definedName>
    <definedName name="__JJ493">#N/A</definedName>
    <definedName name="__JJ494">#N/A</definedName>
    <definedName name="__JJ495">#N/A</definedName>
    <definedName name="__JJ496">#N/A</definedName>
    <definedName name="__JJ497">#N/A</definedName>
    <definedName name="__JJ498">#N/A</definedName>
    <definedName name="__JJ499">#N/A</definedName>
    <definedName name="__JJ5">[4]지입S3!#REF!</definedName>
    <definedName name="__JJ50">#N/A</definedName>
    <definedName name="__JJ500">#N/A</definedName>
    <definedName name="__JJ501">#N/A</definedName>
    <definedName name="__JJ502">#N/A</definedName>
    <definedName name="__JJ503">#N/A</definedName>
    <definedName name="__JJ504">#N/A</definedName>
    <definedName name="__JJ505">[5]자재단가!#REF!</definedName>
    <definedName name="__JJ506">[5]자재단가!#REF!</definedName>
    <definedName name="__JJ507">[5]자재단가!#REF!</definedName>
    <definedName name="__JJ508">[5]자재단가!#REF!</definedName>
    <definedName name="__JJ509">[5]자재단가!#REF!</definedName>
    <definedName name="__JJ51">#N/A</definedName>
    <definedName name="__JJ510">[5]자재단가!#REF!</definedName>
    <definedName name="__JJ511">[5]자재단가!#REF!</definedName>
    <definedName name="__JJ512">[5]자재단가!#REF!</definedName>
    <definedName name="__JJ513">[5]자재단가!#REF!</definedName>
    <definedName name="__JJ514">[5]자재단가!#REF!</definedName>
    <definedName name="__JJ515">[5]자재단가!#REF!</definedName>
    <definedName name="__JJ516">[5]자재단가!#REF!</definedName>
    <definedName name="__JJ517">[5]자재단가!#REF!</definedName>
    <definedName name="__JJ518">[5]자재단가!#REF!</definedName>
    <definedName name="__JJ519">[5]자재단가!#REF!</definedName>
    <definedName name="__JJ52">#N/A</definedName>
    <definedName name="__JJ520">[5]자재단가!#REF!</definedName>
    <definedName name="__JJ521">[5]자재단가!#REF!</definedName>
    <definedName name="__JJ522">[5]자재단가!#REF!</definedName>
    <definedName name="__JJ523">[5]자재단가!#REF!</definedName>
    <definedName name="__JJ524">[5]자재단가!#REF!</definedName>
    <definedName name="__JJ525">[5]자재단가!#REF!</definedName>
    <definedName name="__JJ526">[5]자재단가!#REF!</definedName>
    <definedName name="__JJ527">[5]자재단가!#REF!</definedName>
    <definedName name="__JJ528">[5]자재단가!#REF!</definedName>
    <definedName name="__JJ529">[5]자재단가!#REF!</definedName>
    <definedName name="__JJ53">#N/A</definedName>
    <definedName name="__JJ530">[5]자재단가!#REF!</definedName>
    <definedName name="__JJ531">[5]자재단가!#REF!</definedName>
    <definedName name="__JJ532">[5]자재단가!#REF!</definedName>
    <definedName name="__JJ533">#N/A</definedName>
    <definedName name="__JJ534">#N/A</definedName>
    <definedName name="__JJ535">#N/A</definedName>
    <definedName name="__JJ536">#N/A</definedName>
    <definedName name="__JJ537">#N/A</definedName>
    <definedName name="__JJ538">#N/A</definedName>
    <definedName name="__JJ539">#N/A</definedName>
    <definedName name="__JJ54">#N/A</definedName>
    <definedName name="__JJ540">#N/A</definedName>
    <definedName name="__JJ541">#N/A</definedName>
    <definedName name="__JJ542">#N/A</definedName>
    <definedName name="__JJ543">#N/A</definedName>
    <definedName name="__JJ544">#N/A</definedName>
    <definedName name="__JJ545">#N/A</definedName>
    <definedName name="__JJ546">#N/A</definedName>
    <definedName name="__JJ547">[5]자재단가!#REF!</definedName>
    <definedName name="__JJ548">[5]자재단가!#REF!</definedName>
    <definedName name="__JJ549">[5]자재단가!#REF!</definedName>
    <definedName name="__JJ55">#N/A</definedName>
    <definedName name="__JJ550">[5]자재단가!#REF!</definedName>
    <definedName name="__JJ551">[5]자재단가!#REF!</definedName>
    <definedName name="__JJ552">[5]자재단가!#REF!</definedName>
    <definedName name="__JJ553">[5]자재단가!#REF!</definedName>
    <definedName name="__JJ554">[5]자재단가!#REF!</definedName>
    <definedName name="__JJ555">[5]자재단가!#REF!</definedName>
    <definedName name="__JJ556">[5]자재단가!#REF!</definedName>
    <definedName name="__JJ557">[5]자재단가!#REF!</definedName>
    <definedName name="__JJ558">[5]자재단가!#REF!</definedName>
    <definedName name="__JJ559">[5]자재단가!#REF!</definedName>
    <definedName name="__JJ56">#N/A</definedName>
    <definedName name="__JJ560">[5]자재단가!#REF!</definedName>
    <definedName name="__JJ561">[5]자재단가!#REF!</definedName>
    <definedName name="__JJ562">[5]자재단가!#REF!</definedName>
    <definedName name="__JJ563">[5]자재단가!#REF!</definedName>
    <definedName name="__JJ564">[5]자재단가!#REF!</definedName>
    <definedName name="__JJ565">[5]자재단가!#REF!</definedName>
    <definedName name="__JJ566">[5]자재단가!#REF!</definedName>
    <definedName name="__JJ567">[5]자재단가!#REF!</definedName>
    <definedName name="__JJ568">[5]자재단가!#REF!</definedName>
    <definedName name="__JJ569">[5]자재단가!#REF!</definedName>
    <definedName name="__JJ57">[5]자재단가!#REF!</definedName>
    <definedName name="__JJ570">[5]자재단가!#REF!</definedName>
    <definedName name="__JJ571">[5]자재단가!#REF!</definedName>
    <definedName name="__JJ572">[5]자재단가!#REF!</definedName>
    <definedName name="__JJ573">[5]자재단가!#REF!</definedName>
    <definedName name="__JJ574">[5]자재단가!#REF!</definedName>
    <definedName name="__JJ575">[5]자재단가!#REF!</definedName>
    <definedName name="__JJ576">[5]자재단가!#REF!</definedName>
    <definedName name="__JJ577">[5]자재단가!#REF!</definedName>
    <definedName name="__JJ578">[5]자재단가!#REF!</definedName>
    <definedName name="__JJ579">[5]자재단가!#REF!</definedName>
    <definedName name="__JJ58">[5]자재단가!#REF!</definedName>
    <definedName name="__JJ580">[5]자재단가!#REF!</definedName>
    <definedName name="__JJ581">[5]자재단가!#REF!</definedName>
    <definedName name="__JJ582">[5]자재단가!#REF!</definedName>
    <definedName name="__JJ583">[5]자재단가!#REF!</definedName>
    <definedName name="__JJ584">[5]자재단가!#REF!</definedName>
    <definedName name="__JJ585">[5]자재단가!#REF!</definedName>
    <definedName name="__JJ586">[5]자재단가!#REF!</definedName>
    <definedName name="__JJ587">[5]자재단가!#REF!</definedName>
    <definedName name="__JJ588">[5]자재단가!#REF!</definedName>
    <definedName name="__JJ589">[5]자재단가!#REF!</definedName>
    <definedName name="__JJ59">[5]자재단가!#REF!</definedName>
    <definedName name="__JJ590">[5]자재단가!#REF!</definedName>
    <definedName name="__JJ591">[5]자재단가!#REF!</definedName>
    <definedName name="__JJ592">[5]자재단가!#REF!</definedName>
    <definedName name="__JJ593">[5]자재단가!#REF!</definedName>
    <definedName name="__JJ594">[5]자재단가!#REF!</definedName>
    <definedName name="__JJ595">[5]자재단가!#REF!</definedName>
    <definedName name="__JJ596">[5]자재단가!#REF!</definedName>
    <definedName name="__JJ597">[5]자재단가!#REF!</definedName>
    <definedName name="__JJ598">[5]자재단가!#REF!</definedName>
    <definedName name="__JJ599">[5]자재단가!#REF!</definedName>
    <definedName name="__JJ6">[4]지입S3!#REF!</definedName>
    <definedName name="__JJ60">[5]자재단가!#REF!</definedName>
    <definedName name="__JJ600">[5]자재단가!#REF!</definedName>
    <definedName name="__JJ601">[5]자재단가!#REF!</definedName>
    <definedName name="__JJ602">[5]자재단가!#REF!</definedName>
    <definedName name="__JJ603">[5]자재단가!#REF!</definedName>
    <definedName name="__JJ604">[5]자재단가!#REF!</definedName>
    <definedName name="__JJ605">[5]자재단가!#REF!</definedName>
    <definedName name="__JJ606">[5]자재단가!#REF!</definedName>
    <definedName name="__JJ607">[5]자재단가!#REF!</definedName>
    <definedName name="__JJ608">[5]자재단가!#REF!</definedName>
    <definedName name="__JJ609">[5]자재단가!#REF!</definedName>
    <definedName name="__JJ61">[5]자재단가!#REF!</definedName>
    <definedName name="__JJ610">[5]자재단가!#REF!</definedName>
    <definedName name="__JJ611">[5]자재단가!#REF!</definedName>
    <definedName name="__JJ612">[5]자재단가!#REF!</definedName>
    <definedName name="__JJ613">[5]자재단가!#REF!</definedName>
    <definedName name="__JJ614">[5]자재단가!#REF!</definedName>
    <definedName name="__JJ615">[5]자재단가!#REF!</definedName>
    <definedName name="__JJ616">[5]자재단가!#REF!</definedName>
    <definedName name="__JJ617">[5]자재단가!#REF!</definedName>
    <definedName name="__JJ618">[5]자재단가!#REF!</definedName>
    <definedName name="__JJ619">[5]자재단가!#REF!</definedName>
    <definedName name="__JJ62">[5]자재단가!#REF!</definedName>
    <definedName name="__JJ620">[5]자재단가!#REF!</definedName>
    <definedName name="__JJ621">[5]자재단가!#REF!</definedName>
    <definedName name="__JJ622">[5]자재단가!#REF!</definedName>
    <definedName name="__JJ623">[5]자재단가!#REF!</definedName>
    <definedName name="__JJ624">[5]자재단가!#REF!</definedName>
    <definedName name="__JJ625">[5]자재단가!#REF!</definedName>
    <definedName name="__JJ626">[5]자재단가!#REF!</definedName>
    <definedName name="__JJ627">[5]자재단가!#REF!</definedName>
    <definedName name="__JJ628">[5]자재단가!#REF!</definedName>
    <definedName name="__JJ629">[5]자재단가!#REF!</definedName>
    <definedName name="__JJ63">[5]자재단가!#REF!</definedName>
    <definedName name="__JJ630">[5]자재단가!#REF!</definedName>
    <definedName name="__JJ631">[5]자재단가!#REF!</definedName>
    <definedName name="__JJ632">[5]자재단가!#REF!</definedName>
    <definedName name="__JJ633">[5]자재단가!#REF!</definedName>
    <definedName name="__JJ634">[5]자재단가!#REF!</definedName>
    <definedName name="__JJ635">[5]자재단가!#REF!</definedName>
    <definedName name="__JJ636">[5]자재단가!#REF!</definedName>
    <definedName name="__JJ637">[5]자재단가!#REF!</definedName>
    <definedName name="__JJ638">[5]자재단가!#REF!</definedName>
    <definedName name="__JJ639">[5]자재단가!#REF!</definedName>
    <definedName name="__JJ64">[5]자재단가!#REF!</definedName>
    <definedName name="__JJ640">[5]자재단가!#REF!</definedName>
    <definedName name="__JJ641">[5]자재단가!#REF!</definedName>
    <definedName name="__JJ642">[5]자재단가!#REF!</definedName>
    <definedName name="__JJ643">[5]자재단가!#REF!</definedName>
    <definedName name="__JJ644">[5]자재단가!#REF!</definedName>
    <definedName name="__JJ645">[5]자재단가!#REF!</definedName>
    <definedName name="__JJ646">[5]자재단가!#REF!</definedName>
    <definedName name="__JJ647">[5]자재단가!#REF!</definedName>
    <definedName name="__JJ648">[5]자재단가!#REF!</definedName>
    <definedName name="__JJ649">[5]자재단가!#REF!</definedName>
    <definedName name="__JJ65">[5]자재단가!#REF!</definedName>
    <definedName name="__JJ650">[5]자재단가!#REF!</definedName>
    <definedName name="__JJ651">[5]자재단가!#REF!</definedName>
    <definedName name="__JJ652">[5]자재단가!#REF!</definedName>
    <definedName name="__JJ653">[5]자재단가!#REF!</definedName>
    <definedName name="__JJ654">[5]자재단가!#REF!</definedName>
    <definedName name="__JJ655">[5]자재단가!#REF!</definedName>
    <definedName name="__JJ656">[5]자재단가!#REF!</definedName>
    <definedName name="__JJ657">[5]자재단가!#REF!</definedName>
    <definedName name="__JJ658">[5]자재단가!#REF!</definedName>
    <definedName name="__JJ659">[5]자재단가!#REF!</definedName>
    <definedName name="__JJ66">[5]자재단가!#REF!</definedName>
    <definedName name="__JJ660">[5]자재단가!#REF!</definedName>
    <definedName name="__JJ661">[5]자재단가!#REF!</definedName>
    <definedName name="__JJ662">[5]자재단가!#REF!</definedName>
    <definedName name="__JJ663">[5]자재단가!#REF!</definedName>
    <definedName name="__JJ664">[5]자재단가!#REF!</definedName>
    <definedName name="__JJ665">[5]자재단가!#REF!</definedName>
    <definedName name="__JJ666">[5]자재단가!#REF!</definedName>
    <definedName name="__JJ667">[5]자재단가!#REF!</definedName>
    <definedName name="__JJ668">[5]자재단가!#REF!</definedName>
    <definedName name="__JJ669">[5]자재단가!#REF!</definedName>
    <definedName name="__JJ67">[5]자재단가!#REF!</definedName>
    <definedName name="__JJ670">[5]자재단가!#REF!</definedName>
    <definedName name="__JJ671">[5]자재단가!#REF!</definedName>
    <definedName name="__JJ672">[5]자재단가!#REF!</definedName>
    <definedName name="__JJ673">[5]자재단가!#REF!</definedName>
    <definedName name="__JJ674">[5]자재단가!#REF!</definedName>
    <definedName name="__JJ675">[5]자재단가!#REF!</definedName>
    <definedName name="__JJ676">[5]자재단가!#REF!</definedName>
    <definedName name="__JJ677">[5]자재단가!#REF!</definedName>
    <definedName name="__JJ678">[5]자재단가!#REF!</definedName>
    <definedName name="__JJ679">[5]자재단가!#REF!</definedName>
    <definedName name="__JJ68">[5]자재단가!#REF!</definedName>
    <definedName name="__JJ680">[5]자재단가!#REF!</definedName>
    <definedName name="__JJ681">[5]자재단가!#REF!</definedName>
    <definedName name="__JJ682">[5]자재단가!#REF!</definedName>
    <definedName name="__JJ683">[5]자재단가!#REF!</definedName>
    <definedName name="__JJ684">[5]자재단가!#REF!</definedName>
    <definedName name="__JJ685">[5]자재단가!#REF!</definedName>
    <definedName name="__JJ686">[5]자재단가!#REF!</definedName>
    <definedName name="__JJ69">[5]자재단가!#REF!</definedName>
    <definedName name="__JJ7">[4]지입S3!#REF!</definedName>
    <definedName name="__JJ70">[5]자재단가!#REF!</definedName>
    <definedName name="__JJ71">[5]자재단가!#REF!</definedName>
    <definedName name="__JJ72">[5]자재단가!#REF!</definedName>
    <definedName name="__JJ73">[5]자재단가!#REF!</definedName>
    <definedName name="__JJ74">[5]자재단가!#REF!</definedName>
    <definedName name="__JJ75">[5]자재단가!#REF!</definedName>
    <definedName name="__JJ76">[5]자재단가!#REF!</definedName>
    <definedName name="__JJ77">[5]자재단가!#REF!</definedName>
    <definedName name="__JJ78">[5]자재단가!#REF!</definedName>
    <definedName name="__JJ79">[5]자재단가!#REF!</definedName>
    <definedName name="__JJ8">[5]자재단가!#REF!</definedName>
    <definedName name="__JJ80">[5]자재단가!#REF!</definedName>
    <definedName name="__JJ81">[5]자재단가!#REF!</definedName>
    <definedName name="__JJ82">[5]자재단가!#REF!</definedName>
    <definedName name="__JJ83">[5]자재단가!#REF!</definedName>
    <definedName name="__JJ84">[5]자재단가!#REF!</definedName>
    <definedName name="__JJ85">[5]자재단가!#REF!</definedName>
    <definedName name="__JJ86">[5]자재단가!#REF!</definedName>
    <definedName name="__JJ87">[5]자재단가!#REF!</definedName>
    <definedName name="__JJ88">[5]자재단가!#REF!</definedName>
    <definedName name="__JJ89">[5]자재단가!#REF!</definedName>
    <definedName name="__JJ9">[5]자재단가!#REF!</definedName>
    <definedName name="__JJ90">[5]자재단가!#REF!</definedName>
    <definedName name="__JJ91">[5]자재단가!#REF!</definedName>
    <definedName name="__JJ92">[5]자재단가!#REF!</definedName>
    <definedName name="__JJ93">[5]자재단가!#REF!</definedName>
    <definedName name="__JJ94">[5]자재단가!#REF!</definedName>
    <definedName name="__JJ95">[5]자재단가!#REF!</definedName>
    <definedName name="__JJ96">[5]자재단가!#REF!</definedName>
    <definedName name="__JJ97">[5]자재단가!#REF!</definedName>
    <definedName name="__JJ98">[5]자재단가!#REF!</definedName>
    <definedName name="__JJ99">#N/A</definedName>
    <definedName name="_1_">#N/A</definedName>
    <definedName name="_1_0_0_F" hidden="1">[6]CTEMCOST!#REF!</definedName>
    <definedName name="_10A_">[7]연돌일위집계!#REF!</definedName>
    <definedName name="_10A_1">[7]연돌일위집계!#REF!</definedName>
    <definedName name="_10A_10">[7]연돌일위집계!#REF!</definedName>
    <definedName name="_10A_11">[7]연돌일위집계!#REF!</definedName>
    <definedName name="_10A_12">[7]연돌일위집계!#REF!</definedName>
    <definedName name="_10A_13">[7]연돌일위집계!#REF!</definedName>
    <definedName name="_10A_14">[7]연돌일위집계!#REF!</definedName>
    <definedName name="_10A_15">[7]연돌일위집계!#REF!</definedName>
    <definedName name="_10A_16">[7]연돌일위집계!#REF!</definedName>
    <definedName name="_10A_17">[7]연돌일위집계!#REF!</definedName>
    <definedName name="_10A_18">[7]연돌일위집계!#REF!</definedName>
    <definedName name="_10A_19">[7]연돌일위집계!#REF!</definedName>
    <definedName name="_10A_2">[7]연돌일위집계!#REF!</definedName>
    <definedName name="_10A_20">[7]연돌일위집계!#REF!</definedName>
    <definedName name="_10A_21">[7]연돌일위집계!#REF!</definedName>
    <definedName name="_10A_22">[7]연돌일위집계!#REF!</definedName>
    <definedName name="_10A_23">[7]연돌일위집계!#REF!</definedName>
    <definedName name="_10A_24">[7]연돌일위집계!#REF!</definedName>
    <definedName name="_10A_25">[7]연돌일위집계!#REF!</definedName>
    <definedName name="_10A_26">[7]연돌일위집계!#REF!</definedName>
    <definedName name="_10A_27">[7]연돌일위집계!#REF!</definedName>
    <definedName name="_10A_28">[7]연돌일위집계!#REF!</definedName>
    <definedName name="_10A_29">[7]연돌일위집계!#REF!</definedName>
    <definedName name="_10A_3">[7]연돌일위집계!#REF!</definedName>
    <definedName name="_10A_30">[7]연돌일위집계!#REF!</definedName>
    <definedName name="_10A_31">[7]연돌일위집계!#REF!</definedName>
    <definedName name="_10A_32">[7]연돌일위집계!#REF!</definedName>
    <definedName name="_10A_33">[7]연돌일위집계!#REF!</definedName>
    <definedName name="_10A_34">[7]연돌일위집계!#REF!</definedName>
    <definedName name="_10A_35">[7]연돌일위집계!#REF!</definedName>
    <definedName name="_10A_36">[7]연돌일위집계!#REF!</definedName>
    <definedName name="_10A_37">[7]연돌일위집계!#REF!</definedName>
    <definedName name="_10A_38">[7]연돌일위집계!#REF!</definedName>
    <definedName name="_10A_39">[7]연돌일위집계!#REF!</definedName>
    <definedName name="_10A_4">[7]연돌일위집계!#REF!</definedName>
    <definedName name="_10A_40">[7]연돌일위집계!#REF!</definedName>
    <definedName name="_10A_41">[7]연돌일위집계!#REF!</definedName>
    <definedName name="_10A_42">[7]연돌일위집계!#REF!</definedName>
    <definedName name="_10A_43">[7]연돌일위집계!#REF!</definedName>
    <definedName name="_10A_44">[7]연돌일위집계!#REF!</definedName>
    <definedName name="_10A_45">[7]연돌일위집계!#REF!</definedName>
    <definedName name="_10A_46">[7]연돌일위집계!#REF!</definedName>
    <definedName name="_10A_47">[7]연돌일위집계!#REF!</definedName>
    <definedName name="_10A_48">[7]연돌일위집계!#REF!</definedName>
    <definedName name="_10A_49">[7]연돌일위집계!#REF!</definedName>
    <definedName name="_10A_5">[7]연돌일위집계!#REF!</definedName>
    <definedName name="_10A_50">[7]연돌일위집계!#REF!</definedName>
    <definedName name="_10A_51">[7]연돌일위집계!#REF!</definedName>
    <definedName name="_10A_52">[7]연돌일위집계!#REF!</definedName>
    <definedName name="_10A_53">[7]연돌일위집계!#REF!</definedName>
    <definedName name="_10A_54">[7]연돌일위집계!#REF!</definedName>
    <definedName name="_10A_55">[7]연돌일위집계!#REF!</definedName>
    <definedName name="_10A_56">[7]연돌일위집계!#REF!</definedName>
    <definedName name="_10A_57">[7]연돌일위집계!#REF!</definedName>
    <definedName name="_10A_58">[7]연돌일위집계!#REF!</definedName>
    <definedName name="_10A_59">[7]연돌일위집계!#REF!</definedName>
    <definedName name="_10A_6">[7]연돌일위집계!#REF!</definedName>
    <definedName name="_10A_60">[7]연돌일위집계!#REF!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">[7]연돌일위집계!#REF!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">[7]연돌일위집계!#REF!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">[7]연돌일위집계!#REF!</definedName>
    <definedName name="_10A_90">#N/A</definedName>
    <definedName name="_10B_">[7]연돌일위집계!#REF!</definedName>
    <definedName name="_10B_1">[7]연돌일위집계!#REF!</definedName>
    <definedName name="_10B_10">[7]연돌일위집계!#REF!</definedName>
    <definedName name="_10B_11">[7]연돌일위집계!#REF!</definedName>
    <definedName name="_10B_12">[7]연돌일위집계!#REF!</definedName>
    <definedName name="_10B_13">[7]연돌일위집계!#REF!</definedName>
    <definedName name="_10B_14">[7]연돌일위집계!#REF!</definedName>
    <definedName name="_10B_15">[7]연돌일위집계!#REF!</definedName>
    <definedName name="_10B_16">[7]연돌일위집계!#REF!</definedName>
    <definedName name="_10B_17">[7]연돌일위집계!#REF!</definedName>
    <definedName name="_10B_18">[7]연돌일위집계!#REF!</definedName>
    <definedName name="_10B_19">[7]연돌일위집계!#REF!</definedName>
    <definedName name="_10B_2">[7]연돌일위집계!#REF!</definedName>
    <definedName name="_10B_20">[7]연돌일위집계!#REF!</definedName>
    <definedName name="_10B_21">[7]연돌일위집계!#REF!</definedName>
    <definedName name="_10B_22">[7]연돌일위집계!#REF!</definedName>
    <definedName name="_10B_23">[7]연돌일위집계!#REF!</definedName>
    <definedName name="_10B_24">[7]연돌일위집계!#REF!</definedName>
    <definedName name="_10B_25">[7]연돌일위집계!#REF!</definedName>
    <definedName name="_10B_26">[7]연돌일위집계!#REF!</definedName>
    <definedName name="_10B_27">[7]연돌일위집계!#REF!</definedName>
    <definedName name="_10B_28">[7]연돌일위집계!#REF!</definedName>
    <definedName name="_10B_29">[7]연돌일위집계!#REF!</definedName>
    <definedName name="_10B_3">[7]연돌일위집계!#REF!</definedName>
    <definedName name="_10B_30">[7]연돌일위집계!#REF!</definedName>
    <definedName name="_10B_31">[7]연돌일위집계!#REF!</definedName>
    <definedName name="_10B_32">[7]연돌일위집계!#REF!</definedName>
    <definedName name="_10B_33">[7]연돌일위집계!#REF!</definedName>
    <definedName name="_10B_34">[7]연돌일위집계!#REF!</definedName>
    <definedName name="_10B_35">[7]연돌일위집계!#REF!</definedName>
    <definedName name="_10B_36">[7]연돌일위집계!#REF!</definedName>
    <definedName name="_10B_37">[7]연돌일위집계!#REF!</definedName>
    <definedName name="_10B_38">[7]연돌일위집계!#REF!</definedName>
    <definedName name="_10B_39">[7]연돌일위집계!#REF!</definedName>
    <definedName name="_10B_4">[7]연돌일위집계!#REF!</definedName>
    <definedName name="_10B_40">[7]연돌일위집계!#REF!</definedName>
    <definedName name="_10B_41">[7]연돌일위집계!#REF!</definedName>
    <definedName name="_10B_42">[7]연돌일위집계!#REF!</definedName>
    <definedName name="_10B_43">[7]연돌일위집계!#REF!</definedName>
    <definedName name="_10B_44">[7]연돌일위집계!#REF!</definedName>
    <definedName name="_10B_45">[7]연돌일위집계!#REF!</definedName>
    <definedName name="_10B_46">[7]연돌일위집계!#REF!</definedName>
    <definedName name="_10B_47">[7]연돌일위집계!#REF!</definedName>
    <definedName name="_10B_48">[7]연돌일위집계!#REF!</definedName>
    <definedName name="_10B_49">[7]연돌일위집계!#REF!</definedName>
    <definedName name="_10B_5">[7]연돌일위집계!#REF!</definedName>
    <definedName name="_10B_50">[7]연돌일위집계!#REF!</definedName>
    <definedName name="_10B_51">[7]연돌일위집계!#REF!</definedName>
    <definedName name="_10B_52">[7]연돌일위집계!#REF!</definedName>
    <definedName name="_10B_53">[7]연돌일위집계!#REF!</definedName>
    <definedName name="_10B_54">[7]연돌일위집계!#REF!</definedName>
    <definedName name="_10B_55">[7]연돌일위집계!#REF!</definedName>
    <definedName name="_10B_56">[7]연돌일위집계!#REF!</definedName>
    <definedName name="_10B_57">[7]연돌일위집계!#REF!</definedName>
    <definedName name="_10B_58">[7]연돌일위집계!#REF!</definedName>
    <definedName name="_10B_59">[7]연돌일위집계!#REF!</definedName>
    <definedName name="_10B_6">[7]연돌일위집계!#REF!</definedName>
    <definedName name="_10B_60">[7]연돌일위집계!#REF!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">[7]연돌일위집계!#REF!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">[7]연돌일위집계!#REF!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">[7]연돌일위집계!#REF!</definedName>
    <definedName name="_10B_90">#N/A</definedName>
    <definedName name="_10C_">[7]연돌일위집계!#REF!</definedName>
    <definedName name="_10C_1">[7]연돌일위집계!#REF!</definedName>
    <definedName name="_10C_10">[7]연돌일위집계!#REF!</definedName>
    <definedName name="_10C_11">[7]연돌일위집계!#REF!</definedName>
    <definedName name="_10C_12">[7]연돌일위집계!#REF!</definedName>
    <definedName name="_10C_13">[7]연돌일위집계!#REF!</definedName>
    <definedName name="_10C_14">[7]연돌일위집계!#REF!</definedName>
    <definedName name="_10C_15">[7]연돌일위집계!#REF!</definedName>
    <definedName name="_10C_16">[7]연돌일위집계!#REF!</definedName>
    <definedName name="_10C_17">[7]연돌일위집계!#REF!</definedName>
    <definedName name="_10C_18">[7]연돌일위집계!#REF!</definedName>
    <definedName name="_10C_19">[7]연돌일위집계!#REF!</definedName>
    <definedName name="_10C_2">[7]연돌일위집계!#REF!</definedName>
    <definedName name="_10C_20">[7]연돌일위집계!#REF!</definedName>
    <definedName name="_10C_21">[7]연돌일위집계!#REF!</definedName>
    <definedName name="_10C_22">[7]연돌일위집계!#REF!</definedName>
    <definedName name="_10C_23">[7]연돌일위집계!#REF!</definedName>
    <definedName name="_10C_24">[7]연돌일위집계!#REF!</definedName>
    <definedName name="_10C_25">[7]연돌일위집계!#REF!</definedName>
    <definedName name="_10C_26">[7]연돌일위집계!#REF!</definedName>
    <definedName name="_10C_27">[7]연돌일위집계!#REF!</definedName>
    <definedName name="_10C_28">[7]연돌일위집계!#REF!</definedName>
    <definedName name="_10C_29">[7]연돌일위집계!#REF!</definedName>
    <definedName name="_10C_3">[7]연돌일위집계!#REF!</definedName>
    <definedName name="_10C_30">[7]연돌일위집계!#REF!</definedName>
    <definedName name="_10C_31">[7]연돌일위집계!#REF!</definedName>
    <definedName name="_10C_32">[7]연돌일위집계!#REF!</definedName>
    <definedName name="_10C_33">[7]연돌일위집계!#REF!</definedName>
    <definedName name="_10C_34">[7]연돌일위집계!#REF!</definedName>
    <definedName name="_10C_35">[7]연돌일위집계!#REF!</definedName>
    <definedName name="_10C_36">[7]연돌일위집계!#REF!</definedName>
    <definedName name="_10C_37">[7]연돌일위집계!#REF!</definedName>
    <definedName name="_10C_38">[7]연돌일위집계!#REF!</definedName>
    <definedName name="_10C_39">[7]연돌일위집계!#REF!</definedName>
    <definedName name="_10C_4">[7]연돌일위집계!#REF!</definedName>
    <definedName name="_10C_40">[7]연돌일위집계!#REF!</definedName>
    <definedName name="_10C_41">[7]연돌일위집계!#REF!</definedName>
    <definedName name="_10C_42">[7]연돌일위집계!#REF!</definedName>
    <definedName name="_10C_43">[7]연돌일위집계!#REF!</definedName>
    <definedName name="_10C_44">[7]연돌일위집계!#REF!</definedName>
    <definedName name="_10C_45">[7]연돌일위집계!#REF!</definedName>
    <definedName name="_10C_46">[7]연돌일위집계!#REF!</definedName>
    <definedName name="_10C_47">[7]연돌일위집계!#REF!</definedName>
    <definedName name="_10C_48">[7]연돌일위집계!#REF!</definedName>
    <definedName name="_10C_49">[7]연돌일위집계!#REF!</definedName>
    <definedName name="_10C_5">[7]연돌일위집계!#REF!</definedName>
    <definedName name="_10C_50">[7]연돌일위집계!#REF!</definedName>
    <definedName name="_10C_51">[7]연돌일위집계!#REF!</definedName>
    <definedName name="_10C_52">[7]연돌일위집계!#REF!</definedName>
    <definedName name="_10C_53">[7]연돌일위집계!#REF!</definedName>
    <definedName name="_10C_54">[7]연돌일위집계!#REF!</definedName>
    <definedName name="_10C_55">[7]연돌일위집계!#REF!</definedName>
    <definedName name="_10C_56">[7]연돌일위집계!#REF!</definedName>
    <definedName name="_10C_57">[7]연돌일위집계!#REF!</definedName>
    <definedName name="_10C_58">[7]연돌일위집계!#REF!</definedName>
    <definedName name="_10C_59">[7]연돌일위집계!#REF!</definedName>
    <definedName name="_10C_6">[7]연돌일위집계!#REF!</definedName>
    <definedName name="_10C_60">[7]연돌일위집계!#REF!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">[7]연돌일위집계!#REF!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">[7]연돌일위집계!#REF!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">[7]연돌일위집계!#REF!</definedName>
    <definedName name="_10C_90">#N/A</definedName>
    <definedName name="_11A_1">[7]연돌일위집계!#REF!</definedName>
    <definedName name="_11A_10">[7]연돌일위집계!#REF!</definedName>
    <definedName name="_11A_11">[7]연돌일위집계!#REF!</definedName>
    <definedName name="_11A_12">[7]연돌일위집계!#REF!</definedName>
    <definedName name="_11A_13">[7]연돌일위집계!#REF!</definedName>
    <definedName name="_11A_14">[7]연돌일위집계!#REF!</definedName>
    <definedName name="_11A_15">[7]연돌일위집계!#REF!</definedName>
    <definedName name="_11A_16">[7]연돌일위집계!#REF!</definedName>
    <definedName name="_11A_17">[7]연돌일위집계!#REF!</definedName>
    <definedName name="_11A_18">[7]연돌일위집계!#REF!</definedName>
    <definedName name="_11A_19">[7]연돌일위집계!#REF!</definedName>
    <definedName name="_11A_2">[7]연돌일위집계!#REF!</definedName>
    <definedName name="_11A_20">[7]연돌일위집계!#REF!</definedName>
    <definedName name="_11A_21">[7]연돌일위집계!#REF!</definedName>
    <definedName name="_11A_22">[7]연돌일위집계!#REF!</definedName>
    <definedName name="_11A_23">[7]연돌일위집계!#REF!</definedName>
    <definedName name="_11A_24">[7]연돌일위집계!#REF!</definedName>
    <definedName name="_11A_25">[7]연돌일위집계!#REF!</definedName>
    <definedName name="_11A_26">[7]연돌일위집계!#REF!</definedName>
    <definedName name="_11A_27">[7]연돌일위집계!#REF!</definedName>
    <definedName name="_11A_28">[7]연돌일위집계!#REF!</definedName>
    <definedName name="_11A_29">[7]연돌일위집계!#REF!</definedName>
    <definedName name="_11A_3">[7]연돌일위집계!#REF!</definedName>
    <definedName name="_11A_30">[7]연돌일위집계!#REF!</definedName>
    <definedName name="_11A_4">[7]연돌일위집계!#REF!</definedName>
    <definedName name="_11A_5">[7]연돌일위집계!#REF!</definedName>
    <definedName name="_11A_6">[7]연돌일위집계!#REF!</definedName>
    <definedName name="_11A_7">[7]연돌일위집계!#REF!</definedName>
    <definedName name="_11A_8">[7]연돌일위집계!#REF!</definedName>
    <definedName name="_11A_9">[7]연돌일위집계!#REF!</definedName>
    <definedName name="_11B_1">[7]연돌일위집계!#REF!</definedName>
    <definedName name="_11B_10">[7]연돌일위집계!#REF!</definedName>
    <definedName name="_11B_11">[7]연돌일위집계!#REF!</definedName>
    <definedName name="_11B_12">[7]연돌일위집계!#REF!</definedName>
    <definedName name="_11B_13">[7]연돌일위집계!#REF!</definedName>
    <definedName name="_11B_14">[7]연돌일위집계!#REF!</definedName>
    <definedName name="_11B_15">[7]연돌일위집계!#REF!</definedName>
    <definedName name="_11B_16">[7]연돌일위집계!#REF!</definedName>
    <definedName name="_11B_17">[7]연돌일위집계!#REF!</definedName>
    <definedName name="_11B_18">[7]연돌일위집계!#REF!</definedName>
    <definedName name="_11B_19">[7]연돌일위집계!#REF!</definedName>
    <definedName name="_11B_2">[7]연돌일위집계!#REF!</definedName>
    <definedName name="_11B_20">[7]연돌일위집계!#REF!</definedName>
    <definedName name="_11B_21">[7]연돌일위집계!#REF!</definedName>
    <definedName name="_11B_22">[7]연돌일위집계!#REF!</definedName>
    <definedName name="_11B_23">[7]연돌일위집계!#REF!</definedName>
    <definedName name="_11B_24">[7]연돌일위집계!#REF!</definedName>
    <definedName name="_11B_25">[7]연돌일위집계!#REF!</definedName>
    <definedName name="_11B_26">[7]연돌일위집계!#REF!</definedName>
    <definedName name="_11B_27">[7]연돌일위집계!#REF!</definedName>
    <definedName name="_11B_28">[7]연돌일위집계!#REF!</definedName>
    <definedName name="_11B_29">[7]연돌일위집계!#REF!</definedName>
    <definedName name="_11B_3">[7]연돌일위집계!#REF!</definedName>
    <definedName name="_11B_30">[7]연돌일위집계!#REF!</definedName>
    <definedName name="_11B_4">[7]연돌일위집계!#REF!</definedName>
    <definedName name="_11B_5">[7]연돌일위집계!#REF!</definedName>
    <definedName name="_11B_6">[7]연돌일위집계!#REF!</definedName>
    <definedName name="_11B_7">[7]연돌일위집계!#REF!</definedName>
    <definedName name="_11B_8">[7]연돌일위집계!#REF!</definedName>
    <definedName name="_11B_9">[7]연돌일위집계!#REF!</definedName>
    <definedName name="_11C_1">[7]연돌일위집계!#REF!</definedName>
    <definedName name="_11C_10">[7]연돌일위집계!#REF!</definedName>
    <definedName name="_11C_11">[7]연돌일위집계!#REF!</definedName>
    <definedName name="_11C_12">[7]연돌일위집계!#REF!</definedName>
    <definedName name="_11C_13">[7]연돌일위집계!#REF!</definedName>
    <definedName name="_11C_14">[7]연돌일위집계!#REF!</definedName>
    <definedName name="_11C_15">[7]연돌일위집계!#REF!</definedName>
    <definedName name="_11C_16">[7]연돌일위집계!#REF!</definedName>
    <definedName name="_11C_17">[7]연돌일위집계!#REF!</definedName>
    <definedName name="_11C_18">[7]연돌일위집계!#REF!</definedName>
    <definedName name="_11C_19">[7]연돌일위집계!#REF!</definedName>
    <definedName name="_11C_2">[7]연돌일위집계!#REF!</definedName>
    <definedName name="_11C_20">[7]연돌일위집계!#REF!</definedName>
    <definedName name="_11C_21">[7]연돌일위집계!#REF!</definedName>
    <definedName name="_11C_22">[7]연돌일위집계!#REF!</definedName>
    <definedName name="_11C_23">[7]연돌일위집계!#REF!</definedName>
    <definedName name="_11C_24">[7]연돌일위집계!#REF!</definedName>
    <definedName name="_11C_25">[7]연돌일위집계!#REF!</definedName>
    <definedName name="_11C_26">[7]연돌일위집계!#REF!</definedName>
    <definedName name="_11C_27">[7]연돌일위집계!#REF!</definedName>
    <definedName name="_11C_28">[7]연돌일위집계!#REF!</definedName>
    <definedName name="_11C_29">[7]연돌일위집계!#REF!</definedName>
    <definedName name="_11C_3">[7]연돌일위집계!#REF!</definedName>
    <definedName name="_11C_30">[7]연돌일위집계!#REF!</definedName>
    <definedName name="_11C_4">[7]연돌일위집계!#REF!</definedName>
    <definedName name="_11C_5">[7]연돌일위집계!#REF!</definedName>
    <definedName name="_11C_6">[7]연돌일위집계!#REF!</definedName>
    <definedName name="_11C_7">[7]연돌일위집계!#REF!</definedName>
    <definedName name="_11C_8">[7]연돌일위집계!#REF!</definedName>
    <definedName name="_11C_9">[7]연돌일위집계!#REF!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A_1">[7]연돌일위집계!#REF!</definedName>
    <definedName name="_13A_10">[7]연돌일위집계!#REF!</definedName>
    <definedName name="_13A_11">[7]연돌일위집계!#REF!</definedName>
    <definedName name="_13A_12">[7]연돌일위집계!#REF!</definedName>
    <definedName name="_13A_13">[7]연돌일위집계!#REF!</definedName>
    <definedName name="_13A_14">[7]연돌일위집계!#REF!</definedName>
    <definedName name="_13A_15">[7]연돌일위집계!#REF!</definedName>
    <definedName name="_13A_16">[7]연돌일위집계!#REF!</definedName>
    <definedName name="_13A_17">[7]연돌일위집계!#REF!</definedName>
    <definedName name="_13A_18">[7]연돌일위집계!#REF!</definedName>
    <definedName name="_13A_19">[7]연돌일위집계!#REF!</definedName>
    <definedName name="_13A_2">[7]연돌일위집계!#REF!</definedName>
    <definedName name="_13A_20">[7]연돌일위집계!#REF!</definedName>
    <definedName name="_13A_21">[7]연돌일위집계!#REF!</definedName>
    <definedName name="_13A_22">[7]연돌일위집계!#REF!</definedName>
    <definedName name="_13A_23">[7]연돌일위집계!#REF!</definedName>
    <definedName name="_13A_24">[7]연돌일위집계!#REF!</definedName>
    <definedName name="_13A_25">[7]연돌일위집계!#REF!</definedName>
    <definedName name="_13A_26">[7]연돌일위집계!#REF!</definedName>
    <definedName name="_13A_27">[7]연돌일위집계!#REF!</definedName>
    <definedName name="_13A_28">[7]연돌일위집계!#REF!</definedName>
    <definedName name="_13A_29">[7]연돌일위집계!#REF!</definedName>
    <definedName name="_13A_3">[7]연돌일위집계!#REF!</definedName>
    <definedName name="_13A_30">[7]연돌일위집계!#REF!</definedName>
    <definedName name="_13A_31">[7]연돌일위집계!#REF!</definedName>
    <definedName name="_13A_32">[7]연돌일위집계!#REF!</definedName>
    <definedName name="_13A_33">[7]연돌일위집계!#REF!</definedName>
    <definedName name="_13A_34">[7]연돌일위집계!#REF!</definedName>
    <definedName name="_13A_35">[7]연돌일위집계!#REF!</definedName>
    <definedName name="_13A_36">[7]연돌일위집계!#REF!</definedName>
    <definedName name="_13A_37">[7]연돌일위집계!#REF!</definedName>
    <definedName name="_13A_38">[7]연돌일위집계!#REF!</definedName>
    <definedName name="_13A_39">[7]연돌일위집계!#REF!</definedName>
    <definedName name="_13A_4">[7]연돌일위집계!#REF!</definedName>
    <definedName name="_13A_40">[7]연돌일위집계!#REF!</definedName>
    <definedName name="_13A_41">[7]연돌일위집계!#REF!</definedName>
    <definedName name="_13A_42">[7]연돌일위집계!#REF!</definedName>
    <definedName name="_13A_43">[7]연돌일위집계!#REF!</definedName>
    <definedName name="_13A_44">[7]연돌일위집계!#REF!</definedName>
    <definedName name="_13A_45">[7]연돌일위집계!#REF!</definedName>
    <definedName name="_13A_46">[7]연돌일위집계!#REF!</definedName>
    <definedName name="_13A_47">[7]연돌일위집계!#REF!</definedName>
    <definedName name="_13A_48">[7]연돌일위집계!#REF!</definedName>
    <definedName name="_13A_49">[7]연돌일위집계!#REF!</definedName>
    <definedName name="_13A_5">[7]연돌일위집계!#REF!</definedName>
    <definedName name="_13A_50">[7]연돌일위집계!#REF!</definedName>
    <definedName name="_13A_51">[7]연돌일위집계!#REF!</definedName>
    <definedName name="_13A_52">[7]연돌일위집계!#REF!</definedName>
    <definedName name="_13A_53">[7]연돌일위집계!#REF!</definedName>
    <definedName name="_13A_54">[7]연돌일위집계!#REF!</definedName>
    <definedName name="_13A_55">[7]연돌일위집계!#REF!</definedName>
    <definedName name="_13A_56">[7]연돌일위집계!#REF!</definedName>
    <definedName name="_13A_57">[7]연돌일위집계!#REF!</definedName>
    <definedName name="_13A_58">[7]연돌일위집계!#REF!</definedName>
    <definedName name="_13A_59">[7]연돌일위집계!#REF!</definedName>
    <definedName name="_13A_6">[7]연돌일위집계!#REF!</definedName>
    <definedName name="_13A_60">[7]연돌일위집계!#REF!</definedName>
    <definedName name="_13A_7">[7]연돌일위집계!#REF!</definedName>
    <definedName name="_13A_8">[7]연돌일위집계!#REF!</definedName>
    <definedName name="_13A_9">[7]연돌일위집계!#REF!</definedName>
    <definedName name="_13B_1">[7]연돌일위집계!#REF!</definedName>
    <definedName name="_13B_10">[7]연돌일위집계!#REF!</definedName>
    <definedName name="_13B_11">[7]연돌일위집계!#REF!</definedName>
    <definedName name="_13B_12">[7]연돌일위집계!#REF!</definedName>
    <definedName name="_13B_13">[7]연돌일위집계!#REF!</definedName>
    <definedName name="_13B_14">[7]연돌일위집계!#REF!</definedName>
    <definedName name="_13B_15">[7]연돌일위집계!#REF!</definedName>
    <definedName name="_13B_16">[7]연돌일위집계!#REF!</definedName>
    <definedName name="_13B_17">[7]연돌일위집계!#REF!</definedName>
    <definedName name="_13B_18">[7]연돌일위집계!#REF!</definedName>
    <definedName name="_13B_19">[7]연돌일위집계!#REF!</definedName>
    <definedName name="_13B_2">[7]연돌일위집계!#REF!</definedName>
    <definedName name="_13B_20">[7]연돌일위집계!#REF!</definedName>
    <definedName name="_13B_21">[7]연돌일위집계!#REF!</definedName>
    <definedName name="_13B_22">[7]연돌일위집계!#REF!</definedName>
    <definedName name="_13B_23">[7]연돌일위집계!#REF!</definedName>
    <definedName name="_13B_24">[7]연돌일위집계!#REF!</definedName>
    <definedName name="_13B_25">[7]연돌일위집계!#REF!</definedName>
    <definedName name="_13B_26">[7]연돌일위집계!#REF!</definedName>
    <definedName name="_13B_27">[7]연돌일위집계!#REF!</definedName>
    <definedName name="_13B_28">[7]연돌일위집계!#REF!</definedName>
    <definedName name="_13B_29">[7]연돌일위집계!#REF!</definedName>
    <definedName name="_13B_3">[7]연돌일위집계!#REF!</definedName>
    <definedName name="_13B_30">[7]연돌일위집계!#REF!</definedName>
    <definedName name="_13B_31">[7]연돌일위집계!#REF!</definedName>
    <definedName name="_13B_32">[7]연돌일위집계!#REF!</definedName>
    <definedName name="_13B_33">[7]연돌일위집계!#REF!</definedName>
    <definedName name="_13B_34">[7]연돌일위집계!#REF!</definedName>
    <definedName name="_13B_35">[7]연돌일위집계!#REF!</definedName>
    <definedName name="_13B_36">[7]연돌일위집계!#REF!</definedName>
    <definedName name="_13B_37">[7]연돌일위집계!#REF!</definedName>
    <definedName name="_13B_38">[7]연돌일위집계!#REF!</definedName>
    <definedName name="_13B_39">[7]연돌일위집계!#REF!</definedName>
    <definedName name="_13B_4">[7]연돌일위집계!#REF!</definedName>
    <definedName name="_13B_40">[7]연돌일위집계!#REF!</definedName>
    <definedName name="_13B_41">[7]연돌일위집계!#REF!</definedName>
    <definedName name="_13B_42">[7]연돌일위집계!#REF!</definedName>
    <definedName name="_13B_43">[7]연돌일위집계!#REF!</definedName>
    <definedName name="_13B_44">[7]연돌일위집계!#REF!</definedName>
    <definedName name="_13B_45">[7]연돌일위집계!#REF!</definedName>
    <definedName name="_13B_46">[7]연돌일위집계!#REF!</definedName>
    <definedName name="_13B_47">[7]연돌일위집계!#REF!</definedName>
    <definedName name="_13B_48">[7]연돌일위집계!#REF!</definedName>
    <definedName name="_13B_49">[7]연돌일위집계!#REF!</definedName>
    <definedName name="_13B_5">[7]연돌일위집계!#REF!</definedName>
    <definedName name="_13B_50">[7]연돌일위집계!#REF!</definedName>
    <definedName name="_13B_51">[7]연돌일위집계!#REF!</definedName>
    <definedName name="_13B_52">[7]연돌일위집계!#REF!</definedName>
    <definedName name="_13B_53">[7]연돌일위집계!#REF!</definedName>
    <definedName name="_13B_54">[7]연돌일위집계!#REF!</definedName>
    <definedName name="_13B_55">[7]연돌일위집계!#REF!</definedName>
    <definedName name="_13B_56">[7]연돌일위집계!#REF!</definedName>
    <definedName name="_13B_57">[7]연돌일위집계!#REF!</definedName>
    <definedName name="_13B_58">[7]연돌일위집계!#REF!</definedName>
    <definedName name="_13B_59">[7]연돌일위집계!#REF!</definedName>
    <definedName name="_13B_6">[7]연돌일위집계!#REF!</definedName>
    <definedName name="_13B_60">[7]연돌일위집계!#REF!</definedName>
    <definedName name="_13B_7">[7]연돌일위집계!#REF!</definedName>
    <definedName name="_13B_8">[7]연돌일위집계!#REF!</definedName>
    <definedName name="_13B_9">[7]연돌일위집계!#REF!</definedName>
    <definedName name="_13C_1">[7]연돌일위집계!#REF!</definedName>
    <definedName name="_13C_10">[7]연돌일위집계!#REF!</definedName>
    <definedName name="_13C_11">[7]연돌일위집계!#REF!</definedName>
    <definedName name="_13C_12">[7]연돌일위집계!#REF!</definedName>
    <definedName name="_13C_13">[7]연돌일위집계!#REF!</definedName>
    <definedName name="_13C_14">[7]연돌일위집계!#REF!</definedName>
    <definedName name="_13C_15">[7]연돌일위집계!#REF!</definedName>
    <definedName name="_13C_16">[7]연돌일위집계!#REF!</definedName>
    <definedName name="_13C_17">[7]연돌일위집계!#REF!</definedName>
    <definedName name="_13C_18">[7]연돌일위집계!#REF!</definedName>
    <definedName name="_13C_19">[7]연돌일위집계!#REF!</definedName>
    <definedName name="_13C_2">[7]연돌일위집계!#REF!</definedName>
    <definedName name="_13C_20">[7]연돌일위집계!#REF!</definedName>
    <definedName name="_13C_21">[7]연돌일위집계!#REF!</definedName>
    <definedName name="_13C_22">[7]연돌일위집계!#REF!</definedName>
    <definedName name="_13C_23">[7]연돌일위집계!#REF!</definedName>
    <definedName name="_13C_24">[7]연돌일위집계!#REF!</definedName>
    <definedName name="_13C_25">[7]연돌일위집계!#REF!</definedName>
    <definedName name="_13C_26">[7]연돌일위집계!#REF!</definedName>
    <definedName name="_13C_27">[7]연돌일위집계!#REF!</definedName>
    <definedName name="_13C_28">[7]연돌일위집계!#REF!</definedName>
    <definedName name="_13C_29">[7]연돌일위집계!#REF!</definedName>
    <definedName name="_13C_3">[7]연돌일위집계!#REF!</definedName>
    <definedName name="_13C_30">[7]연돌일위집계!#REF!</definedName>
    <definedName name="_13C_31">[7]연돌일위집계!#REF!</definedName>
    <definedName name="_13C_32">[7]연돌일위집계!#REF!</definedName>
    <definedName name="_13C_33">[7]연돌일위집계!#REF!</definedName>
    <definedName name="_13C_34">[7]연돌일위집계!#REF!</definedName>
    <definedName name="_13C_35">[7]연돌일위집계!#REF!</definedName>
    <definedName name="_13C_36">[7]연돌일위집계!#REF!</definedName>
    <definedName name="_13C_37">[7]연돌일위집계!#REF!</definedName>
    <definedName name="_13C_38">[7]연돌일위집계!#REF!</definedName>
    <definedName name="_13C_39">[7]연돌일위집계!#REF!</definedName>
    <definedName name="_13C_4">[7]연돌일위집계!#REF!</definedName>
    <definedName name="_13C_40">[7]연돌일위집계!#REF!</definedName>
    <definedName name="_13C_41">[7]연돌일위집계!#REF!</definedName>
    <definedName name="_13C_42">[7]연돌일위집계!#REF!</definedName>
    <definedName name="_13C_43">[7]연돌일위집계!#REF!</definedName>
    <definedName name="_13C_44">[7]연돌일위집계!#REF!</definedName>
    <definedName name="_13C_45">[7]연돌일위집계!#REF!</definedName>
    <definedName name="_13C_46">[7]연돌일위집계!#REF!</definedName>
    <definedName name="_13C_47">[7]연돌일위집계!#REF!</definedName>
    <definedName name="_13C_48">[7]연돌일위집계!#REF!</definedName>
    <definedName name="_13C_49">[7]연돌일위집계!#REF!</definedName>
    <definedName name="_13C_5">[7]연돌일위집계!#REF!</definedName>
    <definedName name="_13C_50">[7]연돌일위집계!#REF!</definedName>
    <definedName name="_13C_51">[7]연돌일위집계!#REF!</definedName>
    <definedName name="_13C_52">[7]연돌일위집계!#REF!</definedName>
    <definedName name="_13C_53">[7]연돌일위집계!#REF!</definedName>
    <definedName name="_13C_54">[7]연돌일위집계!#REF!</definedName>
    <definedName name="_13C_55">[7]연돌일위집계!#REF!</definedName>
    <definedName name="_13C_56">[7]연돌일위집계!#REF!</definedName>
    <definedName name="_13C_57">[7]연돌일위집계!#REF!</definedName>
    <definedName name="_13C_58">[7]연돌일위집계!#REF!</definedName>
    <definedName name="_13C_59">[7]연돌일위집계!#REF!</definedName>
    <definedName name="_13C_6">[7]연돌일위집계!#REF!</definedName>
    <definedName name="_13C_60">[7]연돌일위집계!#REF!</definedName>
    <definedName name="_13C_7">[7]연돌일위집계!#REF!</definedName>
    <definedName name="_13C_8">[7]연돌일위집계!#REF!</definedName>
    <definedName name="_13C_9">[7]연돌일위집계!#REF!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5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6A_1">[7]연돌일위집계!#REF!</definedName>
    <definedName name="_16A_10">#REF!</definedName>
    <definedName name="_16A_11">#REF!</definedName>
    <definedName name="_16A_12">#REF!</definedName>
    <definedName name="_16A_13">#REF!</definedName>
    <definedName name="_16A_14">#REF!</definedName>
    <definedName name="_16A_15">#REF!</definedName>
    <definedName name="_16A_2">[7]연돌일위집계!#REF!</definedName>
    <definedName name="_16A_3">[7]연돌일위집계!#REF!</definedName>
    <definedName name="_16A_4">[7]연돌일위집계!#REF!</definedName>
    <definedName name="_16A_5">[7]연돌일위집계!#REF!</definedName>
    <definedName name="_16A_6">[7]연돌일위집계!#REF!</definedName>
    <definedName name="_16A_7">[7]연돌일위집계!#REF!</definedName>
    <definedName name="_16A_8">#REF!</definedName>
    <definedName name="_16A_9">#REF!</definedName>
    <definedName name="_16B_1">[7]연돌일위집계!#REF!</definedName>
    <definedName name="_16B_10">#REF!</definedName>
    <definedName name="_16B_11">#REF!</definedName>
    <definedName name="_16B_12">#REF!</definedName>
    <definedName name="_16B_13">#REF!</definedName>
    <definedName name="_16B_14">#REF!</definedName>
    <definedName name="_16B_15">#REF!</definedName>
    <definedName name="_16B_2">[7]연돌일위집계!#REF!</definedName>
    <definedName name="_16B_3">[7]연돌일위집계!#REF!</definedName>
    <definedName name="_16B_4">[7]연돌일위집계!#REF!</definedName>
    <definedName name="_16B_5">[7]연돌일위집계!#REF!</definedName>
    <definedName name="_16B_6">[7]연돌일위집계!#REF!</definedName>
    <definedName name="_16B_7">[7]연돌일위집계!#REF!</definedName>
    <definedName name="_16B_8">#REF!</definedName>
    <definedName name="_16B_9">#REF!</definedName>
    <definedName name="_16C_1">[7]연돌일위집계!#REF!</definedName>
    <definedName name="_16C_10">#REF!</definedName>
    <definedName name="_16C_11">#REF!</definedName>
    <definedName name="_16C_12">#REF!</definedName>
    <definedName name="_16C_13">#REF!</definedName>
    <definedName name="_16C_14">#REF!</definedName>
    <definedName name="_16C_15">#REF!</definedName>
    <definedName name="_16C_2">[7]연돌일위집계!#REF!</definedName>
    <definedName name="_16C_3">[7]연돌일위집계!#REF!</definedName>
    <definedName name="_16C_4">[7]연돌일위집계!#REF!</definedName>
    <definedName name="_16C_5">[7]연돌일위집계!#REF!</definedName>
    <definedName name="_16C_6">[7]연돌일위집계!#REF!</definedName>
    <definedName name="_16C_7">[7]연돌일위집계!#REF!</definedName>
    <definedName name="_16C_8">#REF!</definedName>
    <definedName name="_16C_9">#REF!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A_1">[7]연돌일위집계!#REF!</definedName>
    <definedName name="_1A_10">[7]연돌일위집계!#REF!</definedName>
    <definedName name="_1A_11">[7]연돌일위집계!#REF!</definedName>
    <definedName name="_1A_12">[7]연돌일위집계!#REF!</definedName>
    <definedName name="_1A_13">[7]연돌일위집계!#REF!</definedName>
    <definedName name="_1A_14">[7]연돌일위집계!#REF!</definedName>
    <definedName name="_1A_15">[7]연돌일위집계!#REF!</definedName>
    <definedName name="_1A_16">[7]연돌일위집계!#REF!</definedName>
    <definedName name="_1A_17">[7]연돌일위집계!#REF!</definedName>
    <definedName name="_1A_18">[7]연돌일위집계!#REF!</definedName>
    <definedName name="_1A_19">[7]연돌일위집계!#REF!</definedName>
    <definedName name="_1A_2">[7]연돌일위집계!#REF!</definedName>
    <definedName name="_1A_20">[7]연돌일위집계!#REF!</definedName>
    <definedName name="_1A_21">[7]연돌일위집계!#REF!</definedName>
    <definedName name="_1A_22">[7]연돌일위집계!#REF!</definedName>
    <definedName name="_1A_23">[7]연돌일위집계!#REF!</definedName>
    <definedName name="_1A_24">[7]연돌일위집계!#REF!</definedName>
    <definedName name="_1A_25">[7]연돌일위집계!#REF!</definedName>
    <definedName name="_1A_26">[7]연돌일위집계!#REF!</definedName>
    <definedName name="_1A_27">[7]연돌일위집계!#REF!</definedName>
    <definedName name="_1A_28">[7]연돌일위집계!#REF!</definedName>
    <definedName name="_1A_29">[7]연돌일위집계!#REF!</definedName>
    <definedName name="_1A_3">[7]연돌일위집계!#REF!</definedName>
    <definedName name="_1A_30">[7]연돌일위집계!#REF!</definedName>
    <definedName name="_1A_4">[7]연돌일위집계!#REF!</definedName>
    <definedName name="_1A_5">[7]연돌일위집계!#REF!</definedName>
    <definedName name="_1A_6">[7]연돌일위집계!#REF!</definedName>
    <definedName name="_1A_7">[7]연돌일위집계!#REF!</definedName>
    <definedName name="_1A_8">[7]연돌일위집계!#REF!</definedName>
    <definedName name="_1A_9">[7]연돌일위집계!#REF!</definedName>
    <definedName name="_1B_1">[7]연돌일위집계!#REF!</definedName>
    <definedName name="_1B_10">[7]연돌일위집계!#REF!</definedName>
    <definedName name="_1B_11">[7]연돌일위집계!#REF!</definedName>
    <definedName name="_1B_12">[7]연돌일위집계!#REF!</definedName>
    <definedName name="_1B_13">[7]연돌일위집계!#REF!</definedName>
    <definedName name="_1B_14">[7]연돌일위집계!#REF!</definedName>
    <definedName name="_1B_15">[7]연돌일위집계!#REF!</definedName>
    <definedName name="_1B_16">[7]연돌일위집계!#REF!</definedName>
    <definedName name="_1B_17">[7]연돌일위집계!#REF!</definedName>
    <definedName name="_1B_18">[7]연돌일위집계!#REF!</definedName>
    <definedName name="_1B_19">[7]연돌일위집계!#REF!</definedName>
    <definedName name="_1B_2">[7]연돌일위집계!#REF!</definedName>
    <definedName name="_1B_20">[7]연돌일위집계!#REF!</definedName>
    <definedName name="_1B_21">[7]연돌일위집계!#REF!</definedName>
    <definedName name="_1B_22">[7]연돌일위집계!#REF!</definedName>
    <definedName name="_1B_23">[7]연돌일위집계!#REF!</definedName>
    <definedName name="_1B_24">[7]연돌일위집계!#REF!</definedName>
    <definedName name="_1B_25">[7]연돌일위집계!#REF!</definedName>
    <definedName name="_1B_26">[7]연돌일위집계!#REF!</definedName>
    <definedName name="_1B_27">[7]연돌일위집계!#REF!</definedName>
    <definedName name="_1B_28">[7]연돌일위집계!#REF!</definedName>
    <definedName name="_1B_29">[7]연돌일위집계!#REF!</definedName>
    <definedName name="_1B_3">[7]연돌일위집계!#REF!</definedName>
    <definedName name="_1B_30">[7]연돌일위집계!#REF!</definedName>
    <definedName name="_1B_4">[7]연돌일위집계!#REF!</definedName>
    <definedName name="_1B_5">[7]연돌일위집계!#REF!</definedName>
    <definedName name="_1B_6">[7]연돌일위집계!#REF!</definedName>
    <definedName name="_1B_7">[7]연돌일위집계!#REF!</definedName>
    <definedName name="_1B_8">[7]연돌일위집계!#REF!</definedName>
    <definedName name="_1B_9">[7]연돌일위집계!#REF!</definedName>
    <definedName name="_1C_1">[7]연돌일위집계!#REF!</definedName>
    <definedName name="_1C_10">[7]연돌일위집계!#REF!</definedName>
    <definedName name="_1C_11">[7]연돌일위집계!#REF!</definedName>
    <definedName name="_1C_12">[7]연돌일위집계!#REF!</definedName>
    <definedName name="_1C_13">[7]연돌일위집계!#REF!</definedName>
    <definedName name="_1C_14">[7]연돌일위집계!#REF!</definedName>
    <definedName name="_1C_15">[7]연돌일위집계!#REF!</definedName>
    <definedName name="_1C_16">[7]연돌일위집계!#REF!</definedName>
    <definedName name="_1C_17">[7]연돌일위집계!#REF!</definedName>
    <definedName name="_1C_18">[7]연돌일위집계!#REF!</definedName>
    <definedName name="_1C_19">[7]연돌일위집계!#REF!</definedName>
    <definedName name="_1C_2">[7]연돌일위집계!#REF!</definedName>
    <definedName name="_1C_20">[7]연돌일위집계!#REF!</definedName>
    <definedName name="_1C_21">[7]연돌일위집계!#REF!</definedName>
    <definedName name="_1C_22">[7]연돌일위집계!#REF!</definedName>
    <definedName name="_1C_23">[7]연돌일위집계!#REF!</definedName>
    <definedName name="_1C_24">[7]연돌일위집계!#REF!</definedName>
    <definedName name="_1C_25">[7]연돌일위집계!#REF!</definedName>
    <definedName name="_1C_26">[7]연돌일위집계!#REF!</definedName>
    <definedName name="_1C_27">[7]연돌일위집계!#REF!</definedName>
    <definedName name="_1C_28">[7]연돌일위집계!#REF!</definedName>
    <definedName name="_1C_29">[7]연돌일위집계!#REF!</definedName>
    <definedName name="_1C_3">[7]연돌일위집계!#REF!</definedName>
    <definedName name="_1C_30">[7]연돌일위집계!#REF!</definedName>
    <definedName name="_1C_4">[7]연돌일위집계!#REF!</definedName>
    <definedName name="_1C_5">[7]연돌일위집계!#REF!</definedName>
    <definedName name="_1C_6">[7]연돌일위집계!#REF!</definedName>
    <definedName name="_1C_7">[7]연돌일위집계!#REF!</definedName>
    <definedName name="_1C_8">[7]연돌일위집계!#REF!</definedName>
    <definedName name="_1C_9">[7]연돌일위집계!#REF!</definedName>
    <definedName name="_2_0_0_F" hidden="1">#REF!</definedName>
    <definedName name="_2¤§¤_¤¡" hidden="1">{#N/A,#N/A,FALSE,"Sheet1"}</definedName>
    <definedName name="_2309f" hidden="1">#REF!</definedName>
    <definedName name="_23fil" hidden="1">#REF!</definedName>
    <definedName name="_23i99" hidden="1">#REF!</definedName>
    <definedName name="_24342" hidden="1">#REF!</definedName>
    <definedName name="_25wrn.Ã¶°ñÁý°èÇ_._.5Ä­." hidden="1">{#N/A,#N/A,FALSE,"Sheet1"}</definedName>
    <definedName name="_2A_1">[7]연돌일위집계!#REF!</definedName>
    <definedName name="_2A_10">[7]연돌일위집계!#REF!</definedName>
    <definedName name="_2A_11">[7]연돌일위집계!#REF!</definedName>
    <definedName name="_2A_12">[7]연돌일위집계!#REF!</definedName>
    <definedName name="_2A_13">[7]연돌일위집계!#REF!</definedName>
    <definedName name="_2A_14">[7]연돌일위집계!#REF!</definedName>
    <definedName name="_2A_15">[7]연돌일위집계!#REF!</definedName>
    <definedName name="_2A_16">[7]연돌일위집계!#REF!</definedName>
    <definedName name="_2A_17">[7]연돌일위집계!#REF!</definedName>
    <definedName name="_2A_18">[7]연돌일위집계!#REF!</definedName>
    <definedName name="_2A_19">[7]연돌일위집계!#REF!</definedName>
    <definedName name="_2A_2">[7]연돌일위집계!#REF!</definedName>
    <definedName name="_2A_20">[7]연돌일위집계!#REF!</definedName>
    <definedName name="_2A_21">[7]연돌일위집계!#REF!</definedName>
    <definedName name="_2A_22">[7]연돌일위집계!#REF!</definedName>
    <definedName name="_2A_23">[7]연돌일위집계!#REF!</definedName>
    <definedName name="_2A_24">[7]연돌일위집계!#REF!</definedName>
    <definedName name="_2A_25">[7]연돌일위집계!#REF!</definedName>
    <definedName name="_2A_26">[7]연돌일위집계!#REF!</definedName>
    <definedName name="_2A_27">[7]연돌일위집계!#REF!</definedName>
    <definedName name="_2A_28">[7]연돌일위집계!#REF!</definedName>
    <definedName name="_2A_29">[7]연돌일위집계!#REF!</definedName>
    <definedName name="_2A_3">[7]연돌일위집계!#REF!</definedName>
    <definedName name="_2A_30">[7]연돌일위집계!#REF!</definedName>
    <definedName name="_2A_4">[7]연돌일위집계!#REF!</definedName>
    <definedName name="_2A_5">[7]연돌일위집계!#REF!</definedName>
    <definedName name="_2A_6">[7]연돌일위집계!#REF!</definedName>
    <definedName name="_2A_7">[7]연돌일위집계!#REF!</definedName>
    <definedName name="_2A_8">[7]연돌일위집계!#REF!</definedName>
    <definedName name="_2A_9">[7]연돌일위집계!#REF!</definedName>
    <definedName name="_2B_1">[7]연돌일위집계!#REF!</definedName>
    <definedName name="_2B_10">[7]연돌일위집계!#REF!</definedName>
    <definedName name="_2B_11">[7]연돌일위집계!#REF!</definedName>
    <definedName name="_2B_12">[7]연돌일위집계!#REF!</definedName>
    <definedName name="_2B_13">[7]연돌일위집계!#REF!</definedName>
    <definedName name="_2B_14">[7]연돌일위집계!#REF!</definedName>
    <definedName name="_2B_15">[7]연돌일위집계!#REF!</definedName>
    <definedName name="_2B_16">[7]연돌일위집계!#REF!</definedName>
    <definedName name="_2B_17">[7]연돌일위집계!#REF!</definedName>
    <definedName name="_2B_18">[7]연돌일위집계!#REF!</definedName>
    <definedName name="_2B_19">[7]연돌일위집계!#REF!</definedName>
    <definedName name="_2B_2">[7]연돌일위집계!#REF!</definedName>
    <definedName name="_2B_20">[7]연돌일위집계!#REF!</definedName>
    <definedName name="_2B_21">[7]연돌일위집계!#REF!</definedName>
    <definedName name="_2B_22">[7]연돌일위집계!#REF!</definedName>
    <definedName name="_2B_23">[7]연돌일위집계!#REF!</definedName>
    <definedName name="_2B_24">[7]연돌일위집계!#REF!</definedName>
    <definedName name="_2B_25">[7]연돌일위집계!#REF!</definedName>
    <definedName name="_2B_26">[7]연돌일위집계!#REF!</definedName>
    <definedName name="_2B_27">[7]연돌일위집계!#REF!</definedName>
    <definedName name="_2B_28">[7]연돌일위집계!#REF!</definedName>
    <definedName name="_2B_29">[7]연돌일위집계!#REF!</definedName>
    <definedName name="_2B_3">[7]연돌일위집계!#REF!</definedName>
    <definedName name="_2B_30">[7]연돌일위집계!#REF!</definedName>
    <definedName name="_2B_4">[7]연돌일위집계!#REF!</definedName>
    <definedName name="_2B_5">[7]연돌일위집계!#REF!</definedName>
    <definedName name="_2B_6">[7]연돌일위집계!#REF!</definedName>
    <definedName name="_2B_7">[7]연돌일위집계!#REF!</definedName>
    <definedName name="_2B_8">[7]연돌일위집계!#REF!</definedName>
    <definedName name="_2B_9">[7]연돌일위집계!#REF!</definedName>
    <definedName name="_2C_1">[7]연돌일위집계!#REF!</definedName>
    <definedName name="_2C_10">[7]연돌일위집계!#REF!</definedName>
    <definedName name="_2C_11">[7]연돌일위집계!#REF!</definedName>
    <definedName name="_2C_12">[7]연돌일위집계!#REF!</definedName>
    <definedName name="_2C_13">[7]연돌일위집계!#REF!</definedName>
    <definedName name="_2C_14">[7]연돌일위집계!#REF!</definedName>
    <definedName name="_2C_15">[7]연돌일위집계!#REF!</definedName>
    <definedName name="_2C_16">[7]연돌일위집계!#REF!</definedName>
    <definedName name="_2C_17">[7]연돌일위집계!#REF!</definedName>
    <definedName name="_2C_18">[7]연돌일위집계!#REF!</definedName>
    <definedName name="_2C_19">[7]연돌일위집계!#REF!</definedName>
    <definedName name="_2C_2">[7]연돌일위집계!#REF!</definedName>
    <definedName name="_2C_20">[7]연돌일위집계!#REF!</definedName>
    <definedName name="_2C_21">[7]연돌일위집계!#REF!</definedName>
    <definedName name="_2C_22">[7]연돌일위집계!#REF!</definedName>
    <definedName name="_2C_23">[7]연돌일위집계!#REF!</definedName>
    <definedName name="_2C_24">[7]연돌일위집계!#REF!</definedName>
    <definedName name="_2C_25">[7]연돌일위집계!#REF!</definedName>
    <definedName name="_2C_26">[7]연돌일위집계!#REF!</definedName>
    <definedName name="_2C_27">[7]연돌일위집계!#REF!</definedName>
    <definedName name="_2C_28">[7]연돌일위집계!#REF!</definedName>
    <definedName name="_2C_29">[7]연돌일위집계!#REF!</definedName>
    <definedName name="_2C_3">[7]연돌일위집계!#REF!</definedName>
    <definedName name="_2C_30">[7]연돌일위집계!#REF!</definedName>
    <definedName name="_2C_4">[7]연돌일위집계!#REF!</definedName>
    <definedName name="_2C_5">[7]연돌일위집계!#REF!</definedName>
    <definedName name="_2C_6">[7]연돌일위집계!#REF!</definedName>
    <definedName name="_2C_7">[7]연돌일위집계!#REF!</definedName>
    <definedName name="_2C_8">[7]연돌일위집계!#REF!</definedName>
    <definedName name="_2C_9">[7]연돌일위집계!#REF!</definedName>
    <definedName name="_323fil" hidden="1">#REF!</definedName>
    <definedName name="_324dfel" hidden="1">#REF!</definedName>
    <definedName name="_32fial" hidden="1">#REF!</definedName>
    <definedName name="_333ddl" hidden="1">#REF!</definedName>
    <definedName name="_34234if" hidden="1">#REF!</definedName>
    <definedName name="_3A_1">[7]연돌일위집계!#REF!</definedName>
    <definedName name="_3A_10">[7]연돌일위집계!#REF!</definedName>
    <definedName name="_3A_11">[7]연돌일위집계!#REF!</definedName>
    <definedName name="_3A_12">[7]연돌일위집계!#REF!</definedName>
    <definedName name="_3A_13">[7]연돌일위집계!#REF!</definedName>
    <definedName name="_3A_14">[7]연돌일위집계!#REF!</definedName>
    <definedName name="_3A_15">[7]연돌일위집계!#REF!</definedName>
    <definedName name="_3A_16">[7]연돌일위집계!#REF!</definedName>
    <definedName name="_3A_17">[7]연돌일위집계!#REF!</definedName>
    <definedName name="_3A_18">[7]연돌일위집계!#REF!</definedName>
    <definedName name="_3A_19">[7]연돌일위집계!#REF!</definedName>
    <definedName name="_3A_2">[7]연돌일위집계!#REF!</definedName>
    <definedName name="_3A_20">[7]연돌일위집계!#REF!</definedName>
    <definedName name="_3A_21">[7]연돌일위집계!#REF!</definedName>
    <definedName name="_3A_22">[7]연돌일위집계!#REF!</definedName>
    <definedName name="_3A_23">[7]연돌일위집계!#REF!</definedName>
    <definedName name="_3A_24">[7]연돌일위집계!#REF!</definedName>
    <definedName name="_3A_25">[7]연돌일위집계!#REF!</definedName>
    <definedName name="_3A_26">[7]연돌일위집계!#REF!</definedName>
    <definedName name="_3A_27">[7]연돌일위집계!#REF!</definedName>
    <definedName name="_3A_28">[7]연돌일위집계!#REF!</definedName>
    <definedName name="_3A_29">[7]연돌일위집계!#REF!</definedName>
    <definedName name="_3A_3">[7]연돌일위집계!#REF!</definedName>
    <definedName name="_3A_30">[7]연돌일위집계!#REF!</definedName>
    <definedName name="_3A_4">[7]연돌일위집계!#REF!</definedName>
    <definedName name="_3A_5">[7]연돌일위집계!#REF!</definedName>
    <definedName name="_3A_6">[7]연돌일위집계!#REF!</definedName>
    <definedName name="_3A_7">[7]연돌일위집계!#REF!</definedName>
    <definedName name="_3A_8">[7]연돌일위집계!#REF!</definedName>
    <definedName name="_3A_9">[7]연돌일위집계!#REF!</definedName>
    <definedName name="_3B_1">[7]연돌일위집계!#REF!</definedName>
    <definedName name="_3B_10">[7]연돌일위집계!#REF!</definedName>
    <definedName name="_3B_11">[7]연돌일위집계!#REF!</definedName>
    <definedName name="_3B_12">[7]연돌일위집계!#REF!</definedName>
    <definedName name="_3B_13">[7]연돌일위집계!#REF!</definedName>
    <definedName name="_3B_14">[7]연돌일위집계!#REF!</definedName>
    <definedName name="_3B_15">[7]연돌일위집계!#REF!</definedName>
    <definedName name="_3B_16">[7]연돌일위집계!#REF!</definedName>
    <definedName name="_3B_17">[7]연돌일위집계!#REF!</definedName>
    <definedName name="_3B_18">[7]연돌일위집계!#REF!</definedName>
    <definedName name="_3B_19">[7]연돌일위집계!#REF!</definedName>
    <definedName name="_3B_2">[7]연돌일위집계!#REF!</definedName>
    <definedName name="_3B_20">[7]연돌일위집계!#REF!</definedName>
    <definedName name="_3B_21">[7]연돌일위집계!#REF!</definedName>
    <definedName name="_3B_22">[7]연돌일위집계!#REF!</definedName>
    <definedName name="_3B_23">[7]연돌일위집계!#REF!</definedName>
    <definedName name="_3B_24">[7]연돌일위집계!#REF!</definedName>
    <definedName name="_3B_25">[7]연돌일위집계!#REF!</definedName>
    <definedName name="_3B_26">[7]연돌일위집계!#REF!</definedName>
    <definedName name="_3B_27">[7]연돌일위집계!#REF!</definedName>
    <definedName name="_3B_28">[7]연돌일위집계!#REF!</definedName>
    <definedName name="_3B_29">[7]연돌일위집계!#REF!</definedName>
    <definedName name="_3B_3">[7]연돌일위집계!#REF!</definedName>
    <definedName name="_3B_30">[7]연돌일위집계!#REF!</definedName>
    <definedName name="_3B_4">[7]연돌일위집계!#REF!</definedName>
    <definedName name="_3B_5">[7]연돌일위집계!#REF!</definedName>
    <definedName name="_3B_6">[7]연돌일위집계!#REF!</definedName>
    <definedName name="_3B_7">[7]연돌일위집계!#REF!</definedName>
    <definedName name="_3B_8">[7]연돌일위집계!#REF!</definedName>
    <definedName name="_3B_9">[7]연돌일위집계!#REF!</definedName>
    <definedName name="_3C_1">[7]연돌일위집계!#REF!</definedName>
    <definedName name="_3C_10">[7]연돌일위집계!#REF!</definedName>
    <definedName name="_3C_11">[7]연돌일위집계!#REF!</definedName>
    <definedName name="_3C_12">[7]연돌일위집계!#REF!</definedName>
    <definedName name="_3C_13">[7]연돌일위집계!#REF!</definedName>
    <definedName name="_3C_14">[7]연돌일위집계!#REF!</definedName>
    <definedName name="_3C_15">[7]연돌일위집계!#REF!</definedName>
    <definedName name="_3C_16">[7]연돌일위집계!#REF!</definedName>
    <definedName name="_3C_17">[7]연돌일위집계!#REF!</definedName>
    <definedName name="_3C_18">[7]연돌일위집계!#REF!</definedName>
    <definedName name="_3C_19">[7]연돌일위집계!#REF!</definedName>
    <definedName name="_3C_2">[7]연돌일위집계!#REF!</definedName>
    <definedName name="_3C_20">[7]연돌일위집계!#REF!</definedName>
    <definedName name="_3C_21">[7]연돌일위집계!#REF!</definedName>
    <definedName name="_3C_22">[7]연돌일위집계!#REF!</definedName>
    <definedName name="_3C_23">[7]연돌일위집계!#REF!</definedName>
    <definedName name="_3C_24">[7]연돌일위집계!#REF!</definedName>
    <definedName name="_3C_25">[7]연돌일위집계!#REF!</definedName>
    <definedName name="_3C_26">[7]연돌일위집계!#REF!</definedName>
    <definedName name="_3C_27">[7]연돌일위집계!#REF!</definedName>
    <definedName name="_3C_28">[7]연돌일위집계!#REF!</definedName>
    <definedName name="_3C_29">[7]연돌일위집계!#REF!</definedName>
    <definedName name="_3C_3">[7]연돌일위집계!#REF!</definedName>
    <definedName name="_3C_30">[7]연돌일위집계!#REF!</definedName>
    <definedName name="_3C_4">[7]연돌일위집계!#REF!</definedName>
    <definedName name="_3C_5">[7]연돌일위집계!#REF!</definedName>
    <definedName name="_3C_6">[7]연돌일위집계!#REF!</definedName>
    <definedName name="_3C_7">[7]연돌일위집계!#REF!</definedName>
    <definedName name="_3C_8">[7]연돌일위집계!#REF!</definedName>
    <definedName name="_3C_9">[7]연돌일위집계!#REF!</definedName>
    <definedName name="_3ihil" hidden="1">#REF!</definedName>
    <definedName name="_4A_1">[7]연돌일위집계!#REF!</definedName>
    <definedName name="_4A_10">[7]연돌일위집계!#REF!</definedName>
    <definedName name="_4A_11">[7]연돌일위집계!#REF!</definedName>
    <definedName name="_4A_12">[7]연돌일위집계!#REF!</definedName>
    <definedName name="_4A_13">[7]연돌일위집계!#REF!</definedName>
    <definedName name="_4A_14">[7]연돌일위집계!#REF!</definedName>
    <definedName name="_4A_15">[7]연돌일위집계!#REF!</definedName>
    <definedName name="_4A_16">[7]연돌일위집계!#REF!</definedName>
    <definedName name="_4A_17">[7]연돌일위집계!#REF!</definedName>
    <definedName name="_4A_18">[7]연돌일위집계!#REF!</definedName>
    <definedName name="_4A_19">[7]연돌일위집계!#REF!</definedName>
    <definedName name="_4A_2">[7]연돌일위집계!#REF!</definedName>
    <definedName name="_4A_20">[7]연돌일위집계!#REF!</definedName>
    <definedName name="_4A_21">[7]연돌일위집계!#REF!</definedName>
    <definedName name="_4A_22">[7]연돌일위집계!#REF!</definedName>
    <definedName name="_4A_23">[7]연돌일위집계!#REF!</definedName>
    <definedName name="_4A_24">[7]연돌일위집계!#REF!</definedName>
    <definedName name="_4A_25">[7]연돌일위집계!#REF!</definedName>
    <definedName name="_4A_26">[7]연돌일위집계!#REF!</definedName>
    <definedName name="_4A_27">[7]연돌일위집계!#REF!</definedName>
    <definedName name="_4A_28">[7]연돌일위집계!#REF!</definedName>
    <definedName name="_4A_29">[7]연돌일위집계!#REF!</definedName>
    <definedName name="_4A_3">[7]연돌일위집계!#REF!</definedName>
    <definedName name="_4A_30">[7]연돌일위집계!#REF!</definedName>
    <definedName name="_4A_4">[7]연돌일위집계!#REF!</definedName>
    <definedName name="_4A_5">[7]연돌일위집계!#REF!</definedName>
    <definedName name="_4A_6">[7]연돌일위집계!#REF!</definedName>
    <definedName name="_4A_7">[7]연돌일위집계!#REF!</definedName>
    <definedName name="_4A_8">[7]연돌일위집계!#REF!</definedName>
    <definedName name="_4A_9">[7]연돌일위집계!#REF!</definedName>
    <definedName name="_4B_1">[7]연돌일위집계!#REF!</definedName>
    <definedName name="_4B_10">[7]연돌일위집계!#REF!</definedName>
    <definedName name="_4B_11">[7]연돌일위집계!#REF!</definedName>
    <definedName name="_4B_12">[7]연돌일위집계!#REF!</definedName>
    <definedName name="_4B_13">[7]연돌일위집계!#REF!</definedName>
    <definedName name="_4B_14">[7]연돌일위집계!#REF!</definedName>
    <definedName name="_4B_15">[7]연돌일위집계!#REF!</definedName>
    <definedName name="_4B_16">[7]연돌일위집계!#REF!</definedName>
    <definedName name="_4B_17">[7]연돌일위집계!#REF!</definedName>
    <definedName name="_4B_18">[7]연돌일위집계!#REF!</definedName>
    <definedName name="_4B_19">[7]연돌일위집계!#REF!</definedName>
    <definedName name="_4B_2">[7]연돌일위집계!#REF!</definedName>
    <definedName name="_4B_20">[7]연돌일위집계!#REF!</definedName>
    <definedName name="_4B_21">[7]연돌일위집계!#REF!</definedName>
    <definedName name="_4B_22">[7]연돌일위집계!#REF!</definedName>
    <definedName name="_4B_23">[7]연돌일위집계!#REF!</definedName>
    <definedName name="_4B_24">[7]연돌일위집계!#REF!</definedName>
    <definedName name="_4B_25">[7]연돌일위집계!#REF!</definedName>
    <definedName name="_4B_26">[7]연돌일위집계!#REF!</definedName>
    <definedName name="_4B_27">[7]연돌일위집계!#REF!</definedName>
    <definedName name="_4B_28">[7]연돌일위집계!#REF!</definedName>
    <definedName name="_4B_29">[7]연돌일위집계!#REF!</definedName>
    <definedName name="_4B_3">[7]연돌일위집계!#REF!</definedName>
    <definedName name="_4B_30">[7]연돌일위집계!#REF!</definedName>
    <definedName name="_4B_4">[7]연돌일위집계!#REF!</definedName>
    <definedName name="_4B_5">[7]연돌일위집계!#REF!</definedName>
    <definedName name="_4B_6">[7]연돌일위집계!#REF!</definedName>
    <definedName name="_4B_7">[7]연돌일위집계!#REF!</definedName>
    <definedName name="_4B_8">[7]연돌일위집계!#REF!</definedName>
    <definedName name="_4B_9">[7]연돌일위집계!#REF!</definedName>
    <definedName name="_4C_1">[7]연돌일위집계!#REF!</definedName>
    <definedName name="_4C_10">[7]연돌일위집계!#REF!</definedName>
    <definedName name="_4C_11">[7]연돌일위집계!#REF!</definedName>
    <definedName name="_4C_12">[7]연돌일위집계!#REF!</definedName>
    <definedName name="_4C_13">[7]연돌일위집계!#REF!</definedName>
    <definedName name="_4C_14">[7]연돌일위집계!#REF!</definedName>
    <definedName name="_4C_15">[7]연돌일위집계!#REF!</definedName>
    <definedName name="_4C_16">[7]연돌일위집계!#REF!</definedName>
    <definedName name="_4C_17">[7]연돌일위집계!#REF!</definedName>
    <definedName name="_4C_18">[7]연돌일위집계!#REF!</definedName>
    <definedName name="_4C_19">[7]연돌일위집계!#REF!</definedName>
    <definedName name="_4C_2">[7]연돌일위집계!#REF!</definedName>
    <definedName name="_4C_20">[7]연돌일위집계!#REF!</definedName>
    <definedName name="_4C_21">[7]연돌일위집계!#REF!</definedName>
    <definedName name="_4C_22">[7]연돌일위집계!#REF!</definedName>
    <definedName name="_4C_23">[7]연돌일위집계!#REF!</definedName>
    <definedName name="_4C_24">[7]연돌일위집계!#REF!</definedName>
    <definedName name="_4C_25">[7]연돌일위집계!#REF!</definedName>
    <definedName name="_4C_26">[7]연돌일위집계!#REF!</definedName>
    <definedName name="_4C_27">[7]연돌일위집계!#REF!</definedName>
    <definedName name="_4C_28">[7]연돌일위집계!#REF!</definedName>
    <definedName name="_4C_29">[7]연돌일위집계!#REF!</definedName>
    <definedName name="_4C_3">[7]연돌일위집계!#REF!</definedName>
    <definedName name="_4C_30">[7]연돌일위집계!#REF!</definedName>
    <definedName name="_4C_4">[7]연돌일위집계!#REF!</definedName>
    <definedName name="_4C_5">[7]연돌일위집계!#REF!</definedName>
    <definedName name="_4C_6">[7]연돌일위집계!#REF!</definedName>
    <definedName name="_4C_7">[7]연돌일위집계!#REF!</definedName>
    <definedName name="_4C_8">[7]연돌일위집계!#REF!</definedName>
    <definedName name="_4C_9">[7]연돌일위집계!#REF!</definedName>
    <definedName name="_5A_1">[7]연돌일위집계!#REF!</definedName>
    <definedName name="_5A_10">[7]연돌일위집계!#REF!</definedName>
    <definedName name="_5A_11">[7]연돌일위집계!#REF!</definedName>
    <definedName name="_5A_12">[7]연돌일위집계!#REF!</definedName>
    <definedName name="_5A_13">[7]연돌일위집계!#REF!</definedName>
    <definedName name="_5A_14">[7]연돌일위집계!#REF!</definedName>
    <definedName name="_5A_15">[7]연돌일위집계!#REF!</definedName>
    <definedName name="_5A_16">[7]연돌일위집계!#REF!</definedName>
    <definedName name="_5A_17">[7]연돌일위집계!#REF!</definedName>
    <definedName name="_5A_18">[7]연돌일위집계!#REF!</definedName>
    <definedName name="_5A_19">[7]연돌일위집계!#REF!</definedName>
    <definedName name="_5A_2">[7]연돌일위집계!#REF!</definedName>
    <definedName name="_5A_20">[7]연돌일위집계!#REF!</definedName>
    <definedName name="_5A_21">[7]연돌일위집계!#REF!</definedName>
    <definedName name="_5A_22">[7]연돌일위집계!#REF!</definedName>
    <definedName name="_5A_23">[7]연돌일위집계!#REF!</definedName>
    <definedName name="_5A_24">[7]연돌일위집계!#REF!</definedName>
    <definedName name="_5A_25">[7]연돌일위집계!#REF!</definedName>
    <definedName name="_5A_26">[7]연돌일위집계!#REF!</definedName>
    <definedName name="_5A_27">[7]연돌일위집계!#REF!</definedName>
    <definedName name="_5A_28">[7]연돌일위집계!#REF!</definedName>
    <definedName name="_5A_29">[7]연돌일위집계!#REF!</definedName>
    <definedName name="_5A_3">[7]연돌일위집계!#REF!</definedName>
    <definedName name="_5A_30">[7]연돌일위집계!#REF!</definedName>
    <definedName name="_5A_4">[7]연돌일위집계!#REF!</definedName>
    <definedName name="_5A_5">[7]연돌일위집계!#REF!</definedName>
    <definedName name="_5A_6">[7]연돌일위집계!#REF!</definedName>
    <definedName name="_5A_7">[7]연돌일위집계!#REF!</definedName>
    <definedName name="_5A_8">[7]연돌일위집계!#REF!</definedName>
    <definedName name="_5A_9">[7]연돌일위집계!#REF!</definedName>
    <definedName name="_5B_1">[7]연돌일위집계!#REF!</definedName>
    <definedName name="_5B_10">[7]연돌일위집계!#REF!</definedName>
    <definedName name="_5B_11">[7]연돌일위집계!#REF!</definedName>
    <definedName name="_5B_12">[7]연돌일위집계!#REF!</definedName>
    <definedName name="_5B_13">[7]연돌일위집계!#REF!</definedName>
    <definedName name="_5B_14">[7]연돌일위집계!#REF!</definedName>
    <definedName name="_5B_15">[7]연돌일위집계!#REF!</definedName>
    <definedName name="_5B_16">[7]연돌일위집계!#REF!</definedName>
    <definedName name="_5B_17">[7]연돌일위집계!#REF!</definedName>
    <definedName name="_5B_18">[7]연돌일위집계!#REF!</definedName>
    <definedName name="_5B_19">[7]연돌일위집계!#REF!</definedName>
    <definedName name="_5B_2">[7]연돌일위집계!#REF!</definedName>
    <definedName name="_5B_20">[7]연돌일위집계!#REF!</definedName>
    <definedName name="_5B_21">[7]연돌일위집계!#REF!</definedName>
    <definedName name="_5B_22">[7]연돌일위집계!#REF!</definedName>
    <definedName name="_5B_23">[7]연돌일위집계!#REF!</definedName>
    <definedName name="_5B_24">[7]연돌일위집계!#REF!</definedName>
    <definedName name="_5B_25">[7]연돌일위집계!#REF!</definedName>
    <definedName name="_5B_26">[7]연돌일위집계!#REF!</definedName>
    <definedName name="_5B_27">[7]연돌일위집계!#REF!</definedName>
    <definedName name="_5B_28">[7]연돌일위집계!#REF!</definedName>
    <definedName name="_5B_29">[7]연돌일위집계!#REF!</definedName>
    <definedName name="_5B_3">[7]연돌일위집계!#REF!</definedName>
    <definedName name="_5B_30">[7]연돌일위집계!#REF!</definedName>
    <definedName name="_5B_4">[7]연돌일위집계!#REF!</definedName>
    <definedName name="_5B_5">[7]연돌일위집계!#REF!</definedName>
    <definedName name="_5B_6">[7]연돌일위집계!#REF!</definedName>
    <definedName name="_5B_7">[7]연돌일위집계!#REF!</definedName>
    <definedName name="_5B_8">[7]연돌일위집계!#REF!</definedName>
    <definedName name="_5B_9">[7]연돌일위집계!#REF!</definedName>
    <definedName name="_5C_1">[7]연돌일위집계!#REF!</definedName>
    <definedName name="_5C_10">[7]연돌일위집계!#REF!</definedName>
    <definedName name="_5C_11">[7]연돌일위집계!#REF!</definedName>
    <definedName name="_5C_12">[7]연돌일위집계!#REF!</definedName>
    <definedName name="_5C_13">[7]연돌일위집계!#REF!</definedName>
    <definedName name="_5C_14">[7]연돌일위집계!#REF!</definedName>
    <definedName name="_5C_15">[7]연돌일위집계!#REF!</definedName>
    <definedName name="_5C_16">[7]연돌일위집계!#REF!</definedName>
    <definedName name="_5C_17">[7]연돌일위집계!#REF!</definedName>
    <definedName name="_5C_18">[7]연돌일위집계!#REF!</definedName>
    <definedName name="_5C_19">[7]연돌일위집계!#REF!</definedName>
    <definedName name="_5C_2">[7]연돌일위집계!#REF!</definedName>
    <definedName name="_5C_20">[7]연돌일위집계!#REF!</definedName>
    <definedName name="_5C_21">[7]연돌일위집계!#REF!</definedName>
    <definedName name="_5C_22">[7]연돌일위집계!#REF!</definedName>
    <definedName name="_5C_23">[7]연돌일위집계!#REF!</definedName>
    <definedName name="_5C_24">[7]연돌일위집계!#REF!</definedName>
    <definedName name="_5C_25">[7]연돌일위집계!#REF!</definedName>
    <definedName name="_5C_26">[7]연돌일위집계!#REF!</definedName>
    <definedName name="_5C_27">[7]연돌일위집계!#REF!</definedName>
    <definedName name="_5C_28">[7]연돌일위집계!#REF!</definedName>
    <definedName name="_5C_29">[7]연돌일위집계!#REF!</definedName>
    <definedName name="_5C_3">[7]연돌일위집계!#REF!</definedName>
    <definedName name="_5C_30">[7]연돌일위집계!#REF!</definedName>
    <definedName name="_5C_4">[7]연돌일위집계!#REF!</definedName>
    <definedName name="_5C_5">[7]연돌일위집계!#REF!</definedName>
    <definedName name="_5C_6">[7]연돌일위집계!#REF!</definedName>
    <definedName name="_5C_7">[7]연돌일위집계!#REF!</definedName>
    <definedName name="_5C_8">[7]연돌일위집계!#REF!</definedName>
    <definedName name="_5C_9">[7]연돌일위집계!#REF!</definedName>
    <definedName name="_6A_1">[7]연돌일위집계!#REF!</definedName>
    <definedName name="_6A_10">[7]연돌일위집계!#REF!</definedName>
    <definedName name="_6A_11">[7]연돌일위집계!#REF!</definedName>
    <definedName name="_6A_12">[7]연돌일위집계!#REF!</definedName>
    <definedName name="_6A_13">[7]연돌일위집계!#REF!</definedName>
    <definedName name="_6A_14">[7]연돌일위집계!#REF!</definedName>
    <definedName name="_6A_15">[7]연돌일위집계!#REF!</definedName>
    <definedName name="_6A_16">[7]연돌일위집계!#REF!</definedName>
    <definedName name="_6A_17">[7]연돌일위집계!#REF!</definedName>
    <definedName name="_6A_18">[7]연돌일위집계!#REF!</definedName>
    <definedName name="_6A_19">[7]연돌일위집계!#REF!</definedName>
    <definedName name="_6A_2">[7]연돌일위집계!#REF!</definedName>
    <definedName name="_6A_20">[7]연돌일위집계!#REF!</definedName>
    <definedName name="_6A_21">[7]연돌일위집계!#REF!</definedName>
    <definedName name="_6A_22">[7]연돌일위집계!#REF!</definedName>
    <definedName name="_6A_23">[7]연돌일위집계!#REF!</definedName>
    <definedName name="_6A_24">[7]연돌일위집계!#REF!</definedName>
    <definedName name="_6A_25">[7]연돌일위집계!#REF!</definedName>
    <definedName name="_6A_26">[7]연돌일위집계!#REF!</definedName>
    <definedName name="_6A_27">[7]연돌일위집계!#REF!</definedName>
    <definedName name="_6A_28">[7]연돌일위집계!#REF!</definedName>
    <definedName name="_6A_29">[7]연돌일위집계!#REF!</definedName>
    <definedName name="_6A_3">[7]연돌일위집계!#REF!</definedName>
    <definedName name="_6A_30">[7]연돌일위집계!#REF!</definedName>
    <definedName name="_6A_4">[7]연돌일위집계!#REF!</definedName>
    <definedName name="_6A_5">[7]연돌일위집계!#REF!</definedName>
    <definedName name="_6A_6">[7]연돌일위집계!#REF!</definedName>
    <definedName name="_6A_7">[7]연돌일위집계!#REF!</definedName>
    <definedName name="_6A_8">[7]연돌일위집계!#REF!</definedName>
    <definedName name="_6A_9">[7]연돌일위집계!#REF!</definedName>
    <definedName name="_6B_1">[7]연돌일위집계!#REF!</definedName>
    <definedName name="_6B_10">[7]연돌일위집계!#REF!</definedName>
    <definedName name="_6B_11">[7]연돌일위집계!#REF!</definedName>
    <definedName name="_6B_12">[7]연돌일위집계!#REF!</definedName>
    <definedName name="_6B_13">[7]연돌일위집계!#REF!</definedName>
    <definedName name="_6B_14">[7]연돌일위집계!#REF!</definedName>
    <definedName name="_6B_15">[7]연돌일위집계!#REF!</definedName>
    <definedName name="_6B_16">[7]연돌일위집계!#REF!</definedName>
    <definedName name="_6B_17">[7]연돌일위집계!#REF!</definedName>
    <definedName name="_6B_18">[7]연돌일위집계!#REF!</definedName>
    <definedName name="_6B_19">[7]연돌일위집계!#REF!</definedName>
    <definedName name="_6B_2">[7]연돌일위집계!#REF!</definedName>
    <definedName name="_6B_20">[7]연돌일위집계!#REF!</definedName>
    <definedName name="_6B_21">[7]연돌일위집계!#REF!</definedName>
    <definedName name="_6B_22">[7]연돌일위집계!#REF!</definedName>
    <definedName name="_6B_23">[7]연돌일위집계!#REF!</definedName>
    <definedName name="_6B_24">[7]연돌일위집계!#REF!</definedName>
    <definedName name="_6B_25">[7]연돌일위집계!#REF!</definedName>
    <definedName name="_6B_26">[7]연돌일위집계!#REF!</definedName>
    <definedName name="_6B_27">[7]연돌일위집계!#REF!</definedName>
    <definedName name="_6B_28">[7]연돌일위집계!#REF!</definedName>
    <definedName name="_6B_29">[7]연돌일위집계!#REF!</definedName>
    <definedName name="_6B_3">[7]연돌일위집계!#REF!</definedName>
    <definedName name="_6B_30">[7]연돌일위집계!#REF!</definedName>
    <definedName name="_6B_4">[7]연돌일위집계!#REF!</definedName>
    <definedName name="_6B_5">[7]연돌일위집계!#REF!</definedName>
    <definedName name="_6B_6">[7]연돌일위집계!#REF!</definedName>
    <definedName name="_6B_7">[7]연돌일위집계!#REF!</definedName>
    <definedName name="_6B_8">[7]연돌일위집계!#REF!</definedName>
    <definedName name="_6B_9">[7]연돌일위집계!#REF!</definedName>
    <definedName name="_6C_1">[7]연돌일위집계!#REF!</definedName>
    <definedName name="_6C_10">[7]연돌일위집계!#REF!</definedName>
    <definedName name="_6C_11">[7]연돌일위집계!#REF!</definedName>
    <definedName name="_6C_12">[7]연돌일위집계!#REF!</definedName>
    <definedName name="_6C_13">[7]연돌일위집계!#REF!</definedName>
    <definedName name="_6C_14">[7]연돌일위집계!#REF!</definedName>
    <definedName name="_6C_15">[7]연돌일위집계!#REF!</definedName>
    <definedName name="_6C_16">[7]연돌일위집계!#REF!</definedName>
    <definedName name="_6C_17">[7]연돌일위집계!#REF!</definedName>
    <definedName name="_6C_18">[7]연돌일위집계!#REF!</definedName>
    <definedName name="_6C_19">[7]연돌일위집계!#REF!</definedName>
    <definedName name="_6C_2">[7]연돌일위집계!#REF!</definedName>
    <definedName name="_6C_20">[7]연돌일위집계!#REF!</definedName>
    <definedName name="_6C_21">[7]연돌일위집계!#REF!</definedName>
    <definedName name="_6C_22">[7]연돌일위집계!#REF!</definedName>
    <definedName name="_6C_23">[7]연돌일위집계!#REF!</definedName>
    <definedName name="_6C_24">[7]연돌일위집계!#REF!</definedName>
    <definedName name="_6C_25">[7]연돌일위집계!#REF!</definedName>
    <definedName name="_6C_26">[7]연돌일위집계!#REF!</definedName>
    <definedName name="_6C_27">[7]연돌일위집계!#REF!</definedName>
    <definedName name="_6C_28">[7]연돌일위집계!#REF!</definedName>
    <definedName name="_6C_29">[7]연돌일위집계!#REF!</definedName>
    <definedName name="_6C_3">[7]연돌일위집계!#REF!</definedName>
    <definedName name="_6C_30">[7]연돌일위집계!#REF!</definedName>
    <definedName name="_6C_4">[7]연돌일위집계!#REF!</definedName>
    <definedName name="_6C_5">[7]연돌일위집계!#REF!</definedName>
    <definedName name="_6C_6">[7]연돌일위집계!#REF!</definedName>
    <definedName name="_6C_7">[7]연돌일위집계!#REF!</definedName>
    <definedName name="_6C_8">[7]연돌일위집계!#REF!</definedName>
    <definedName name="_6C_9">[7]연돌일위집계!#REF!</definedName>
    <definedName name="_6e4_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7A_1">[7]연돌일위집계!#REF!</definedName>
    <definedName name="_7A_10">[7]연돌일위집계!#REF!</definedName>
    <definedName name="_7A_11">[7]연돌일위집계!#REF!</definedName>
    <definedName name="_7A_12">[7]연돌일위집계!#REF!</definedName>
    <definedName name="_7A_13">[7]연돌일위집계!#REF!</definedName>
    <definedName name="_7A_14">[7]연돌일위집계!#REF!</definedName>
    <definedName name="_7A_15">[7]연돌일위집계!#REF!</definedName>
    <definedName name="_7A_16">[7]연돌일위집계!#REF!</definedName>
    <definedName name="_7A_17">[7]연돌일위집계!#REF!</definedName>
    <definedName name="_7A_18">[7]연돌일위집계!#REF!</definedName>
    <definedName name="_7A_19">[7]연돌일위집계!#REF!</definedName>
    <definedName name="_7A_2">[7]연돌일위집계!#REF!</definedName>
    <definedName name="_7A_20">[7]연돌일위집계!#REF!</definedName>
    <definedName name="_7A_21">[7]연돌일위집계!#REF!</definedName>
    <definedName name="_7A_22">[7]연돌일위집계!#REF!</definedName>
    <definedName name="_7A_23">[7]연돌일위집계!#REF!</definedName>
    <definedName name="_7A_24">[7]연돌일위집계!#REF!</definedName>
    <definedName name="_7A_25">[7]연돌일위집계!#REF!</definedName>
    <definedName name="_7A_26">[7]연돌일위집계!#REF!</definedName>
    <definedName name="_7A_27">[7]연돌일위집계!#REF!</definedName>
    <definedName name="_7A_28">[7]연돌일위집계!#REF!</definedName>
    <definedName name="_7A_29">[7]연돌일위집계!#REF!</definedName>
    <definedName name="_7A_3">[7]연돌일위집계!#REF!</definedName>
    <definedName name="_7A_30">[7]연돌일위집계!#REF!</definedName>
    <definedName name="_7A_4">[7]연돌일위집계!#REF!</definedName>
    <definedName name="_7A_5">[7]연돌일위집계!#REF!</definedName>
    <definedName name="_7A_6">[7]연돌일위집계!#REF!</definedName>
    <definedName name="_7A_7">[7]연돌일위집계!#REF!</definedName>
    <definedName name="_7A_8">[7]연돌일위집계!#REF!</definedName>
    <definedName name="_7A_9">[7]연돌일위집계!#REF!</definedName>
    <definedName name="_7B_1">[7]연돌일위집계!#REF!</definedName>
    <definedName name="_7B_10">[7]연돌일위집계!#REF!</definedName>
    <definedName name="_7B_11">[7]연돌일위집계!#REF!</definedName>
    <definedName name="_7B_12">[7]연돌일위집계!#REF!</definedName>
    <definedName name="_7B_13">[7]연돌일위집계!#REF!</definedName>
    <definedName name="_7B_14">[7]연돌일위집계!#REF!</definedName>
    <definedName name="_7B_15">[7]연돌일위집계!#REF!</definedName>
    <definedName name="_7B_16">[7]연돌일위집계!#REF!</definedName>
    <definedName name="_7B_17">[7]연돌일위집계!#REF!</definedName>
    <definedName name="_7B_18">[7]연돌일위집계!#REF!</definedName>
    <definedName name="_7B_19">[7]연돌일위집계!#REF!</definedName>
    <definedName name="_7B_2">[7]연돌일위집계!#REF!</definedName>
    <definedName name="_7B_20">[7]연돌일위집계!#REF!</definedName>
    <definedName name="_7B_21">[7]연돌일위집계!#REF!</definedName>
    <definedName name="_7B_22">[7]연돌일위집계!#REF!</definedName>
    <definedName name="_7B_23">[7]연돌일위집계!#REF!</definedName>
    <definedName name="_7B_24">[7]연돌일위집계!#REF!</definedName>
    <definedName name="_7B_25">[7]연돌일위집계!#REF!</definedName>
    <definedName name="_7B_26">[7]연돌일위집계!#REF!</definedName>
    <definedName name="_7B_27">[7]연돌일위집계!#REF!</definedName>
    <definedName name="_7B_28">[7]연돌일위집계!#REF!</definedName>
    <definedName name="_7B_29">[7]연돌일위집계!#REF!</definedName>
    <definedName name="_7B_3">[7]연돌일위집계!#REF!</definedName>
    <definedName name="_7B_30">[7]연돌일위집계!#REF!</definedName>
    <definedName name="_7B_4">[7]연돌일위집계!#REF!</definedName>
    <definedName name="_7B_5">[7]연돌일위집계!#REF!</definedName>
    <definedName name="_7B_6">[7]연돌일위집계!#REF!</definedName>
    <definedName name="_7B_7">[7]연돌일위집계!#REF!</definedName>
    <definedName name="_7B_8">[7]연돌일위집계!#REF!</definedName>
    <definedName name="_7B_9">[7]연돌일위집계!#REF!</definedName>
    <definedName name="_7C_1">[7]연돌일위집계!#REF!</definedName>
    <definedName name="_7C_10">[7]연돌일위집계!#REF!</definedName>
    <definedName name="_7C_11">[7]연돌일위집계!#REF!</definedName>
    <definedName name="_7C_12">[7]연돌일위집계!#REF!</definedName>
    <definedName name="_7C_13">[7]연돌일위집계!#REF!</definedName>
    <definedName name="_7C_14">[7]연돌일위집계!#REF!</definedName>
    <definedName name="_7C_15">[7]연돌일위집계!#REF!</definedName>
    <definedName name="_7C_16">[7]연돌일위집계!#REF!</definedName>
    <definedName name="_7C_17">[7]연돌일위집계!#REF!</definedName>
    <definedName name="_7C_18">[7]연돌일위집계!#REF!</definedName>
    <definedName name="_7C_19">[7]연돌일위집계!#REF!</definedName>
    <definedName name="_7C_2">[7]연돌일위집계!#REF!</definedName>
    <definedName name="_7C_20">[7]연돌일위집계!#REF!</definedName>
    <definedName name="_7C_21">[7]연돌일위집계!#REF!</definedName>
    <definedName name="_7C_22">[7]연돌일위집계!#REF!</definedName>
    <definedName name="_7C_23">[7]연돌일위집계!#REF!</definedName>
    <definedName name="_7C_24">[7]연돌일위집계!#REF!</definedName>
    <definedName name="_7C_25">[7]연돌일위집계!#REF!</definedName>
    <definedName name="_7C_26">[7]연돌일위집계!#REF!</definedName>
    <definedName name="_7C_27">[7]연돌일위집계!#REF!</definedName>
    <definedName name="_7C_28">[7]연돌일위집계!#REF!</definedName>
    <definedName name="_7C_29">[7]연돌일위집계!#REF!</definedName>
    <definedName name="_7C_3">[7]연돌일위집계!#REF!</definedName>
    <definedName name="_7C_30">[7]연돌일위집계!#REF!</definedName>
    <definedName name="_7C_4">[7]연돌일위집계!#REF!</definedName>
    <definedName name="_7C_5">[7]연돌일위집계!#REF!</definedName>
    <definedName name="_7C_6">[7]연돌일위집계!#REF!</definedName>
    <definedName name="_7C_7">[7]연돌일위집계!#REF!</definedName>
    <definedName name="_7C_8">[7]연돌일위집계!#REF!</definedName>
    <definedName name="_7C_9">[7]연돌일위집계!#REF!</definedName>
    <definedName name="_8A_1">[7]연돌일위집계!#REF!</definedName>
    <definedName name="_8A_10">[7]연돌일위집계!#REF!</definedName>
    <definedName name="_8A_11">[7]연돌일위집계!#REF!</definedName>
    <definedName name="_8A_12">[7]연돌일위집계!#REF!</definedName>
    <definedName name="_8A_13">[7]연돌일위집계!#REF!</definedName>
    <definedName name="_8A_14">[7]연돌일위집계!#REF!</definedName>
    <definedName name="_8A_15">[7]연돌일위집계!#REF!</definedName>
    <definedName name="_8A_16">[7]연돌일위집계!#REF!</definedName>
    <definedName name="_8A_17">[7]연돌일위집계!#REF!</definedName>
    <definedName name="_8A_18">[7]연돌일위집계!#REF!</definedName>
    <definedName name="_8A_19">[7]연돌일위집계!#REF!</definedName>
    <definedName name="_8A_2">[7]연돌일위집계!#REF!</definedName>
    <definedName name="_8A_20">[7]연돌일위집계!#REF!</definedName>
    <definedName name="_8A_21">[7]연돌일위집계!#REF!</definedName>
    <definedName name="_8A_22">[7]연돌일위집계!#REF!</definedName>
    <definedName name="_8A_23">[7]연돌일위집계!#REF!</definedName>
    <definedName name="_8A_24">[7]연돌일위집계!#REF!</definedName>
    <definedName name="_8A_25">[7]연돌일위집계!#REF!</definedName>
    <definedName name="_8A_26">[7]연돌일위집계!#REF!</definedName>
    <definedName name="_8A_27">[7]연돌일위집계!#REF!</definedName>
    <definedName name="_8A_28">[7]연돌일위집계!#REF!</definedName>
    <definedName name="_8A_29">[7]연돌일위집계!#REF!</definedName>
    <definedName name="_8A_3">[7]연돌일위집계!#REF!</definedName>
    <definedName name="_8A_30">[7]연돌일위집계!#REF!</definedName>
    <definedName name="_8A_4">[7]연돌일위집계!#REF!</definedName>
    <definedName name="_8A_5">[7]연돌일위집계!#REF!</definedName>
    <definedName name="_8A_6">[7]연돌일위집계!#REF!</definedName>
    <definedName name="_8A_7">[7]연돌일위집계!#REF!</definedName>
    <definedName name="_8A_8">[7]연돌일위집계!#REF!</definedName>
    <definedName name="_8A_9">[7]연돌일위집계!#REF!</definedName>
    <definedName name="_8B_1">[7]연돌일위집계!#REF!</definedName>
    <definedName name="_8B_10">[7]연돌일위집계!#REF!</definedName>
    <definedName name="_8B_11">[7]연돌일위집계!#REF!</definedName>
    <definedName name="_8B_12">[7]연돌일위집계!#REF!</definedName>
    <definedName name="_8B_13">[7]연돌일위집계!#REF!</definedName>
    <definedName name="_8B_14">[7]연돌일위집계!#REF!</definedName>
    <definedName name="_8B_15">[7]연돌일위집계!#REF!</definedName>
    <definedName name="_8B_16">[7]연돌일위집계!#REF!</definedName>
    <definedName name="_8B_17">[7]연돌일위집계!#REF!</definedName>
    <definedName name="_8B_18">[7]연돌일위집계!#REF!</definedName>
    <definedName name="_8B_19">[7]연돌일위집계!#REF!</definedName>
    <definedName name="_8B_2">[7]연돌일위집계!#REF!</definedName>
    <definedName name="_8B_20">[7]연돌일위집계!#REF!</definedName>
    <definedName name="_8B_21">[7]연돌일위집계!#REF!</definedName>
    <definedName name="_8B_22">[7]연돌일위집계!#REF!</definedName>
    <definedName name="_8B_23">[7]연돌일위집계!#REF!</definedName>
    <definedName name="_8B_24">[7]연돌일위집계!#REF!</definedName>
    <definedName name="_8B_25">[7]연돌일위집계!#REF!</definedName>
    <definedName name="_8B_26">[7]연돌일위집계!#REF!</definedName>
    <definedName name="_8B_27">[7]연돌일위집계!#REF!</definedName>
    <definedName name="_8B_28">[7]연돌일위집계!#REF!</definedName>
    <definedName name="_8B_29">[7]연돌일위집계!#REF!</definedName>
    <definedName name="_8B_3">[7]연돌일위집계!#REF!</definedName>
    <definedName name="_8B_30">[7]연돌일위집계!#REF!</definedName>
    <definedName name="_8B_4">[7]연돌일위집계!#REF!</definedName>
    <definedName name="_8B_5">[7]연돌일위집계!#REF!</definedName>
    <definedName name="_8B_6">[7]연돌일위집계!#REF!</definedName>
    <definedName name="_8B_7">[7]연돌일위집계!#REF!</definedName>
    <definedName name="_8B_8">[7]연돌일위집계!#REF!</definedName>
    <definedName name="_8B_9">[7]연돌일위집계!#REF!</definedName>
    <definedName name="_8C_1">[7]연돌일위집계!#REF!</definedName>
    <definedName name="_8C_10">[7]연돌일위집계!#REF!</definedName>
    <definedName name="_8C_11">[7]연돌일위집계!#REF!</definedName>
    <definedName name="_8C_12">[7]연돌일위집계!#REF!</definedName>
    <definedName name="_8C_13">[7]연돌일위집계!#REF!</definedName>
    <definedName name="_8C_14">[7]연돌일위집계!#REF!</definedName>
    <definedName name="_8C_15">[7]연돌일위집계!#REF!</definedName>
    <definedName name="_8C_16">[7]연돌일위집계!#REF!</definedName>
    <definedName name="_8C_17">[7]연돌일위집계!#REF!</definedName>
    <definedName name="_8C_18">[7]연돌일위집계!#REF!</definedName>
    <definedName name="_8C_19">[7]연돌일위집계!#REF!</definedName>
    <definedName name="_8C_2">[7]연돌일위집계!#REF!</definedName>
    <definedName name="_8C_20">[7]연돌일위집계!#REF!</definedName>
    <definedName name="_8C_21">[7]연돌일위집계!#REF!</definedName>
    <definedName name="_8C_22">[7]연돌일위집계!#REF!</definedName>
    <definedName name="_8C_23">[7]연돌일위집계!#REF!</definedName>
    <definedName name="_8C_24">[7]연돌일위집계!#REF!</definedName>
    <definedName name="_8C_25">[7]연돌일위집계!#REF!</definedName>
    <definedName name="_8C_26">[7]연돌일위집계!#REF!</definedName>
    <definedName name="_8C_27">[7]연돌일위집계!#REF!</definedName>
    <definedName name="_8C_28">[7]연돌일위집계!#REF!</definedName>
    <definedName name="_8C_29">[7]연돌일위집계!#REF!</definedName>
    <definedName name="_8C_3">[7]연돌일위집계!#REF!</definedName>
    <definedName name="_8C_30">[7]연돌일위집계!#REF!</definedName>
    <definedName name="_8C_4">[7]연돌일위집계!#REF!</definedName>
    <definedName name="_8C_5">[7]연돌일위집계!#REF!</definedName>
    <definedName name="_8C_6">[7]연돌일위집계!#REF!</definedName>
    <definedName name="_8C_7">[7]연돌일위집계!#REF!</definedName>
    <definedName name="_8C_8">[7]연돌일위집계!#REF!</definedName>
    <definedName name="_8C_9">[7]연돌일위집계!#REF!</definedName>
    <definedName name="_9A_1">[7]연돌일위집계!#REF!</definedName>
    <definedName name="_9A_10">[7]연돌일위집계!#REF!</definedName>
    <definedName name="_9A_11">[7]연돌일위집계!#REF!</definedName>
    <definedName name="_9A_12">[7]연돌일위집계!#REF!</definedName>
    <definedName name="_9A_13">[7]연돌일위집계!#REF!</definedName>
    <definedName name="_9A_14">[7]연돌일위집계!#REF!</definedName>
    <definedName name="_9A_15">[7]연돌일위집계!#REF!</definedName>
    <definedName name="_9A_16">[7]연돌일위집계!#REF!</definedName>
    <definedName name="_9A_17">[7]연돌일위집계!#REF!</definedName>
    <definedName name="_9A_18">[7]연돌일위집계!#REF!</definedName>
    <definedName name="_9A_19">[7]연돌일위집계!#REF!</definedName>
    <definedName name="_9A_2">[7]연돌일위집계!#REF!</definedName>
    <definedName name="_9A_20">[7]연돌일위집계!#REF!</definedName>
    <definedName name="_9A_21">[7]연돌일위집계!#REF!</definedName>
    <definedName name="_9A_22">[7]연돌일위집계!#REF!</definedName>
    <definedName name="_9A_23">[7]연돌일위집계!#REF!</definedName>
    <definedName name="_9A_24">[7]연돌일위집계!#REF!</definedName>
    <definedName name="_9A_25">[7]연돌일위집계!#REF!</definedName>
    <definedName name="_9A_26">[7]연돌일위집계!#REF!</definedName>
    <definedName name="_9A_27">[7]연돌일위집계!#REF!</definedName>
    <definedName name="_9A_28">[7]연돌일위집계!#REF!</definedName>
    <definedName name="_9A_29">[7]연돌일위집계!#REF!</definedName>
    <definedName name="_9A_3">[7]연돌일위집계!#REF!</definedName>
    <definedName name="_9A_30">[7]연돌일위집계!#REF!</definedName>
    <definedName name="_9A_4">[7]연돌일위집계!#REF!</definedName>
    <definedName name="_9A_5">[7]연돌일위집계!#REF!</definedName>
    <definedName name="_9A_6">[7]연돌일위집계!#REF!</definedName>
    <definedName name="_9A_7">[7]연돌일위집계!#REF!</definedName>
    <definedName name="_9A_8">[7]연돌일위집계!#REF!</definedName>
    <definedName name="_9A_9">[7]연돌일위집계!#REF!</definedName>
    <definedName name="_9B_1">[7]연돌일위집계!#REF!</definedName>
    <definedName name="_9B_10">[7]연돌일위집계!#REF!</definedName>
    <definedName name="_9B_11">[7]연돌일위집계!#REF!</definedName>
    <definedName name="_9B_12">[7]연돌일위집계!#REF!</definedName>
    <definedName name="_9B_13">[7]연돌일위집계!#REF!</definedName>
    <definedName name="_9B_14">[7]연돌일위집계!#REF!</definedName>
    <definedName name="_9B_15">[7]연돌일위집계!#REF!</definedName>
    <definedName name="_9B_16">[7]연돌일위집계!#REF!</definedName>
    <definedName name="_9B_17">[7]연돌일위집계!#REF!</definedName>
    <definedName name="_9B_18">[7]연돌일위집계!#REF!</definedName>
    <definedName name="_9B_19">[7]연돌일위집계!#REF!</definedName>
    <definedName name="_9B_2">[7]연돌일위집계!#REF!</definedName>
    <definedName name="_9B_20">[7]연돌일위집계!#REF!</definedName>
    <definedName name="_9B_21">[7]연돌일위집계!#REF!</definedName>
    <definedName name="_9B_22">[7]연돌일위집계!#REF!</definedName>
    <definedName name="_9B_23">[7]연돌일위집계!#REF!</definedName>
    <definedName name="_9B_24">[7]연돌일위집계!#REF!</definedName>
    <definedName name="_9B_25">[7]연돌일위집계!#REF!</definedName>
    <definedName name="_9B_26">[7]연돌일위집계!#REF!</definedName>
    <definedName name="_9B_27">[7]연돌일위집계!#REF!</definedName>
    <definedName name="_9B_28">[7]연돌일위집계!#REF!</definedName>
    <definedName name="_9B_29">[7]연돌일위집계!#REF!</definedName>
    <definedName name="_9B_3">[7]연돌일위집계!#REF!</definedName>
    <definedName name="_9B_30">[7]연돌일위집계!#REF!</definedName>
    <definedName name="_9B_4">[7]연돌일위집계!#REF!</definedName>
    <definedName name="_9B_5">[7]연돌일위집계!#REF!</definedName>
    <definedName name="_9B_6">[7]연돌일위집계!#REF!</definedName>
    <definedName name="_9B_7">[7]연돌일위집계!#REF!</definedName>
    <definedName name="_9B_8">[7]연돌일위집계!#REF!</definedName>
    <definedName name="_9B_9">[7]연돌일위집계!#REF!</definedName>
    <definedName name="_9C_1">[7]연돌일위집계!#REF!</definedName>
    <definedName name="_9C_10">[7]연돌일위집계!#REF!</definedName>
    <definedName name="_9C_11">[7]연돌일위집계!#REF!</definedName>
    <definedName name="_9C_12">[7]연돌일위집계!#REF!</definedName>
    <definedName name="_9C_13">[7]연돌일위집계!#REF!</definedName>
    <definedName name="_9C_14">[7]연돌일위집계!#REF!</definedName>
    <definedName name="_9C_15">[7]연돌일위집계!#REF!</definedName>
    <definedName name="_9C_16">[7]연돌일위집계!#REF!</definedName>
    <definedName name="_9C_17">[7]연돌일위집계!#REF!</definedName>
    <definedName name="_9C_18">[7]연돌일위집계!#REF!</definedName>
    <definedName name="_9C_19">[7]연돌일위집계!#REF!</definedName>
    <definedName name="_9C_2">[7]연돌일위집계!#REF!</definedName>
    <definedName name="_9C_20">[7]연돌일위집계!#REF!</definedName>
    <definedName name="_9C_21">[7]연돌일위집계!#REF!</definedName>
    <definedName name="_9C_22">[7]연돌일위집계!#REF!</definedName>
    <definedName name="_9C_23">[7]연돌일위집계!#REF!</definedName>
    <definedName name="_9C_24">[7]연돌일위집계!#REF!</definedName>
    <definedName name="_9C_25">[7]연돌일위집계!#REF!</definedName>
    <definedName name="_9C_26">[7]연돌일위집계!#REF!</definedName>
    <definedName name="_9C_27">[7]연돌일위집계!#REF!</definedName>
    <definedName name="_9C_28">[7]연돌일위집계!#REF!</definedName>
    <definedName name="_9C_29">[7]연돌일위집계!#REF!</definedName>
    <definedName name="_9C_3">[7]연돌일위집계!#REF!</definedName>
    <definedName name="_9C_30">[7]연돌일위집계!#REF!</definedName>
    <definedName name="_9C_4">[7]연돌일위집계!#REF!</definedName>
    <definedName name="_9C_5">[7]연돌일위집계!#REF!</definedName>
    <definedName name="_9C_6">[7]연돌일위집계!#REF!</definedName>
    <definedName name="_9C_7">[7]연돌일위집계!#REF!</definedName>
    <definedName name="_9C_8">[7]연돌일위집계!#REF!</definedName>
    <definedName name="_9C_9">[7]연돌일위집계!#REF!</definedName>
    <definedName name="_aasseil" hidden="1">#REF!</definedName>
    <definedName name="_abecrombie" hidden="1">#REF!</definedName>
    <definedName name="_AE" hidden="1">#REF!</definedName>
    <definedName name="_aeifel" hidden="1">#REF!</definedName>
    <definedName name="_aeiilll2" hidden="1">#REF!</definedName>
    <definedName name="_aewil" hidden="1">#REF!</definedName>
    <definedName name="_aidldlf" hidden="1">#REF!</definedName>
    <definedName name="_aill" hidden="1">#REF!</definedName>
    <definedName name="_aill2" hidden="1">#REF!</definedName>
    <definedName name="_aiooips" hidden="1">#REF!</definedName>
    <definedName name="_aksdl" hidden="1">#REF!</definedName>
    <definedName name="_akzio" hidden="1">#REF!</definedName>
    <definedName name="_alpqpdi" hidden="1">#REF!</definedName>
    <definedName name="_aoiaiei" hidden="1">#REF!</definedName>
    <definedName name="_ap2" hidden="1">#REF!</definedName>
    <definedName name="_apfdkd" hidden="1">#REF!</definedName>
    <definedName name="_aseil" hidden="1">#REF!</definedName>
    <definedName name="_asill" hidden="1">#REF!</definedName>
    <definedName name="_asilll" hidden="1">#REF!</definedName>
    <definedName name="_asldsl" hidden="1">#REF!</definedName>
    <definedName name="_assiill" hidden="1">#REF!</definedName>
    <definedName name="_biblsl" hidden="1">#REF!</definedName>
    <definedName name="_bilil" hidden="1">#REF!</definedName>
    <definedName name="_bill" hidden="1">#REF!</definedName>
    <definedName name="_cceeil" hidden="1">#REF!</definedName>
    <definedName name="_ccill" hidden="1">#REF!</definedName>
    <definedName name="_cdill" hidden="1">#REF!</definedName>
    <definedName name="_cfecil" hidden="1">#REF!</definedName>
    <definedName name="_cfelllss" hidden="1">#REF!</definedName>
    <definedName name="_cicile" hidden="1">#REF!</definedName>
    <definedName name="_cill" hidden="1">#REF!</definedName>
    <definedName name="_ck" hidden="1">#REF!</definedName>
    <definedName name="_d2jkjl" hidden="1">#REF!</definedName>
    <definedName name="_d3fefe" hidden="1">#REF!</definedName>
    <definedName name="_daeidl" hidden="1">#REF!</definedName>
    <definedName name="_daeiel" hidden="1">#REF!</definedName>
    <definedName name="_dail" hidden="1">#REF!</definedName>
    <definedName name="_dcccil" hidden="1">#REF!</definedName>
    <definedName name="_ddaill" hidden="1">#REF!</definedName>
    <definedName name="_ddd" hidden="1">#REF!</definedName>
    <definedName name="_dddilaa" hidden="1">#REF!</definedName>
    <definedName name="_ddeil" hidden="1">#REF!</definedName>
    <definedName name="_ddeil33" hidden="1">#REF!</definedName>
    <definedName name="_ddfefe" hidden="1">#REF!</definedName>
    <definedName name="_ddffii" hidden="1">#REF!</definedName>
    <definedName name="_ddiiwso" hidden="1">#REF!</definedName>
    <definedName name="_ddill" hidden="1">#REF!</definedName>
    <definedName name="_ddliflil" hidden="1">#REF!</definedName>
    <definedName name="_ddsoifio" hidden="1">#REF!</definedName>
    <definedName name="_de239" hidden="1">#REF!</definedName>
    <definedName name="_defeil" hidden="1">#REF!</definedName>
    <definedName name="_deraw" hidden="1">#REF!</definedName>
    <definedName name="_dfaer" hidden="1">#REF!</definedName>
    <definedName name="_dfdk" hidden="1">#REF!</definedName>
    <definedName name="_dfdkk3" hidden="1">#REF!</definedName>
    <definedName name="_dfeil" hidden="1">#REF!</definedName>
    <definedName name="_dfidifl" hidden="1">#REF!</definedName>
    <definedName name="_dfiefl23" hidden="1">#REF!</definedName>
    <definedName name="_dfieifoi" hidden="1">#REF!</definedName>
    <definedName name="_dfifeioil." hidden="1">#REF!</definedName>
    <definedName name="_dfifoie" hidden="1">#REF!</definedName>
    <definedName name="_dfiieee" hidden="1">#REF!</definedName>
    <definedName name="_dfill" hidden="1">#REF!</definedName>
    <definedName name="_dfkffja" hidden="1">#REF!</definedName>
    <definedName name="_dfklsfjw" hidden="1">#REF!</definedName>
    <definedName name="_dfksljfsew" hidden="1">#REF!</definedName>
    <definedName name="_dflfoieoi" hidden="1">#REF!</definedName>
    <definedName name="_dfmill" hidden="1">#REF!</definedName>
    <definedName name="_dfpqp" hidden="1">#REF!</definedName>
    <definedName name="_dfpqpas" hidden="1">#REF!</definedName>
    <definedName name="_dfuidfo" hidden="1">#REF!</definedName>
    <definedName name="_dfyyyieiel" hidden="1">#REF!</definedName>
    <definedName name="_dhihil" hidden="1">#REF!</definedName>
    <definedName name="_diael2" hidden="1">#REF!</definedName>
    <definedName name="_dicicliwliw" hidden="1">#REF!</definedName>
    <definedName name="_didl" hidden="1">#REF!</definedName>
    <definedName name="_didlifdi" hidden="1">#REF!</definedName>
    <definedName name="_dieireo" hidden="1">#REF!</definedName>
    <definedName name="_diewoiewl" hidden="1">#REF!</definedName>
    <definedName name="_difdlf" hidden="1">#REF!</definedName>
    <definedName name="_difefiel" hidden="1">#REF!</definedName>
    <definedName name="_difeifoie" hidden="1">#REF!</definedName>
    <definedName name="_difeowfla" hidden="1">#REF!</definedName>
    <definedName name="_difieifl" hidden="1">#REF!</definedName>
    <definedName name="_difiill" hidden="1">#REF!</definedName>
    <definedName name="_difisel" hidden="1">#REF!</definedName>
    <definedName name="_difiwi" hidden="1">#REF!</definedName>
    <definedName name="_difjdii" hidden="1">#REF!</definedName>
    <definedName name="_difoiwo43" hidden="1">#REF!</definedName>
    <definedName name="_difowo2" hidden="1">#REF!</definedName>
    <definedName name="_difpwpe" hidden="1">#REF!</definedName>
    <definedName name="_diieidid" hidden="1">#REF!</definedName>
    <definedName name="_diiooo" hidden="1">#REF!</definedName>
    <definedName name="_dill" hidden="1">#REF!</definedName>
    <definedName name="_dill2" hidden="1">#REF!</definedName>
    <definedName name="_disilefil" hidden="1">#REF!</definedName>
    <definedName name="_Dist_Values" hidden="1">#REF!</definedName>
    <definedName name="_diww3" hidden="1">#REF!</definedName>
    <definedName name="_dizilew" hidden="1">#REF!</definedName>
    <definedName name="_djfddslf" hidden="1">#REF!</definedName>
    <definedName name="_dkdidiio" hidden="1">#REF!</definedName>
    <definedName name="_dkdiri" hidden="1">#REF!</definedName>
    <definedName name="_dkdkd" hidden="1">#REF!</definedName>
    <definedName name="_dkf" hidden="1">#REF!</definedName>
    <definedName name="_dkfdi" hidden="1">#REF!</definedName>
    <definedName name="_dkfdkjfe" hidden="1">#REF!</definedName>
    <definedName name="_dkfeoi" hidden="1">#REF!</definedName>
    <definedName name="_dkfiefll2" hidden="1">#REF!</definedName>
    <definedName name="_dkfiewo" hidden="1">#REF!</definedName>
    <definedName name="_dkfjfwm" hidden="1">#REF!</definedName>
    <definedName name="_dkfjwio" hidden="1">#REF!</definedName>
    <definedName name="_dkfkd" hidden="1">#REF!</definedName>
    <definedName name="_dkfkoiw" hidden="1">#REF!</definedName>
    <definedName name="_dkfks" hidden="1">#REF!</definedName>
    <definedName name="_dkflkkl" hidden="1">#REF!</definedName>
    <definedName name="_dkflsilel" hidden="1">#REF!</definedName>
    <definedName name="_dkfol" hidden="1">#REF!</definedName>
    <definedName name="_dklao" hidden="1">#REF!</definedName>
    <definedName name="_dkldfiip" hidden="1">#REF!</definedName>
    <definedName name="_dkldlfeoi" hidden="1">#REF!</definedName>
    <definedName name="_dklfelkfl" hidden="1">#REF!</definedName>
    <definedName name="_dklsajfqp" hidden="1">#REF!</definedName>
    <definedName name="_dksislseoi" hidden="1">#REF!</definedName>
    <definedName name="_dkskfkd" hidden="1">#REF!</definedName>
    <definedName name="_dksmil" hidden="1">#REF!</definedName>
    <definedName name="_dkzpekf" hidden="1">#REF!</definedName>
    <definedName name="_dlfwo" hidden="1">#REF!</definedName>
    <definedName name="_dncidcl" hidden="1">#REF!</definedName>
    <definedName name="_dofiei" hidden="1">#REF!</definedName>
    <definedName name="_dofjeio" hidden="1">#REF!</definedName>
    <definedName name="_dopqmwe" hidden="1">#REF!</definedName>
    <definedName name="_dososw" hidden="1">#REF!</definedName>
    <definedName name="_dpds" hidden="1">#REF!</definedName>
    <definedName name="_dpge" hidden="1">#REF!</definedName>
    <definedName name="_dpill" hidden="1">#REF!</definedName>
    <definedName name="_dppei" hidden="1">#REF!</definedName>
    <definedName name="_dpspdsph" hidden="1">#REF!</definedName>
    <definedName name="_dreirill" hidden="1">#REF!</definedName>
    <definedName name="_dsdoifo" hidden="1">#REF!</definedName>
    <definedName name="_dsfill" hidden="1">#REF!</definedName>
    <definedName name="_dsfioq" hidden="1">#REF!</definedName>
    <definedName name="_dsoixiz" hidden="1">#REF!</definedName>
    <definedName name="_dspdp" hidden="1">#REF!</definedName>
    <definedName name="_dy8ielfey" hidden="1">#REF!</definedName>
    <definedName name="_edail" hidden="1">#REF!</definedName>
    <definedName name="_eddfill" hidden="1">#REF!</definedName>
    <definedName name="_eddil" hidden="1">#REF!</definedName>
    <definedName name="_edfil" hidden="1">#REF!</definedName>
    <definedName name="_edfil2" hidden="1">#REF!</definedName>
    <definedName name="_edield" hidden="1">#REF!</definedName>
    <definedName name="_edkfoidoi" hidden="1">#REF!</definedName>
    <definedName name="_eeill" hidden="1">#REF!</definedName>
    <definedName name="_efdcil" hidden="1">#REF!</definedName>
    <definedName name="_efefeapq" hidden="1">#REF!</definedName>
    <definedName name="_efefeif" hidden="1">#REF!</definedName>
    <definedName name="_efefk" hidden="1">#REF!</definedName>
    <definedName name="_effw" hidden="1">#REF!</definedName>
    <definedName name="_efil" hidden="1">#REF!</definedName>
    <definedName name="_efil2" hidden="1">#REF!</definedName>
    <definedName name="_efila" hidden="1">#REF!</definedName>
    <definedName name="_efile" hidden="1">#REF!</definedName>
    <definedName name="_efoiejfeoi" hidden="1">#REF!</definedName>
    <definedName name="_efril" hidden="1">#REF!</definedName>
    <definedName name="_eiafl" hidden="1">#REF!</definedName>
    <definedName name="_eiffel" hidden="1">#REF!</definedName>
    <definedName name="_eifiefoi" hidden="1">#REF!</definedName>
    <definedName name="_eififi09" hidden="1">#REF!</definedName>
    <definedName name="_eiflweil" hidden="1">#REF!</definedName>
    <definedName name="_eifoewf" hidden="1">#REF!</definedName>
    <definedName name="_eifugil" hidden="1">#REF!</definedName>
    <definedName name="_eiifeo" hidden="1">#REF!</definedName>
    <definedName name="_eiil" hidden="1">#REF!</definedName>
    <definedName name="_eiill" hidden="1">#REF!</definedName>
    <definedName name="_eill" hidden="1">#REF!</definedName>
    <definedName name="_eilwwl" hidden="1">#REF!</definedName>
    <definedName name="_eiofoiewoi" hidden="1">#REF!</definedName>
    <definedName name="_eiofoifoi" hidden="1">#REF!</definedName>
    <definedName name="_eiol" hidden="1">#REF!</definedName>
    <definedName name="_eiolli" hidden="1">#REF!</definedName>
    <definedName name="_eiowfp" hidden="1">#REF!</definedName>
    <definedName name="_eireoi" hidden="1">#REF!</definedName>
    <definedName name="_eiroifo" hidden="1">#REF!</definedName>
    <definedName name="_eiwioqug" hidden="1">#REF!</definedName>
    <definedName name="_eiwofil" hidden="1">#REF!</definedName>
    <definedName name="_eiwofka" hidden="1">#REF!</definedName>
    <definedName name="_eiwoflsd" hidden="1">#REF!</definedName>
    <definedName name="_eiwowe32" hidden="1">#REF!</definedName>
    <definedName name="_eizo" hidden="1">#REF!</definedName>
    <definedName name="_ekdo" hidden="1">#REF!</definedName>
    <definedName name="_ekfjefoie" hidden="1">#REF!</definedName>
    <definedName name="_ekiwewoiweo" hidden="1">#REF!</definedName>
    <definedName name="_ekofok" hidden="1">#REF!</definedName>
    <definedName name="_ekqge" hidden="1">#REF!</definedName>
    <definedName name="_ekrieoi" hidden="1">#REF!</definedName>
    <definedName name="_eoeoewow" hidden="1">#REF!</definedName>
    <definedName name="_eofoweo" hidden="1">#REF!</definedName>
    <definedName name="_eofzdk" hidden="1">#REF!</definedName>
    <definedName name="_eoifweoifeo" hidden="1">#REF!</definedName>
    <definedName name="_eoiw9" hidden="1">#REF!</definedName>
    <definedName name="_epepek" hidden="1">#REF!</definedName>
    <definedName name="_eppeox" hidden="1">#REF!</definedName>
    <definedName name="_epqsk" hidden="1">#REF!</definedName>
    <definedName name="_epqzazkd" hidden="1">#REF!</definedName>
    <definedName name="_eqed" hidden="1">#REF!</definedName>
    <definedName name="_erfeil" hidden="1">#REF!</definedName>
    <definedName name="_erffe" hidden="1">#REF!</definedName>
    <definedName name="_eridl" hidden="1">#REF!</definedName>
    <definedName name="_erie" hidden="1">#REF!</definedName>
    <definedName name="_erilff" hidden="1">#REF!</definedName>
    <definedName name="_erill" hidden="1">#REF!</definedName>
    <definedName name="_erilseil" hidden="1">#REF!</definedName>
    <definedName name="_eriwl" hidden="1">#REF!</definedName>
    <definedName name="_ernill" hidden="1">#REF!</definedName>
    <definedName name="_errza" hidden="1">#REF!</definedName>
    <definedName name="_ervil" hidden="1">#REF!</definedName>
    <definedName name="_erwaaz" hidden="1">#REF!</definedName>
    <definedName name="_etkill" hidden="1">#REF!</definedName>
    <definedName name="_eudifil" hidden="1">#REF!</definedName>
    <definedName name="_eweilld" hidden="1">#REF!</definedName>
    <definedName name="_ewivio" hidden="1">#REF!</definedName>
    <definedName name="_eww09r0" hidden="1">#REF!</definedName>
    <definedName name="_faeil" hidden="1">#REF!</definedName>
    <definedName name="_faeill" hidden="1">#REF!</definedName>
    <definedName name="_faeqil" hidden="1">#REF!</definedName>
    <definedName name="_faiel" hidden="1">#REF!</definedName>
    <definedName name="_faielfiefli" hidden="1">#REF!</definedName>
    <definedName name="_fail" hidden="1">#REF!</definedName>
    <definedName name="_fail2" hidden="1">#REF!</definedName>
    <definedName name="_failee3" hidden="1">#REF!</definedName>
    <definedName name="_faill" hidden="1">#REF!</definedName>
    <definedName name="_fall" hidden="1">#REF!</definedName>
    <definedName name="_fbill" hidden="1">#REF!</definedName>
    <definedName name="_fcill" hidden="1">#REF!</definedName>
    <definedName name="_fdafail" hidden="1">#REF!</definedName>
    <definedName name="_fdffe" hidden="1">#REF!</definedName>
    <definedName name="_fdfil" hidden="1">#REF!</definedName>
    <definedName name="_fdgil" hidden="1">#REF!</definedName>
    <definedName name="_fdiaielfl" hidden="1">#REF!</definedName>
    <definedName name="_fdidfivli" hidden="1">#REF!</definedName>
    <definedName name="_fdifdll" hidden="1">#REF!</definedName>
    <definedName name="_fdill" hidden="1">#REF!</definedName>
    <definedName name="_fdk" hidden="1">#REF!</definedName>
    <definedName name="_fe03l" hidden="1">#REF!</definedName>
    <definedName name="_feaail" hidden="1">#REF!</definedName>
    <definedName name="_feaill" hidden="1">#REF!</definedName>
    <definedName name="_fedeil" hidden="1">#REF!</definedName>
    <definedName name="_fediil" hidden="1">#REF!</definedName>
    <definedName name="_fee93l" hidden="1">#REF!</definedName>
    <definedName name="_feekfkl" hidden="1">#REF!</definedName>
    <definedName name="_feeri" hidden="1">#REF!</definedName>
    <definedName name="_feerirl" hidden="1">#REF!</definedName>
    <definedName name="_fefdwil" hidden="1">#REF!</definedName>
    <definedName name="_fefe" hidden="1">#REF!</definedName>
    <definedName name="_fefeill" hidden="1">#REF!</definedName>
    <definedName name="_fefek" hidden="1">#REF!</definedName>
    <definedName name="_fefiiss" hidden="1">#REF!</definedName>
    <definedName name="_fefil2" hidden="1">#REF!</definedName>
    <definedName name="_fefiwll" hidden="1">#REF!</definedName>
    <definedName name="_fefiwo2" hidden="1">#REF!</definedName>
    <definedName name="_fefkdgil" hidden="1">#REF!</definedName>
    <definedName name="_fei2" hidden="1">#REF!</definedName>
    <definedName name="_fei2sl" hidden="1">#REF!</definedName>
    <definedName name="_feifez" hidden="1">#REF!</definedName>
    <definedName name="_feifl" hidden="1">#REF!</definedName>
    <definedName name="_feifle2" hidden="1">#REF!</definedName>
    <definedName name="_feiiidf" hidden="1">#REF!</definedName>
    <definedName name="_feiiql" hidden="1">#REF!</definedName>
    <definedName name="_feiiweil" hidden="1">#REF!</definedName>
    <definedName name="_feil" hidden="1">#REF!</definedName>
    <definedName name="_feil2" hidden="1">#REF!</definedName>
    <definedName name="_feil3" hidden="1">#REF!</definedName>
    <definedName name="_feil33" hidden="1">#REF!</definedName>
    <definedName name="_feild" hidden="1">#REF!</definedName>
    <definedName name="_feilf" hidden="1">#REF!</definedName>
    <definedName name="_feilff" hidden="1">#REF!</definedName>
    <definedName name="_feilli2" hidden="1">#REF!</definedName>
    <definedName name="_feillw" hidden="1">#REF!</definedName>
    <definedName name="_feilsd" hidden="1">#REF!</definedName>
    <definedName name="_feilss2" hidden="1">#REF!</definedName>
    <definedName name="_feilsse" hidden="1">#REF!</definedName>
    <definedName name="_felle" hidden="1">#REF!</definedName>
    <definedName name="_feoifif" hidden="1">#REF!</definedName>
    <definedName name="_feoiio2z" hidden="1">#REF!</definedName>
    <definedName name="_feoijfoij" hidden="1">#REF!</definedName>
    <definedName name="_feopw" hidden="1">#REF!</definedName>
    <definedName name="_feoq2" hidden="1">#REF!</definedName>
    <definedName name="_fereils" hidden="1">#REF!</definedName>
    <definedName name="_ferereril" hidden="1">#REF!</definedName>
    <definedName name="_fesdil" hidden="1">#REF!</definedName>
    <definedName name="_feseils" hidden="1">#REF!</definedName>
    <definedName name="_fesil" hidden="1">#REF!</definedName>
    <definedName name="_ffddl" hidden="1">#REF!</definedName>
    <definedName name="_ffeeiil2" hidden="1">#REF!</definedName>
    <definedName name="_ffefil3" hidden="1">#REF!</definedName>
    <definedName name="_ffeiile" hidden="1">#REF!</definedName>
    <definedName name="_ffeil" hidden="1">#REF!</definedName>
    <definedName name="_ffeil2" hidden="1">#REF!</definedName>
    <definedName name="_ffeilol" hidden="1">#REF!</definedName>
    <definedName name="_ffeilssl" hidden="1">#REF!</definedName>
    <definedName name="_ffeipe" hidden="1">#REF!</definedName>
    <definedName name="_ffiill" hidden="1">#REF!</definedName>
    <definedName name="_ffill" hidden="1">#REF!</definedName>
    <definedName name="_ffkefe" hidden="1">#REF!</definedName>
    <definedName name="_fgegeil" hidden="1">#REF!</definedName>
    <definedName name="_ficil2" hidden="1">#REF!</definedName>
    <definedName name="_fidoifdoi" hidden="1">#REF!</definedName>
    <definedName name="_fieeli" hidden="1">#REF!</definedName>
    <definedName name="_fiefie" hidden="1">#REF!</definedName>
    <definedName name="_fiefiel" hidden="1">#REF!</definedName>
    <definedName name="_fiefieli3" hidden="1">#REF!</definedName>
    <definedName name="_fiefieofo3" hidden="1">#REF!</definedName>
    <definedName name="_fiefiol" hidden="1">#REF!</definedName>
    <definedName name="_fiefl3" hidden="1">#REF!</definedName>
    <definedName name="_fieflefi" hidden="1">#REF!</definedName>
    <definedName name="_fieflilsz" hidden="1">#REF!</definedName>
    <definedName name="_fieflwsz" hidden="1">#REF!</definedName>
    <definedName name="_fiefoeieil" hidden="1">#REF!</definedName>
    <definedName name="_fiefoieoi" hidden="1">#REF!</definedName>
    <definedName name="_fiei" hidden="1">#REF!</definedName>
    <definedName name="_fieige" hidden="1">#REF!</definedName>
    <definedName name="_fieiogjmml" hidden="1">#REF!</definedName>
    <definedName name="_fiel" hidden="1">#REF!</definedName>
    <definedName name="_fielef2" hidden="1">#REF!</definedName>
    <definedName name="_fielfci" hidden="1">#REF!</definedName>
    <definedName name="_fielfld" hidden="1">#REF!</definedName>
    <definedName name="_fielifli" hidden="1">#REF!</definedName>
    <definedName name="_fielifwle2" hidden="1">#REF!</definedName>
    <definedName name="_fiell" hidden="1">#REF!</definedName>
    <definedName name="_fieoss" hidden="1">#REF!</definedName>
    <definedName name="_fieoz" hidden="1">#REF!</definedName>
    <definedName name="_fiieiove" hidden="1">#REF!</definedName>
    <definedName name="_fiioeo3" hidden="1">#REF!</definedName>
    <definedName name="_Fil" hidden="1">#REF!</definedName>
    <definedName name="_fil2" hidden="1">#REF!</definedName>
    <definedName name="_fil3" hidden="1">#REF!</definedName>
    <definedName name="_file2" hidden="1">#REF!</definedName>
    <definedName name="_filell2" hidden="1">#REF!</definedName>
    <definedName name="_Fill" localSheetId="33" hidden="1">[8]자재단가!#REF!</definedName>
    <definedName name="_Fill" hidden="1">[8]자재단가!#REF!</definedName>
    <definedName name="_fill1" hidden="1">#REF!</definedName>
    <definedName name="_fill2" hidden="1">#REF!</definedName>
    <definedName name="_fill3" hidden="1">#REF!</definedName>
    <definedName name="_fille" hidden="1">#REF!</definedName>
    <definedName name="_FILLL" hidden="1">[9]자재단가!#REF!</definedName>
    <definedName name="_fills" hidden="1">#REF!</definedName>
    <definedName name="_xlnm._FilterDatabase" localSheetId="33" hidden="1">'고온부품(26)'!$A$4:$P$24</definedName>
    <definedName name="_xlnm._FilterDatabase" hidden="1">#REF!</definedName>
    <definedName name="_fiooe" hidden="1">#REF!</definedName>
    <definedName name="_fiqoek" hidden="1">#REF!</definedName>
    <definedName name="_fiqpziem" hidden="1">#REF!</definedName>
    <definedName name="_fjnfqip" hidden="1">#REF!</definedName>
    <definedName name="_fjowo" hidden="1">#REF!</definedName>
    <definedName name="_fkdfie3" hidden="1">#REF!</definedName>
    <definedName name="_fkefie" hidden="1">#REF!</definedName>
    <definedName name="_fkefilel" hidden="1">#REF!</definedName>
    <definedName name="_fkeifeil" hidden="1">#REF!</definedName>
    <definedName name="_fkekfe" hidden="1">#REF!</definedName>
    <definedName name="_fkldfifewo" hidden="1">#REF!</definedName>
    <definedName name="_fkvviil" hidden="1">#REF!</definedName>
    <definedName name="_fldflei" hidden="1">#REF!</definedName>
    <definedName name="_flelflei" hidden="1">#REF!</definedName>
    <definedName name="_flfilf" hidden="1">#REF!</definedName>
    <definedName name="_fll2" hidden="1">#REF!</definedName>
    <definedName name="_flle2i" hidden="1">#REF!</definedName>
    <definedName name="_floooccz" hidden="1">#REF!</definedName>
    <definedName name="_fmikill" hidden="1">#REF!</definedName>
    <definedName name="_fneflkef" hidden="1">#REF!</definedName>
    <definedName name="_foewoifoi" hidden="1">#REF!</definedName>
    <definedName name="_foieoeil" hidden="1">#REF!</definedName>
    <definedName name="_fpeepdck" hidden="1">#REF!</definedName>
    <definedName name="_fpefpeif" hidden="1">#REF!</definedName>
    <definedName name="_fpfpil" hidden="1">#REF!</definedName>
    <definedName name="_fpief" hidden="1">#REF!</definedName>
    <definedName name="_fqeoedl" hidden="1">#REF!</definedName>
    <definedName name="_fqiel22" hidden="1">#REF!</definedName>
    <definedName name="_fsreit" hidden="1">#REF!</definedName>
    <definedName name="_ftilg" hidden="1">#REF!</definedName>
    <definedName name="_fv990" hidden="1">#REF!</definedName>
    <definedName name="_fw90rw0e" hidden="1">#REF!</definedName>
    <definedName name="_fweisz" hidden="1">#REF!</definedName>
    <definedName name="_fwleil" hidden="1">#REF!</definedName>
    <definedName name="_fwlle2" hidden="1">#REF!</definedName>
    <definedName name="_fwoefoif" hidden="1">#REF!</definedName>
    <definedName name="_fzieoif" hidden="1">#REF!</definedName>
    <definedName name="_g2llil" hidden="1">#REF!</definedName>
    <definedName name="_gaile" hidden="1">#REF!</definedName>
    <definedName name="_geiaadl" hidden="1">#REF!</definedName>
    <definedName name="_geiggii" hidden="1">#REF!</definedName>
    <definedName name="_geiila" hidden="1">#REF!</definedName>
    <definedName name="_geild" hidden="1">#REF!</definedName>
    <definedName name="_geili" hidden="1">#REF!</definedName>
    <definedName name="_geill" hidden="1">#REF!</definedName>
    <definedName name="_geilzed" hidden="1">#REF!</definedName>
    <definedName name="_gerril" hidden="1">#REF!</definedName>
    <definedName name="_gfhoioi" hidden="1">#REF!</definedName>
    <definedName name="_ggaile" hidden="1">#REF!</definedName>
    <definedName name="_ghihil" hidden="1">#REF!</definedName>
    <definedName name="_gielzld" hidden="1">#REF!</definedName>
    <definedName name="_gierlaz" hidden="1">#REF!</definedName>
    <definedName name="_giigie" hidden="1">#REF!</definedName>
    <definedName name="_gill" hidden="1">#REF!</definedName>
    <definedName name="_gkjqi" hidden="1">#REF!</definedName>
    <definedName name="_gnandifi" hidden="1">#REF!</definedName>
    <definedName name="_gqill" hidden="1">#REF!</definedName>
    <definedName name="_hhill" hidden="1">#REF!</definedName>
    <definedName name="_hierl" hidden="1">#REF!</definedName>
    <definedName name="_hill" hidden="1">#REF!</definedName>
    <definedName name="_hollister" hidden="1">#REF!</definedName>
    <definedName name="_iceberg" hidden="1">#REF!</definedName>
    <definedName name="_iiieepp" hidden="1">#REF!</definedName>
    <definedName name="_iiildni" hidden="1">#REF!</definedName>
    <definedName name="_iiilel" hidden="1">#REF!</definedName>
    <definedName name="_iill" hidden="1">#REF!</definedName>
    <definedName name="_ikiidl" hidden="1">#REF!</definedName>
    <definedName name="_ilikilk" hidden="1">#REF!</definedName>
    <definedName name="_iofwwoi" hidden="1">#REF!</definedName>
    <definedName name="_ioioioo" hidden="1">#REF!</definedName>
    <definedName name="_ioiwey" hidden="1">#REF!</definedName>
    <definedName name="_ippipq" hidden="1">#REF!</definedName>
    <definedName name="_ixxidil" hidden="1">#REF!</definedName>
    <definedName name="_jill" hidden="1">#REF!</definedName>
    <definedName name="_JJ1">[4]지입S3!#REF!</definedName>
    <definedName name="_JJ10">[5]자재단가!#REF!</definedName>
    <definedName name="_JJ100">#N/A</definedName>
    <definedName name="_JJ101">#N/A</definedName>
    <definedName name="_JJ102">#N/A</definedName>
    <definedName name="_JJ103">#N/A</definedName>
    <definedName name="_JJ104">#N/A</definedName>
    <definedName name="_JJ105">#N/A</definedName>
    <definedName name="_JJ106">#N/A</definedName>
    <definedName name="_JJ107">#N/A</definedName>
    <definedName name="_JJ108">#N/A</definedName>
    <definedName name="_JJ109">#N/A</definedName>
    <definedName name="_JJ11">[5]자재단가!#REF!</definedName>
    <definedName name="_JJ110">#N/A</definedName>
    <definedName name="_JJ111">#N/A</definedName>
    <definedName name="_JJ112">#N/A</definedName>
    <definedName name="_JJ113">[5]자재단가!#REF!</definedName>
    <definedName name="_JJ114">[5]자재단가!#REF!</definedName>
    <definedName name="_JJ115">[5]자재단가!#REF!</definedName>
    <definedName name="_JJ116">[5]자재단가!#REF!</definedName>
    <definedName name="_JJ117">[5]자재단가!#REF!</definedName>
    <definedName name="_JJ118">[5]자재단가!#REF!</definedName>
    <definedName name="_JJ119">[5]자재단가!#REF!</definedName>
    <definedName name="_JJ12">[5]자재단가!#REF!</definedName>
    <definedName name="_JJ120">[5]자재단가!#REF!</definedName>
    <definedName name="_JJ121">[5]자재단가!#REF!</definedName>
    <definedName name="_JJ122">[5]자재단가!#REF!</definedName>
    <definedName name="_JJ123">[5]자재단가!#REF!</definedName>
    <definedName name="_JJ124">[5]자재단가!#REF!</definedName>
    <definedName name="_JJ125">[5]자재단가!#REF!</definedName>
    <definedName name="_JJ126">[5]자재단가!#REF!</definedName>
    <definedName name="_JJ127">[5]자재단가!#REF!</definedName>
    <definedName name="_JJ128">[5]자재단가!#REF!</definedName>
    <definedName name="_JJ129">[5]자재단가!#REF!</definedName>
    <definedName name="_JJ13">[5]자재단가!#REF!</definedName>
    <definedName name="_JJ130">[5]자재단가!#REF!</definedName>
    <definedName name="_JJ131">[5]자재단가!#REF!</definedName>
    <definedName name="_JJ132">[5]자재단가!#REF!</definedName>
    <definedName name="_JJ133">[5]자재단가!#REF!</definedName>
    <definedName name="_JJ134">[5]자재단가!#REF!</definedName>
    <definedName name="_JJ135">[5]자재단가!#REF!</definedName>
    <definedName name="_JJ136">[5]자재단가!#REF!</definedName>
    <definedName name="_JJ137">[5]자재단가!#REF!</definedName>
    <definedName name="_JJ138">[5]자재단가!#REF!</definedName>
    <definedName name="_JJ139">[5]자재단가!#REF!</definedName>
    <definedName name="_JJ14">[5]자재단가!#REF!</definedName>
    <definedName name="_JJ140">[5]자재단가!#REF!</definedName>
    <definedName name="_JJ141">#N/A</definedName>
    <definedName name="_JJ142">#N/A</definedName>
    <definedName name="_JJ143">#N/A</definedName>
    <definedName name="_JJ144">#N/A</definedName>
    <definedName name="_JJ145">#N/A</definedName>
    <definedName name="_JJ146">#N/A</definedName>
    <definedName name="_JJ147">#N/A</definedName>
    <definedName name="_JJ148">#N/A</definedName>
    <definedName name="_JJ149">#N/A</definedName>
    <definedName name="_JJ15">[5]자재단가!#REF!</definedName>
    <definedName name="_JJ150">#N/A</definedName>
    <definedName name="_JJ151">#N/A</definedName>
    <definedName name="_JJ152">#N/A</definedName>
    <definedName name="_JJ153">#N/A</definedName>
    <definedName name="_JJ154">#N/A</definedName>
    <definedName name="_JJ155">#N/A</definedName>
    <definedName name="_JJ156">#N/A</definedName>
    <definedName name="_JJ157">#N/A</definedName>
    <definedName name="_JJ158">#N/A</definedName>
    <definedName name="_JJ159">#N/A</definedName>
    <definedName name="_JJ16">[5]자재단가!#REF!</definedName>
    <definedName name="_JJ160">#N/A</definedName>
    <definedName name="_JJ161">#N/A</definedName>
    <definedName name="_JJ162">#N/A</definedName>
    <definedName name="_JJ163">#N/A</definedName>
    <definedName name="_JJ164">#N/A</definedName>
    <definedName name="_JJ165">#N/A</definedName>
    <definedName name="_JJ166">#N/A</definedName>
    <definedName name="_JJ167">#N/A</definedName>
    <definedName name="_JJ168">#N/A</definedName>
    <definedName name="_JJ169">#N/A</definedName>
    <definedName name="_JJ17">[5]자재단가!#REF!</definedName>
    <definedName name="_JJ170">#N/A</definedName>
    <definedName name="_JJ171">#N/A</definedName>
    <definedName name="_JJ172">#N/A</definedName>
    <definedName name="_JJ173">#N/A</definedName>
    <definedName name="_JJ174">#N/A</definedName>
    <definedName name="_JJ175">#N/A</definedName>
    <definedName name="_JJ176">#N/A</definedName>
    <definedName name="_JJ177">#N/A</definedName>
    <definedName name="_JJ178">#N/A</definedName>
    <definedName name="_JJ179">#N/A</definedName>
    <definedName name="_JJ18">[5]자재단가!#REF!</definedName>
    <definedName name="_JJ180">#N/A</definedName>
    <definedName name="_JJ181">#N/A</definedName>
    <definedName name="_JJ182">#N/A</definedName>
    <definedName name="_JJ183">[5]자재단가!#REF!</definedName>
    <definedName name="_JJ184">[5]자재단가!#REF!</definedName>
    <definedName name="_JJ185">[5]자재단가!#REF!</definedName>
    <definedName name="_JJ186">[5]자재단가!#REF!</definedName>
    <definedName name="_JJ187">[5]자재단가!#REF!</definedName>
    <definedName name="_JJ188">[5]자재단가!#REF!</definedName>
    <definedName name="_JJ189">[5]자재단가!#REF!</definedName>
    <definedName name="_JJ19">[5]자재단가!#REF!</definedName>
    <definedName name="_JJ190">[5]자재단가!#REF!</definedName>
    <definedName name="_JJ191">[5]자재단가!#REF!</definedName>
    <definedName name="_JJ192">[5]자재단가!#REF!</definedName>
    <definedName name="_JJ193">[5]자재단가!#REF!</definedName>
    <definedName name="_JJ194">[5]자재단가!#REF!</definedName>
    <definedName name="_JJ195">[5]자재단가!#REF!</definedName>
    <definedName name="_JJ196">[5]자재단가!#REF!</definedName>
    <definedName name="_JJ197">#N/A</definedName>
    <definedName name="_JJ198">#N/A</definedName>
    <definedName name="_JJ199">#N/A</definedName>
    <definedName name="_JJ2">[4]지입S3!#REF!</definedName>
    <definedName name="_JJ20">[5]자재단가!#REF!</definedName>
    <definedName name="_JJ200">#N/A</definedName>
    <definedName name="_JJ201">#N/A</definedName>
    <definedName name="_JJ202">#N/A</definedName>
    <definedName name="_JJ203">#N/A</definedName>
    <definedName name="_JJ204">#N/A</definedName>
    <definedName name="_JJ205">#N/A</definedName>
    <definedName name="_JJ206">#N/A</definedName>
    <definedName name="_JJ207">#N/A</definedName>
    <definedName name="_JJ208">#N/A</definedName>
    <definedName name="_JJ209">#N/A</definedName>
    <definedName name="_JJ21">[5]자재단가!#REF!</definedName>
    <definedName name="_JJ210">#N/A</definedName>
    <definedName name="_JJ211">[5]자재단가!#REF!</definedName>
    <definedName name="_JJ212">[5]자재단가!#REF!</definedName>
    <definedName name="_JJ213">[5]자재단가!#REF!</definedName>
    <definedName name="_JJ214">[5]자재단가!#REF!</definedName>
    <definedName name="_JJ215">[5]자재단가!#REF!</definedName>
    <definedName name="_JJ216">[5]자재단가!#REF!</definedName>
    <definedName name="_JJ217">[5]자재단가!#REF!</definedName>
    <definedName name="_JJ218">[5]자재단가!#REF!</definedName>
    <definedName name="_JJ219">[5]자재단가!#REF!</definedName>
    <definedName name="_JJ22">[5]자재단가!#REF!</definedName>
    <definedName name="_JJ220">[5]자재단가!#REF!</definedName>
    <definedName name="_JJ221">[5]자재단가!#REF!</definedName>
    <definedName name="_JJ222">[5]자재단가!#REF!</definedName>
    <definedName name="_JJ223">[5]자재단가!#REF!</definedName>
    <definedName name="_JJ224">[5]자재단가!#REF!</definedName>
    <definedName name="_JJ225">[5]자재단가!#REF!</definedName>
    <definedName name="_JJ226">[5]자재단가!#REF!</definedName>
    <definedName name="_JJ227">[5]자재단가!#REF!</definedName>
    <definedName name="_JJ228">[5]자재단가!#REF!</definedName>
    <definedName name="_JJ229">[5]자재단가!#REF!</definedName>
    <definedName name="_JJ23">[5]자재단가!#REF!</definedName>
    <definedName name="_JJ230">[5]자재단가!#REF!</definedName>
    <definedName name="_JJ231">[5]자재단가!#REF!</definedName>
    <definedName name="_JJ232">[5]자재단가!#REF!</definedName>
    <definedName name="_JJ233">[5]자재단가!#REF!</definedName>
    <definedName name="_JJ234">[5]자재단가!#REF!</definedName>
    <definedName name="_JJ235">[5]자재단가!#REF!</definedName>
    <definedName name="_JJ236">[5]자재단가!#REF!</definedName>
    <definedName name="_JJ237">[5]자재단가!#REF!</definedName>
    <definedName name="_JJ238">[5]자재단가!#REF!</definedName>
    <definedName name="_JJ239">[5]자재단가!#REF!</definedName>
    <definedName name="_JJ24">[5]자재단가!#REF!</definedName>
    <definedName name="_JJ240">[5]자재단가!#REF!</definedName>
    <definedName name="_JJ241">[5]자재단가!#REF!</definedName>
    <definedName name="_JJ242">[5]자재단가!#REF!</definedName>
    <definedName name="_JJ243">[5]자재단가!#REF!</definedName>
    <definedName name="_JJ244">[5]자재단가!#REF!</definedName>
    <definedName name="_JJ245">[5]자재단가!#REF!</definedName>
    <definedName name="_JJ246">#N/A</definedName>
    <definedName name="_JJ247">#N/A</definedName>
    <definedName name="_JJ248">[5]자재단가!#REF!</definedName>
    <definedName name="_JJ249">[5]자재단가!#REF!</definedName>
    <definedName name="_JJ25">[5]자재단가!#REF!</definedName>
    <definedName name="_JJ250">[5]자재단가!#REF!</definedName>
    <definedName name="_JJ251">[5]자재단가!#REF!</definedName>
    <definedName name="_JJ252">[5]자재단가!#REF!</definedName>
    <definedName name="_JJ253">[5]자재단가!#REF!</definedName>
    <definedName name="_JJ254">[5]자재단가!#REF!</definedName>
    <definedName name="_JJ255">[5]자재단가!#REF!</definedName>
    <definedName name="_JJ256">[5]자재단가!#REF!</definedName>
    <definedName name="_JJ257">[5]자재단가!#REF!</definedName>
    <definedName name="_JJ258">[5]자재단가!#REF!</definedName>
    <definedName name="_JJ259">[5]자재단가!#REF!</definedName>
    <definedName name="_JJ26">[5]자재단가!#REF!</definedName>
    <definedName name="_JJ260">[5]자재단가!#REF!</definedName>
    <definedName name="_JJ261">[5]자재단가!#REF!</definedName>
    <definedName name="_JJ262">[5]자재단가!#REF!</definedName>
    <definedName name="_JJ263">[5]자재단가!#REF!</definedName>
    <definedName name="_JJ264">[5]자재단가!#REF!</definedName>
    <definedName name="_JJ265">[5]자재단가!#REF!</definedName>
    <definedName name="_JJ266">[5]자재단가!#REF!</definedName>
    <definedName name="_JJ267">[5]자재단가!#REF!</definedName>
    <definedName name="_JJ268">[5]자재단가!#REF!</definedName>
    <definedName name="_JJ269">[5]자재단가!#REF!</definedName>
    <definedName name="_JJ27">[5]자재단가!#REF!</definedName>
    <definedName name="_JJ270">[5]자재단가!#REF!</definedName>
    <definedName name="_JJ271">[5]자재단가!#REF!</definedName>
    <definedName name="_JJ272">[5]자재단가!#REF!</definedName>
    <definedName name="_JJ273">[5]자재단가!#REF!</definedName>
    <definedName name="_JJ274">[5]자재단가!#REF!</definedName>
    <definedName name="_JJ275">[5]자재단가!#REF!</definedName>
    <definedName name="_JJ276">[5]자재단가!#REF!</definedName>
    <definedName name="_JJ277">[5]자재단가!#REF!</definedName>
    <definedName name="_JJ278">[5]자재단가!#REF!</definedName>
    <definedName name="_JJ279">[5]자재단가!#REF!</definedName>
    <definedName name="_JJ28">[5]자재단가!#REF!</definedName>
    <definedName name="_JJ280">[5]자재단가!#REF!</definedName>
    <definedName name="_JJ281">[5]자재단가!#REF!</definedName>
    <definedName name="_JJ282">[5]자재단가!#REF!</definedName>
    <definedName name="_JJ283">[5]자재단가!#REF!</definedName>
    <definedName name="_JJ284">[5]자재단가!#REF!</definedName>
    <definedName name="_JJ285">[5]자재단가!#REF!</definedName>
    <definedName name="_JJ286">[5]자재단가!#REF!</definedName>
    <definedName name="_JJ287">[5]자재단가!#REF!</definedName>
    <definedName name="_JJ288">[5]자재단가!#REF!</definedName>
    <definedName name="_JJ289">[5]자재단가!#REF!</definedName>
    <definedName name="_JJ29">#N/A</definedName>
    <definedName name="_JJ290">[5]자재단가!#REF!</definedName>
    <definedName name="_JJ291">[5]자재단가!#REF!</definedName>
    <definedName name="_JJ292">[5]자재단가!#REF!</definedName>
    <definedName name="_JJ293">[5]자재단가!#REF!</definedName>
    <definedName name="_JJ294">[5]자재단가!#REF!</definedName>
    <definedName name="_JJ295">[5]자재단가!#REF!</definedName>
    <definedName name="_JJ296">[5]자재단가!#REF!</definedName>
    <definedName name="_JJ297">[5]자재단가!#REF!</definedName>
    <definedName name="_JJ298">[5]자재단가!#REF!</definedName>
    <definedName name="_JJ299">[5]자재단가!#REF!</definedName>
    <definedName name="_JJ3">[4]지입S3!#REF!</definedName>
    <definedName name="_JJ30">#N/A</definedName>
    <definedName name="_JJ300">[5]자재단가!#REF!</definedName>
    <definedName name="_JJ301">[5]자재단가!#REF!</definedName>
    <definedName name="_JJ302">[5]자재단가!#REF!</definedName>
    <definedName name="_JJ303">[5]자재단가!#REF!</definedName>
    <definedName name="_JJ304">[5]자재단가!#REF!</definedName>
    <definedName name="_JJ305">[5]자재단가!#REF!</definedName>
    <definedName name="_JJ306">[5]자재단가!#REF!</definedName>
    <definedName name="_JJ307">[5]자재단가!#REF!</definedName>
    <definedName name="_JJ308">[5]자재단가!#REF!</definedName>
    <definedName name="_JJ309">#N/A</definedName>
    <definedName name="_JJ31">#N/A</definedName>
    <definedName name="_JJ310">#N/A</definedName>
    <definedName name="_JJ311">#N/A</definedName>
    <definedName name="_JJ312">#N/A</definedName>
    <definedName name="_JJ313">#N/A</definedName>
    <definedName name="_JJ314">#N/A</definedName>
    <definedName name="_JJ315">#N/A</definedName>
    <definedName name="_JJ316">#N/A</definedName>
    <definedName name="_JJ317">#N/A</definedName>
    <definedName name="_JJ318">#N/A</definedName>
    <definedName name="_JJ319">#N/A</definedName>
    <definedName name="_JJ32">#N/A</definedName>
    <definedName name="_JJ320">#N/A</definedName>
    <definedName name="_JJ321">#N/A</definedName>
    <definedName name="_JJ322">#N/A</definedName>
    <definedName name="_JJ323">[5]자재단가!#REF!</definedName>
    <definedName name="_JJ324">[5]자재단가!#REF!</definedName>
    <definedName name="_JJ325">#N/A</definedName>
    <definedName name="_JJ326">[5]자재단가!#REF!</definedName>
    <definedName name="_JJ327">[5]자재단가!#REF!</definedName>
    <definedName name="_JJ328">[5]자재단가!#REF!</definedName>
    <definedName name="_JJ329">[5]자재단가!#REF!</definedName>
    <definedName name="_JJ33">#N/A</definedName>
    <definedName name="_JJ330">[5]자재단가!#REF!</definedName>
    <definedName name="_JJ331">[5]자재단가!#REF!</definedName>
    <definedName name="_JJ332">[5]자재단가!#REF!</definedName>
    <definedName name="_JJ333">[5]자재단가!#REF!</definedName>
    <definedName name="_JJ334">[5]자재단가!#REF!</definedName>
    <definedName name="_JJ335">[5]자재단가!#REF!</definedName>
    <definedName name="_JJ336">[5]자재단가!#REF!</definedName>
    <definedName name="_JJ337">[5]자재단가!#REF!</definedName>
    <definedName name="_JJ338">[5]자재단가!#REF!</definedName>
    <definedName name="_JJ339">[5]자재단가!#REF!</definedName>
    <definedName name="_JJ34">#N/A</definedName>
    <definedName name="_JJ340">[5]자재단가!#REF!</definedName>
    <definedName name="_JJ341">[5]자재단가!#REF!</definedName>
    <definedName name="_JJ342">[5]자재단가!#REF!</definedName>
    <definedName name="_JJ343">[5]자재단가!#REF!</definedName>
    <definedName name="_JJ344">[5]자재단가!#REF!</definedName>
    <definedName name="_JJ345">[5]자재단가!#REF!</definedName>
    <definedName name="_JJ346">[5]자재단가!#REF!</definedName>
    <definedName name="_JJ347">[5]자재단가!#REF!</definedName>
    <definedName name="_JJ348">[5]자재단가!#REF!</definedName>
    <definedName name="_JJ349">[5]자재단가!#REF!</definedName>
    <definedName name="_JJ35">#N/A</definedName>
    <definedName name="_JJ350">[5]자재단가!#REF!</definedName>
    <definedName name="_JJ351">[5]자재단가!#REF!</definedName>
    <definedName name="_JJ352">[5]자재단가!#REF!</definedName>
    <definedName name="_JJ353">[5]자재단가!#REF!</definedName>
    <definedName name="_JJ354">[5]자재단가!#REF!</definedName>
    <definedName name="_JJ355">[5]자재단가!#REF!</definedName>
    <definedName name="_JJ356">[5]자재단가!#REF!</definedName>
    <definedName name="_JJ357">[5]자재단가!#REF!</definedName>
    <definedName name="_JJ358">[5]자재단가!#REF!</definedName>
    <definedName name="_JJ359">[5]자재단가!#REF!</definedName>
    <definedName name="_JJ36">#N/A</definedName>
    <definedName name="_JJ360">[5]자재단가!#REF!</definedName>
    <definedName name="_JJ361">[5]자재단가!#REF!</definedName>
    <definedName name="_JJ362">[5]자재단가!#REF!</definedName>
    <definedName name="_JJ363">[5]자재단가!#REF!</definedName>
    <definedName name="_JJ364">[5]자재단가!#REF!</definedName>
    <definedName name="_JJ365">[5]자재단가!#REF!</definedName>
    <definedName name="_JJ366">[5]자재단가!#REF!</definedName>
    <definedName name="_JJ367">[5]자재단가!#REF!</definedName>
    <definedName name="_JJ368">[5]자재단가!#REF!</definedName>
    <definedName name="_JJ369">[5]자재단가!#REF!</definedName>
    <definedName name="_JJ37">#N/A</definedName>
    <definedName name="_JJ370">[5]자재단가!#REF!</definedName>
    <definedName name="_JJ371">[5]자재단가!#REF!</definedName>
    <definedName name="_JJ372">[5]자재단가!#REF!</definedName>
    <definedName name="_JJ373">[5]자재단가!#REF!</definedName>
    <definedName name="_JJ374">[5]자재단가!#REF!</definedName>
    <definedName name="_JJ375">[5]자재단가!#REF!</definedName>
    <definedName name="_JJ376">[5]자재단가!#REF!</definedName>
    <definedName name="_JJ377">[5]자재단가!#REF!</definedName>
    <definedName name="_JJ378">[5]자재단가!#REF!</definedName>
    <definedName name="_JJ379">#N/A</definedName>
    <definedName name="_JJ38">#N/A</definedName>
    <definedName name="_JJ380">#N/A</definedName>
    <definedName name="_JJ381">#N/A</definedName>
    <definedName name="_JJ382">#N/A</definedName>
    <definedName name="_JJ383">#N/A</definedName>
    <definedName name="_JJ384">#N/A</definedName>
    <definedName name="_JJ385">#N/A</definedName>
    <definedName name="_JJ386">#N/A</definedName>
    <definedName name="_JJ387">#N/A</definedName>
    <definedName name="_JJ388">#N/A</definedName>
    <definedName name="_JJ389">#N/A</definedName>
    <definedName name="_JJ39">#N/A</definedName>
    <definedName name="_JJ390">#N/A</definedName>
    <definedName name="_JJ391">#N/A</definedName>
    <definedName name="_JJ392">#N/A</definedName>
    <definedName name="_JJ393">[5]자재단가!#REF!</definedName>
    <definedName name="_JJ394">[5]자재단가!#REF!</definedName>
    <definedName name="_JJ395">[5]자재단가!#REF!</definedName>
    <definedName name="_JJ396">[5]자재단가!#REF!</definedName>
    <definedName name="_JJ397">[5]자재단가!#REF!</definedName>
    <definedName name="_JJ398">[5]자재단가!#REF!</definedName>
    <definedName name="_JJ399">[5]자재단가!#REF!</definedName>
    <definedName name="_JJ4">[4]지입S3!#REF!</definedName>
    <definedName name="_JJ40">#N/A</definedName>
    <definedName name="_JJ400">[5]자재단가!#REF!</definedName>
    <definedName name="_JJ401">[5]자재단가!#REF!</definedName>
    <definedName name="_JJ402">[5]자재단가!#REF!</definedName>
    <definedName name="_JJ403">[5]자재단가!#REF!</definedName>
    <definedName name="_JJ404">[5]자재단가!#REF!</definedName>
    <definedName name="_JJ405">[5]자재단가!#REF!</definedName>
    <definedName name="_JJ406">[5]자재단가!#REF!</definedName>
    <definedName name="_JJ407">[5]자재단가!#REF!</definedName>
    <definedName name="_JJ408">[5]자재단가!#REF!</definedName>
    <definedName name="_JJ409">[5]자재단가!#REF!</definedName>
    <definedName name="_JJ41">#N/A</definedName>
    <definedName name="_JJ410">[5]자재단가!#REF!</definedName>
    <definedName name="_JJ411">[5]자재단가!#REF!</definedName>
    <definedName name="_JJ412">[5]자재단가!#REF!</definedName>
    <definedName name="_JJ413">[5]자재단가!#REF!</definedName>
    <definedName name="_JJ414">[5]자재단가!#REF!</definedName>
    <definedName name="_JJ415">[5]자재단가!#REF!</definedName>
    <definedName name="_JJ416">[5]자재단가!#REF!</definedName>
    <definedName name="_JJ417">[5]자재단가!#REF!</definedName>
    <definedName name="_JJ418">[5]자재단가!#REF!</definedName>
    <definedName name="_JJ419">[5]자재단가!#REF!</definedName>
    <definedName name="_JJ42">#N/A</definedName>
    <definedName name="_JJ420">[5]자재단가!#REF!</definedName>
    <definedName name="_JJ421">[5]자재단가!#REF!</definedName>
    <definedName name="_JJ422">[5]자재단가!#REF!</definedName>
    <definedName name="_JJ423">[5]자재단가!#REF!</definedName>
    <definedName name="_JJ424">[5]자재단가!#REF!</definedName>
    <definedName name="_JJ425">[5]자재단가!#REF!</definedName>
    <definedName name="_JJ426">[5]자재단가!#REF!</definedName>
    <definedName name="_JJ427">[5]자재단가!#REF!</definedName>
    <definedName name="_JJ428">[5]자재단가!#REF!</definedName>
    <definedName name="_JJ429">[5]자재단가!#REF!</definedName>
    <definedName name="_JJ43">#N/A</definedName>
    <definedName name="_JJ430">[5]자재단가!#REF!</definedName>
    <definedName name="_JJ431">[5]자재단가!#REF!</definedName>
    <definedName name="_JJ432">[5]자재단가!#REF!</definedName>
    <definedName name="_JJ433">[5]자재단가!#REF!</definedName>
    <definedName name="_JJ434">[5]자재단가!#REF!</definedName>
    <definedName name="_JJ435">[5]자재단가!#REF!</definedName>
    <definedName name="_JJ436">[5]자재단가!#REF!</definedName>
    <definedName name="_JJ437">[5]자재단가!#REF!</definedName>
    <definedName name="_JJ438">[5]자재단가!#REF!</definedName>
    <definedName name="_JJ439">[5]자재단가!#REF!</definedName>
    <definedName name="_JJ44">#N/A</definedName>
    <definedName name="_JJ440">[5]자재단가!#REF!</definedName>
    <definedName name="_JJ441">[5]자재단가!#REF!</definedName>
    <definedName name="_JJ442">[5]자재단가!#REF!</definedName>
    <definedName name="_JJ443">[5]자재단가!#REF!</definedName>
    <definedName name="_JJ444">[5]자재단가!#REF!</definedName>
    <definedName name="_JJ445">[5]자재단가!#REF!</definedName>
    <definedName name="_JJ446">[5]자재단가!#REF!</definedName>
    <definedName name="_JJ447">[5]자재단가!#REF!</definedName>
    <definedName name="_JJ448">[5]자재단가!#REF!</definedName>
    <definedName name="_JJ449">[5]자재단가!#REF!</definedName>
    <definedName name="_JJ45">#N/A</definedName>
    <definedName name="_JJ450">[5]자재단가!#REF!</definedName>
    <definedName name="_JJ451">[5]자재단가!#REF!</definedName>
    <definedName name="_JJ452">[5]자재단가!#REF!</definedName>
    <definedName name="_JJ453">[5]자재단가!#REF!</definedName>
    <definedName name="_JJ454">[5]자재단가!#REF!</definedName>
    <definedName name="_JJ455">[5]자재단가!#REF!</definedName>
    <definedName name="_JJ456">[5]자재단가!#REF!</definedName>
    <definedName name="_JJ457">[5]자재단가!#REF!</definedName>
    <definedName name="_JJ458">[5]자재단가!#REF!</definedName>
    <definedName name="_JJ459">[5]자재단가!#REF!</definedName>
    <definedName name="_JJ46">#N/A</definedName>
    <definedName name="_JJ460">[5]자재단가!#REF!</definedName>
    <definedName name="_JJ461">[5]자재단가!#REF!</definedName>
    <definedName name="_JJ462">[5]자재단가!#REF!</definedName>
    <definedName name="_JJ463">[5]자재단가!#REF!</definedName>
    <definedName name="_JJ464">[5]자재단가!#REF!</definedName>
    <definedName name="_JJ465">[5]자재단가!#REF!</definedName>
    <definedName name="_JJ466">[5]자재단가!#REF!</definedName>
    <definedName name="_JJ467">[5]자재단가!#REF!</definedName>
    <definedName name="_JJ468">[5]자재단가!#REF!</definedName>
    <definedName name="_JJ469">[5]자재단가!#REF!</definedName>
    <definedName name="_JJ47">#N/A</definedName>
    <definedName name="_JJ470">[5]자재단가!#REF!</definedName>
    <definedName name="_JJ471">[5]자재단가!#REF!</definedName>
    <definedName name="_JJ472">[5]자재단가!#REF!</definedName>
    <definedName name="_JJ473">[5]자재단가!#REF!</definedName>
    <definedName name="_JJ474">[5]자재단가!#REF!</definedName>
    <definedName name="_JJ475">[5]자재단가!#REF!</definedName>
    <definedName name="_JJ476">[5]자재단가!#REF!</definedName>
    <definedName name="_JJ477">[5]자재단가!#REF!</definedName>
    <definedName name="_JJ478">[5]자재단가!#REF!</definedName>
    <definedName name="_JJ479">[5]자재단가!#REF!</definedName>
    <definedName name="_JJ48">#N/A</definedName>
    <definedName name="_JJ480">[5]자재단가!#REF!</definedName>
    <definedName name="_JJ481">[5]자재단가!#REF!</definedName>
    <definedName name="_JJ482">[5]자재단가!#REF!</definedName>
    <definedName name="_JJ483">[5]자재단가!#REF!</definedName>
    <definedName name="_JJ484">[5]자재단가!#REF!</definedName>
    <definedName name="_JJ485">[5]자재단가!#REF!</definedName>
    <definedName name="_JJ486">[5]자재단가!#REF!</definedName>
    <definedName name="_JJ487">[5]자재단가!#REF!</definedName>
    <definedName name="_JJ488">[5]자재단가!#REF!</definedName>
    <definedName name="_JJ489">[5]자재단가!#REF!</definedName>
    <definedName name="_JJ49">#N/A</definedName>
    <definedName name="_JJ490">[5]자재단가!#REF!</definedName>
    <definedName name="_JJ491">#N/A</definedName>
    <definedName name="_JJ492">#N/A</definedName>
    <definedName name="_JJ493">#N/A</definedName>
    <definedName name="_JJ494">#N/A</definedName>
    <definedName name="_JJ495">#N/A</definedName>
    <definedName name="_JJ496">#N/A</definedName>
    <definedName name="_JJ497">#N/A</definedName>
    <definedName name="_JJ498">#N/A</definedName>
    <definedName name="_JJ499">#N/A</definedName>
    <definedName name="_JJ5">[4]지입S3!#REF!</definedName>
    <definedName name="_JJ50">#N/A</definedName>
    <definedName name="_JJ500">#N/A</definedName>
    <definedName name="_JJ501">#N/A</definedName>
    <definedName name="_JJ502">#N/A</definedName>
    <definedName name="_JJ503">#N/A</definedName>
    <definedName name="_JJ504">#N/A</definedName>
    <definedName name="_JJ505">[5]자재단가!#REF!</definedName>
    <definedName name="_JJ506">[5]자재단가!#REF!</definedName>
    <definedName name="_JJ507">[5]자재단가!#REF!</definedName>
    <definedName name="_JJ508">[5]자재단가!#REF!</definedName>
    <definedName name="_JJ509">[5]자재단가!#REF!</definedName>
    <definedName name="_JJ51">#N/A</definedName>
    <definedName name="_JJ510">[5]자재단가!#REF!</definedName>
    <definedName name="_JJ511">[5]자재단가!#REF!</definedName>
    <definedName name="_JJ512">[5]자재단가!#REF!</definedName>
    <definedName name="_JJ513">[5]자재단가!#REF!</definedName>
    <definedName name="_JJ514">[5]자재단가!#REF!</definedName>
    <definedName name="_JJ515">[5]자재단가!#REF!</definedName>
    <definedName name="_JJ516">[5]자재단가!#REF!</definedName>
    <definedName name="_JJ517">[5]자재단가!#REF!</definedName>
    <definedName name="_JJ518">[5]자재단가!#REF!</definedName>
    <definedName name="_JJ519">[5]자재단가!#REF!</definedName>
    <definedName name="_JJ52">#N/A</definedName>
    <definedName name="_JJ520">[5]자재단가!#REF!</definedName>
    <definedName name="_JJ521">[5]자재단가!#REF!</definedName>
    <definedName name="_JJ522">[5]자재단가!#REF!</definedName>
    <definedName name="_JJ523">[5]자재단가!#REF!</definedName>
    <definedName name="_JJ524">[5]자재단가!#REF!</definedName>
    <definedName name="_JJ525">[5]자재단가!#REF!</definedName>
    <definedName name="_JJ526">[5]자재단가!#REF!</definedName>
    <definedName name="_JJ527">[5]자재단가!#REF!</definedName>
    <definedName name="_JJ528">[5]자재단가!#REF!</definedName>
    <definedName name="_JJ529">[5]자재단가!#REF!</definedName>
    <definedName name="_JJ53">#N/A</definedName>
    <definedName name="_JJ530">[5]자재단가!#REF!</definedName>
    <definedName name="_JJ531">[5]자재단가!#REF!</definedName>
    <definedName name="_JJ532">[5]자재단가!#REF!</definedName>
    <definedName name="_JJ533">#N/A</definedName>
    <definedName name="_JJ534">#N/A</definedName>
    <definedName name="_JJ535">#N/A</definedName>
    <definedName name="_JJ536">#N/A</definedName>
    <definedName name="_JJ537">#N/A</definedName>
    <definedName name="_JJ538">#N/A</definedName>
    <definedName name="_JJ539">#N/A</definedName>
    <definedName name="_JJ54">#N/A</definedName>
    <definedName name="_JJ540">#N/A</definedName>
    <definedName name="_JJ541">#N/A</definedName>
    <definedName name="_JJ542">#N/A</definedName>
    <definedName name="_JJ543">#N/A</definedName>
    <definedName name="_JJ544">#N/A</definedName>
    <definedName name="_JJ545">#N/A</definedName>
    <definedName name="_JJ546">#N/A</definedName>
    <definedName name="_JJ547">[5]자재단가!#REF!</definedName>
    <definedName name="_JJ548">[5]자재단가!#REF!</definedName>
    <definedName name="_JJ549">[5]자재단가!#REF!</definedName>
    <definedName name="_JJ55">#N/A</definedName>
    <definedName name="_JJ550">[5]자재단가!#REF!</definedName>
    <definedName name="_JJ551">[5]자재단가!#REF!</definedName>
    <definedName name="_JJ552">[5]자재단가!#REF!</definedName>
    <definedName name="_JJ553">[5]자재단가!#REF!</definedName>
    <definedName name="_JJ554">[5]자재단가!#REF!</definedName>
    <definedName name="_JJ555">[5]자재단가!#REF!</definedName>
    <definedName name="_JJ556">[5]자재단가!#REF!</definedName>
    <definedName name="_JJ557">[5]자재단가!#REF!</definedName>
    <definedName name="_JJ558">[5]자재단가!#REF!</definedName>
    <definedName name="_JJ559">[5]자재단가!#REF!</definedName>
    <definedName name="_JJ56">#N/A</definedName>
    <definedName name="_JJ560">[5]자재단가!#REF!</definedName>
    <definedName name="_JJ561">[5]자재단가!#REF!</definedName>
    <definedName name="_JJ562">[5]자재단가!#REF!</definedName>
    <definedName name="_JJ563">[5]자재단가!#REF!</definedName>
    <definedName name="_JJ564">[5]자재단가!#REF!</definedName>
    <definedName name="_JJ565">[5]자재단가!#REF!</definedName>
    <definedName name="_JJ566">[5]자재단가!#REF!</definedName>
    <definedName name="_JJ567">[5]자재단가!#REF!</definedName>
    <definedName name="_JJ568">[5]자재단가!#REF!</definedName>
    <definedName name="_JJ569">[5]자재단가!#REF!</definedName>
    <definedName name="_JJ57">[5]자재단가!#REF!</definedName>
    <definedName name="_JJ570">[5]자재단가!#REF!</definedName>
    <definedName name="_JJ571">[5]자재단가!#REF!</definedName>
    <definedName name="_JJ572">[5]자재단가!#REF!</definedName>
    <definedName name="_JJ573">[5]자재단가!#REF!</definedName>
    <definedName name="_JJ574">[5]자재단가!#REF!</definedName>
    <definedName name="_JJ575">[5]자재단가!#REF!</definedName>
    <definedName name="_JJ576">[5]자재단가!#REF!</definedName>
    <definedName name="_JJ577">[5]자재단가!#REF!</definedName>
    <definedName name="_JJ578">[5]자재단가!#REF!</definedName>
    <definedName name="_JJ579">[5]자재단가!#REF!</definedName>
    <definedName name="_JJ58">[5]자재단가!#REF!</definedName>
    <definedName name="_JJ580">[5]자재단가!#REF!</definedName>
    <definedName name="_JJ581">[5]자재단가!#REF!</definedName>
    <definedName name="_JJ582">[5]자재단가!#REF!</definedName>
    <definedName name="_JJ583">[5]자재단가!#REF!</definedName>
    <definedName name="_JJ584">[5]자재단가!#REF!</definedName>
    <definedName name="_JJ585">[5]자재단가!#REF!</definedName>
    <definedName name="_JJ586">[5]자재단가!#REF!</definedName>
    <definedName name="_JJ587">[5]자재단가!#REF!</definedName>
    <definedName name="_JJ588">[5]자재단가!#REF!</definedName>
    <definedName name="_JJ589">[5]자재단가!#REF!</definedName>
    <definedName name="_JJ59">[5]자재단가!#REF!</definedName>
    <definedName name="_JJ590">[5]자재단가!#REF!</definedName>
    <definedName name="_JJ591">[5]자재단가!#REF!</definedName>
    <definedName name="_JJ592">[5]자재단가!#REF!</definedName>
    <definedName name="_JJ593">[5]자재단가!#REF!</definedName>
    <definedName name="_JJ594">[5]자재단가!#REF!</definedName>
    <definedName name="_JJ595">[5]자재단가!#REF!</definedName>
    <definedName name="_JJ596">[5]자재단가!#REF!</definedName>
    <definedName name="_JJ597">[5]자재단가!#REF!</definedName>
    <definedName name="_JJ598">[5]자재단가!#REF!</definedName>
    <definedName name="_JJ599">[5]자재단가!#REF!</definedName>
    <definedName name="_JJ6">[4]지입S3!#REF!</definedName>
    <definedName name="_JJ60">[5]자재단가!#REF!</definedName>
    <definedName name="_JJ600">[5]자재단가!#REF!</definedName>
    <definedName name="_JJ601">[5]자재단가!#REF!</definedName>
    <definedName name="_JJ602">[5]자재단가!#REF!</definedName>
    <definedName name="_JJ603">[5]자재단가!#REF!</definedName>
    <definedName name="_JJ604">[5]자재단가!#REF!</definedName>
    <definedName name="_JJ605">[5]자재단가!#REF!</definedName>
    <definedName name="_JJ606">[5]자재단가!#REF!</definedName>
    <definedName name="_JJ607">[5]자재단가!#REF!</definedName>
    <definedName name="_JJ608">[5]자재단가!#REF!</definedName>
    <definedName name="_JJ609">[5]자재단가!#REF!</definedName>
    <definedName name="_JJ61">[5]자재단가!#REF!</definedName>
    <definedName name="_JJ610">[5]자재단가!#REF!</definedName>
    <definedName name="_JJ611">[5]자재단가!#REF!</definedName>
    <definedName name="_JJ612">[5]자재단가!#REF!</definedName>
    <definedName name="_JJ613">[5]자재단가!#REF!</definedName>
    <definedName name="_JJ614">[5]자재단가!#REF!</definedName>
    <definedName name="_JJ615">[5]자재단가!#REF!</definedName>
    <definedName name="_JJ616">[5]자재단가!#REF!</definedName>
    <definedName name="_JJ617">[5]자재단가!#REF!</definedName>
    <definedName name="_JJ618">[5]자재단가!#REF!</definedName>
    <definedName name="_JJ619">[5]자재단가!#REF!</definedName>
    <definedName name="_JJ62">[5]자재단가!#REF!</definedName>
    <definedName name="_JJ620">[5]자재단가!#REF!</definedName>
    <definedName name="_JJ621">[5]자재단가!#REF!</definedName>
    <definedName name="_JJ622">[5]자재단가!#REF!</definedName>
    <definedName name="_JJ623">[5]자재단가!#REF!</definedName>
    <definedName name="_JJ624">[5]자재단가!#REF!</definedName>
    <definedName name="_JJ625">[5]자재단가!#REF!</definedName>
    <definedName name="_JJ626">[5]자재단가!#REF!</definedName>
    <definedName name="_JJ627">[5]자재단가!#REF!</definedName>
    <definedName name="_JJ628">[5]자재단가!#REF!</definedName>
    <definedName name="_JJ629">[5]자재단가!#REF!</definedName>
    <definedName name="_JJ63">[5]자재단가!#REF!</definedName>
    <definedName name="_JJ630">[5]자재단가!#REF!</definedName>
    <definedName name="_JJ631">[5]자재단가!#REF!</definedName>
    <definedName name="_JJ632">[5]자재단가!#REF!</definedName>
    <definedName name="_JJ633">[5]자재단가!#REF!</definedName>
    <definedName name="_JJ634">[5]자재단가!#REF!</definedName>
    <definedName name="_JJ635">[5]자재단가!#REF!</definedName>
    <definedName name="_JJ636">[5]자재단가!#REF!</definedName>
    <definedName name="_JJ637">[5]자재단가!#REF!</definedName>
    <definedName name="_JJ638">[5]자재단가!#REF!</definedName>
    <definedName name="_JJ639">[5]자재단가!#REF!</definedName>
    <definedName name="_JJ64">[5]자재단가!#REF!</definedName>
    <definedName name="_JJ640">[5]자재단가!#REF!</definedName>
    <definedName name="_JJ641">[5]자재단가!#REF!</definedName>
    <definedName name="_JJ642">[5]자재단가!#REF!</definedName>
    <definedName name="_JJ643">[5]자재단가!#REF!</definedName>
    <definedName name="_JJ644">[5]자재단가!#REF!</definedName>
    <definedName name="_JJ645">[5]자재단가!#REF!</definedName>
    <definedName name="_JJ646">[5]자재단가!#REF!</definedName>
    <definedName name="_JJ647">[5]자재단가!#REF!</definedName>
    <definedName name="_JJ648">[5]자재단가!#REF!</definedName>
    <definedName name="_JJ649">[5]자재단가!#REF!</definedName>
    <definedName name="_JJ65">[5]자재단가!#REF!</definedName>
    <definedName name="_JJ650">[5]자재단가!#REF!</definedName>
    <definedName name="_JJ651">[5]자재단가!#REF!</definedName>
    <definedName name="_JJ652">[5]자재단가!#REF!</definedName>
    <definedName name="_JJ653">[5]자재단가!#REF!</definedName>
    <definedName name="_JJ654">[5]자재단가!#REF!</definedName>
    <definedName name="_JJ655">[5]자재단가!#REF!</definedName>
    <definedName name="_JJ656">[5]자재단가!#REF!</definedName>
    <definedName name="_JJ657">[5]자재단가!#REF!</definedName>
    <definedName name="_JJ658">[5]자재단가!#REF!</definedName>
    <definedName name="_JJ659">[5]자재단가!#REF!</definedName>
    <definedName name="_JJ66">[5]자재단가!#REF!</definedName>
    <definedName name="_JJ660">[5]자재단가!#REF!</definedName>
    <definedName name="_JJ661">[5]자재단가!#REF!</definedName>
    <definedName name="_JJ662">[5]자재단가!#REF!</definedName>
    <definedName name="_JJ663">[5]자재단가!#REF!</definedName>
    <definedName name="_JJ664">[5]자재단가!#REF!</definedName>
    <definedName name="_JJ665">[5]자재단가!#REF!</definedName>
    <definedName name="_JJ666">[5]자재단가!#REF!</definedName>
    <definedName name="_JJ667">[5]자재단가!#REF!</definedName>
    <definedName name="_JJ668">[5]자재단가!#REF!</definedName>
    <definedName name="_JJ669">[5]자재단가!#REF!</definedName>
    <definedName name="_JJ67">[5]자재단가!#REF!</definedName>
    <definedName name="_JJ670">[5]자재단가!#REF!</definedName>
    <definedName name="_JJ671">[5]자재단가!#REF!</definedName>
    <definedName name="_JJ672">[5]자재단가!#REF!</definedName>
    <definedName name="_JJ673">[5]자재단가!#REF!</definedName>
    <definedName name="_JJ674">[5]자재단가!#REF!</definedName>
    <definedName name="_JJ675">[5]자재단가!#REF!</definedName>
    <definedName name="_JJ676">[5]자재단가!#REF!</definedName>
    <definedName name="_JJ677">[5]자재단가!#REF!</definedName>
    <definedName name="_JJ678">[5]자재단가!#REF!</definedName>
    <definedName name="_JJ679">[5]자재단가!#REF!</definedName>
    <definedName name="_JJ68">[5]자재단가!#REF!</definedName>
    <definedName name="_JJ680">[5]자재단가!#REF!</definedName>
    <definedName name="_JJ681">[5]자재단가!#REF!</definedName>
    <definedName name="_JJ682">[5]자재단가!#REF!</definedName>
    <definedName name="_JJ683">[5]자재단가!#REF!</definedName>
    <definedName name="_JJ684">[5]자재단가!#REF!</definedName>
    <definedName name="_JJ685">[5]자재단가!#REF!</definedName>
    <definedName name="_JJ686">[5]자재단가!#REF!</definedName>
    <definedName name="_JJ69">[5]자재단가!#REF!</definedName>
    <definedName name="_JJ7">[4]지입S3!#REF!</definedName>
    <definedName name="_JJ70">[5]자재단가!#REF!</definedName>
    <definedName name="_JJ71">[5]자재단가!#REF!</definedName>
    <definedName name="_JJ72">[5]자재단가!#REF!</definedName>
    <definedName name="_JJ73">[5]자재단가!#REF!</definedName>
    <definedName name="_JJ74">[5]자재단가!#REF!</definedName>
    <definedName name="_JJ75">[5]자재단가!#REF!</definedName>
    <definedName name="_JJ76">[5]자재단가!#REF!</definedName>
    <definedName name="_JJ77">[5]자재단가!#REF!</definedName>
    <definedName name="_JJ78">[5]자재단가!#REF!</definedName>
    <definedName name="_JJ79">[5]자재단가!#REF!</definedName>
    <definedName name="_JJ8">[5]자재단가!#REF!</definedName>
    <definedName name="_JJ80">[5]자재단가!#REF!</definedName>
    <definedName name="_JJ81">[5]자재단가!#REF!</definedName>
    <definedName name="_JJ82">[5]자재단가!#REF!</definedName>
    <definedName name="_JJ83">[5]자재단가!#REF!</definedName>
    <definedName name="_JJ84">[5]자재단가!#REF!</definedName>
    <definedName name="_JJ85">[5]자재단가!#REF!</definedName>
    <definedName name="_JJ86">[5]자재단가!#REF!</definedName>
    <definedName name="_JJ87">[5]자재단가!#REF!</definedName>
    <definedName name="_JJ88">[5]자재단가!#REF!</definedName>
    <definedName name="_JJ89">[5]자재단가!#REF!</definedName>
    <definedName name="_JJ9">[5]자재단가!#REF!</definedName>
    <definedName name="_JJ90">[5]자재단가!#REF!</definedName>
    <definedName name="_JJ91">[5]자재단가!#REF!</definedName>
    <definedName name="_JJ92">[5]자재단가!#REF!</definedName>
    <definedName name="_JJ93">[5]자재단가!#REF!</definedName>
    <definedName name="_JJ94">[5]자재단가!#REF!</definedName>
    <definedName name="_JJ95">[5]자재단가!#REF!</definedName>
    <definedName name="_JJ96">[5]자재단가!#REF!</definedName>
    <definedName name="_JJ97">[5]자재단가!#REF!</definedName>
    <definedName name="_JJ98">[5]자재단가!#REF!</definedName>
    <definedName name="_JJ99">#N/A</definedName>
    <definedName name="_ju8" hidden="1">{"'광피스표'!$A$3:$N$54"}</definedName>
    <definedName name="_KD2" hidden="1">#REF!</definedName>
    <definedName name="_KD3" hidden="1">#REF!</definedName>
    <definedName name="_kdfdsd" hidden="1">#REF!</definedName>
    <definedName name="_kdfflfe" hidden="1">#REF!</definedName>
    <definedName name="_kdfleof" hidden="1">#REF!</definedName>
    <definedName name="_kdfloi3" hidden="1">#REF!</definedName>
    <definedName name="_keeril" hidden="1">#REF!</definedName>
    <definedName name="_keoiewo" hidden="1">#REF!</definedName>
    <definedName name="_Key1" localSheetId="33" hidden="1">#REF!</definedName>
    <definedName name="_Key1" hidden="1">#REF!</definedName>
    <definedName name="_Key2" hidden="1">#REF!</definedName>
    <definedName name="_KEY3" hidden="1">'[10]95D'!#REF!</definedName>
    <definedName name="_kill" hidden="1">#REF!</definedName>
    <definedName name="_KK1" hidden="1">#REF!</definedName>
    <definedName name="_KK2" hidden="1">#REF!</definedName>
    <definedName name="_KK3" hidden="1">#REF!</definedName>
    <definedName name="_kkiil" hidden="1">#REF!</definedName>
    <definedName name="_kkillli" hidden="1">#REF!</definedName>
    <definedName name="_levis" hidden="1">#REF!</definedName>
    <definedName name="_lielsz" hidden="1">#REF!</definedName>
    <definedName name="_lill" hidden="1">#REF!</definedName>
    <definedName name="_MatMult_A" hidden="1">#REF!</definedName>
    <definedName name="_MatMult_AxB" hidden="1">[11]S1!#REF!</definedName>
    <definedName name="_MatMult_B" hidden="1">[11]S1!#REF!</definedName>
    <definedName name="_mdidkl" hidden="1">#REF!</definedName>
    <definedName name="_mdiidld" hidden="1">#REF!</definedName>
    <definedName name="_mdill" hidden="1">#REF!</definedName>
    <definedName name="_mewowo" hidden="1">#REF!</definedName>
    <definedName name="_mfill" hidden="1">#REF!</definedName>
    <definedName name="_mgfill" hidden="1">#REF!</definedName>
    <definedName name="_mielel" hidden="1">#REF!</definedName>
    <definedName name="_miilelld" hidden="1">#REF!</definedName>
    <definedName name="_mill" hidden="1">#REF!</definedName>
    <definedName name="_mqdidl" hidden="1">#REF!</definedName>
    <definedName name="_naeil" hidden="1">#REF!</definedName>
    <definedName name="_naiel" hidden="1">#REF!</definedName>
    <definedName name="_naill" hidden="1">#REF!</definedName>
    <definedName name="_ncikl" hidden="1">#REF!</definedName>
    <definedName name="_ndiel" hidden="1">#REF!</definedName>
    <definedName name="_ndill" hidden="1">#REF!</definedName>
    <definedName name="_ngsndi" hidden="1">#REF!</definedName>
    <definedName name="_nilei" hidden="1">#REF!</definedName>
    <definedName name="_nilief" hidden="1">#REF!</definedName>
    <definedName name="_nill" hidden="1">#REF!</definedName>
    <definedName name="_nsill" hidden="1">#REF!</definedName>
    <definedName name="_nsoidi" hidden="1">#REF!</definedName>
    <definedName name="_oill" hidden="1">#REF!</definedName>
    <definedName name="_oillu" hidden="1">#REF!</definedName>
    <definedName name="_Order1" hidden="1">255</definedName>
    <definedName name="_Order2" hidden="1">255</definedName>
    <definedName name="_paeil" hidden="1">#REF!</definedName>
    <definedName name="_paeilax" hidden="1">#REF!</definedName>
    <definedName name="_paielo" hidden="1">#REF!</definedName>
    <definedName name="_paiill" hidden="1">#REF!</definedName>
    <definedName name="_paile" hidden="1">#REF!</definedName>
    <definedName name="_paill" hidden="1">#REF!</definedName>
    <definedName name="_Parse_Out" hidden="1">#REF!</definedName>
    <definedName name="_pedill" hidden="1">#REF!</definedName>
    <definedName name="_peeil" hidden="1">#REF!</definedName>
    <definedName name="_pefpepf" hidden="1">#REF!</definedName>
    <definedName name="_pegrill" hidden="1">#REF!</definedName>
    <definedName name="_peill" hidden="1">#REF!</definedName>
    <definedName name="_peip" hidden="1">#REF!</definedName>
    <definedName name="_peoioep" hidden="1">#REF!</definedName>
    <definedName name="_pepck" hidden="1">#REF!</definedName>
    <definedName name="_pepckg" hidden="1">#REF!</definedName>
    <definedName name="_pepeoiio" hidden="1">#REF!</definedName>
    <definedName name="_perig" hidden="1">#REF!</definedName>
    <definedName name="_perriw" hidden="1">#REF!</definedName>
    <definedName name="_pew2l" hidden="1">#REF!</definedName>
    <definedName name="_pfil" hidden="1">#REF!</definedName>
    <definedName name="_phkdie" hidden="1">#REF!</definedName>
    <definedName name="_piagli" hidden="1">#REF!</definedName>
    <definedName name="_pie2" hidden="1">#REF!</definedName>
    <definedName name="_piepg" hidden="1">#REF!</definedName>
    <definedName name="_piewoeih" hidden="1">#REF!</definedName>
    <definedName name="_pill" hidden="1">#REF!</definedName>
    <definedName name="_pill22" hidden="1">#REF!</definedName>
    <definedName name="_pillz" hidden="1">#REF!</definedName>
    <definedName name="_pioea" hidden="1">#REF!</definedName>
    <definedName name="_piwoeill" hidden="1">#REF!</definedName>
    <definedName name="_pjkls" hidden="1">#REF!</definedName>
    <definedName name="_poeisz" hidden="1">#REF!</definedName>
    <definedName name="_poiee" hidden="1">#REF!</definedName>
    <definedName name="_poieez" hidden="1">#REF!</definedName>
    <definedName name="_poieezd" hidden="1">#REF!</definedName>
    <definedName name="_poieow" hidden="1">#REF!</definedName>
    <definedName name="_poill" hidden="1">#REF!</definedName>
    <definedName name="_poizei" hidden="1">#REF!</definedName>
    <definedName name="_poqieilz" hidden="1">#REF!</definedName>
    <definedName name="_ppill" hidden="1">#REF!</definedName>
    <definedName name="_pppeidi" hidden="1">#REF!</definedName>
    <definedName name="_ppqei" hidden="1">#REF!</definedName>
    <definedName name="_pqeiod" hidden="1">#REF!</definedName>
    <definedName name="_pqkslx" hidden="1">#REF!</definedName>
    <definedName name="_prada" hidden="1">#REF!</definedName>
    <definedName name="_psiddil" hidden="1">#REF!</definedName>
    <definedName name="_psill" hidden="1">#REF!</definedName>
    <definedName name="_qadif" hidden="1">#REF!</definedName>
    <definedName name="_qdazil" hidden="1">#REF!</definedName>
    <definedName name="_qeewii" hidden="1">#REF!</definedName>
    <definedName name="_qfjfjfep" hidden="1">#REF!</definedName>
    <definedName name="_qieox" hidden="1">#REF!</definedName>
    <definedName name="_qill" hidden="1">#REF!</definedName>
    <definedName name="_qixln" hidden="1">#REF!</definedName>
    <definedName name="_qkiidl" hidden="1">#REF!</definedName>
    <definedName name="_qkzkl" hidden="1">#REF!</definedName>
    <definedName name="_qlzidle" hidden="1">#REF!</definedName>
    <definedName name="_qpdieez" hidden="1">#REF!</definedName>
    <definedName name="_qpei" hidden="1">#REF!</definedName>
    <definedName name="_qpeozkd" hidden="1">#REF!</definedName>
    <definedName name="_qpfife" hidden="1">#REF!</definedName>
    <definedName name="_qpsm" hidden="1">#REF!</definedName>
    <definedName name="_qpxoe" hidden="1">#REF!</definedName>
    <definedName name="_qqeils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irelfel" hidden="1">#REF!</definedName>
    <definedName name="_reiril" hidden="1">#REF!</definedName>
    <definedName name="_riel" hidden="1">#REF!</definedName>
    <definedName name="_rill" hidden="1">#REF!</definedName>
    <definedName name="_riririel" hidden="1">#REF!</definedName>
    <definedName name="_seiell2" hidden="1">#REF!</definedName>
    <definedName name="_sfile" hidden="1">#REF!</definedName>
    <definedName name="_sieieildl" hidden="1">#REF!</definedName>
    <definedName name="_sieisl" hidden="1">#REF!</definedName>
    <definedName name="_sill" hidden="1">#REF!</definedName>
    <definedName name="_sill2" hidden="1">#REF!</definedName>
    <definedName name="_sldilw" hidden="1">#REF!</definedName>
    <definedName name="_soiwill" hidden="1">#REF!</definedName>
    <definedName name="_Sort" hidden="1">[12]LIS6401!#REF!</definedName>
    <definedName name="_SORT2" hidden="1">'[10]94D'!#REF!</definedName>
    <definedName name="_SORT3" hidden="1">'[10]95D'!#REF!</definedName>
    <definedName name="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oeoiif2" hidden="1">#REF!</definedName>
    <definedName name="_uaiellis2" hidden="1">#REF!</definedName>
    <definedName name="_uaill" hidden="1">#REF!</definedName>
    <definedName name="_udfill" hidden="1">#REF!</definedName>
    <definedName name="_udifildlif" hidden="1">#REF!</definedName>
    <definedName name="_udill" hidden="1">#REF!</definedName>
    <definedName name="_ueiic" hidden="1">#REF!</definedName>
    <definedName name="_uiel" hidden="1">#REF!</definedName>
    <definedName name="_uil3" hidden="1">#REF!</definedName>
    <definedName name="_uilel" hidden="1">#REF!</definedName>
    <definedName name="_uill" hidden="1">#REF!</definedName>
    <definedName name="_usieilldi" hidden="1">#REF!</definedName>
    <definedName name="_usill" hidden="1">#REF!</definedName>
    <definedName name="_uuill" hidden="1">#REF!</definedName>
    <definedName name="_uweil" hidden="1">#REF!</definedName>
    <definedName name="_vaidlif" hidden="1">#REF!</definedName>
    <definedName name="_vaiilld" hidden="1">#REF!</definedName>
    <definedName name="_vaill" hidden="1">#REF!</definedName>
    <definedName name="_vcvfddfl" hidden="1">#REF!</definedName>
    <definedName name="_veail" hidden="1">#REF!</definedName>
    <definedName name="_veil" hidden="1">#REF!</definedName>
    <definedName name="_vfdifdl" hidden="1">#REF!</definedName>
    <definedName name="_vfdill" hidden="1">#REF!</definedName>
    <definedName name="_vfdilla" hidden="1">#REF!</definedName>
    <definedName name="_vholi" hidden="1">#REF!</definedName>
    <definedName name="_vidoifio" hidden="1">#REF!</definedName>
    <definedName name="_vieldc" hidden="1">#REF!</definedName>
    <definedName name="_vielsl" hidden="1">#REF!</definedName>
    <definedName name="_viileled" hidden="1">#REF!</definedName>
    <definedName name="_vill" hidden="1">#REF!</definedName>
    <definedName name="_vorefoieoo" hidden="1">#REF!</definedName>
    <definedName name="_vvill" hidden="1">#REF!</definedName>
    <definedName name="_wawaoq" hidden="1">#REF!</definedName>
    <definedName name="_wcidl" hidden="1">#REF!</definedName>
    <definedName name="_wdfill" hidden="1">#REF!</definedName>
    <definedName name="_wdill" hidden="1">#REF!</definedName>
    <definedName name="_weidl" hidden="1">#REF!</definedName>
    <definedName name="_weilg" hidden="1">#REF!</definedName>
    <definedName name="_weill" hidden="1">#REF!</definedName>
    <definedName name="_weiweio" hidden="1">#REF!</definedName>
    <definedName name="_widifl" hidden="1">#REF!</definedName>
    <definedName name="_wielx" hidden="1">#REF!</definedName>
    <definedName name="_wilil" hidden="1">#REF!</definedName>
    <definedName name="_will" hidden="1">#REF!</definedName>
    <definedName name="_wille" hidden="1">#REF!</definedName>
    <definedName name="_woeirool" hidden="1">#REF!</definedName>
    <definedName name="_wsddd" hidden="1">#REF!</definedName>
    <definedName name="_wsill" hidden="1">#REF!</definedName>
    <definedName name="_wwowwo" hidden="1">#REF!</definedName>
    <definedName name="_wwwoz" hidden="1">#REF!</definedName>
    <definedName name="_xaill" hidden="1">#REF!</definedName>
    <definedName name="_xcill" hidden="1">#REF!</definedName>
    <definedName name="_xewail" hidden="1">#REF!</definedName>
    <definedName name="_xidilal" hidden="1">#REF!</definedName>
    <definedName name="_xill" hidden="1">#REF!</definedName>
    <definedName name="_xisi" hidden="1">#REF!</definedName>
    <definedName name="_xxasidl" hidden="1">#REF!</definedName>
    <definedName name="_xxdil" hidden="1">#REF!</definedName>
    <definedName name="_xxill" hidden="1">#REF!</definedName>
    <definedName name="_xzasdl" hidden="1">#REF!</definedName>
    <definedName name="_xzsidl" hidden="1">#REF!</definedName>
    <definedName name="_yill" hidden="1">#REF!</definedName>
    <definedName name="_yyill" hidden="1">#REF!</definedName>
    <definedName name="_zaill" hidden="1">#REF!</definedName>
    <definedName name="_zassaza" hidden="1">#REF!</definedName>
    <definedName name="_zceil" hidden="1">#REF!</definedName>
    <definedName name="_zeilaw" hidden="1">#REF!</definedName>
    <definedName name="_zill" hidden="1">#REF!</definedName>
    <definedName name="_ziwi" hidden="1">#REF!</definedName>
    <definedName name="_zpj" hidden="1">#REF!</definedName>
    <definedName name="_zpmei2" hidden="1">#REF!</definedName>
    <definedName name="_zpzpzp" hidden="1">#REF!</definedName>
    <definedName name="_zzal" hidden="1">#REF!</definedName>
    <definedName name="_zzall" hidden="1">#REF!</definedName>
    <definedName name="_zzidy" hidden="1">#REF!</definedName>
    <definedName name="_zzill" hidden="1">#REF!</definedName>
    <definedName name="_zzzail" hidden="1">#REF!</definedName>
    <definedName name="A1C1" hidden="1">#REF!</definedName>
    <definedName name="AA" hidden="1">[12]LIS6401!#REF!</definedName>
    <definedName name="AAA" localSheetId="33" hidden="1">[13]노임단가!#REF!</definedName>
    <definedName name="AAA" hidden="1">[13]노임단가!#REF!</definedName>
    <definedName name="ABS" hidden="1">{#N/A,#N/A,FALSE,"전력간선"}</definedName>
    <definedName name="Access_Button" hidden="1">"물품목_2_제품테이블_List"</definedName>
    <definedName name="Access_Button1" hidden="1">"물품목_2_제품테이블_List"</definedName>
    <definedName name="Access_Button2" hidden="1">"물품목_2_제품테이블_List"</definedName>
    <definedName name="AccessDatabase" hidden="1">"c:\wiz32\xl\acclink.mdb"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dditional" hidden="1">#REF!</definedName>
    <definedName name="anscount" hidden="1">1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AS" hidden="1">{#N/A,#N/A,FALSE,"DAOCM 2차 검토"}</definedName>
    <definedName name="asdfasdf" hidden="1">{#N/A,#N/A,FALSE,"CCTV"}</definedName>
    <definedName name="ASDFASDKLFJ" hidden="1">{#N/A,#N/A,TRUE,"토적및재료집계";#N/A,#N/A,TRUE,"토적및재료집계";#N/A,#N/A,TRUE,"단위량"}</definedName>
    <definedName name="bb" hidden="1">[14]내역서!#REF!</definedName>
    <definedName name="BBB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G" hidden="1">{"'광피스표'!$A$3:$N$54"}</definedName>
    <definedName name="BM" hidden="1">#REF!</definedName>
    <definedName name="bms" hidden="1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CTV" hidden="1">{#N/A,#N/A,FALSE,"전력간선"}</definedName>
    <definedName name="ch" hidden="1">{#N/A,#N/A,FALSE,"전력간선"}</definedName>
    <definedName name="da" hidden="1">#REF!</definedName>
    <definedName name="DCGRE" hidden="1">{#N/A,#N/A,TRUE,"토적및재료집계";#N/A,#N/A,TRUE,"토적및재료집계";#N/A,#N/A,TRUE,"단위량"}</definedName>
    <definedName name="dd" hidden="1">[15]자재단가!#REF!</definedName>
    <definedName name="ddd" hidden="1">[16]자재단가!#REF!</definedName>
    <definedName name="ddddd" hidden="1">#REF!</definedName>
    <definedName name="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dkdkdkd" hidden="1">{#N/A,#N/A,FALSE,"명세표"}</definedName>
    <definedName name="ds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WD" hidden="1">{#N/A,#N/A,FALSE,"전력간선"}</definedName>
    <definedName name="efwe" hidden="1">{#N/A,#N/A,FALSE,"Sheet1"}</definedName>
    <definedName name="fgf" hidden="1">[9]자재단가!#REF!</definedName>
    <definedName name="FHFH" hidden="1">[17]수량산출!$A$1:$A$8561</definedName>
    <definedName name="FHFK" hidden="1">[17]수량산출!#REF!</definedName>
    <definedName name="fifofl" hidden="1">#REF!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O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v" hidden="1">{#N/A,#N/A,FALSE,"전력간선"}</definedName>
    <definedName name="gf" hidden="1">#REF!</definedName>
    <definedName name="G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GG" localSheetId="33" hidden="1">[13]노임단가!#REF!</definedName>
    <definedName name="GGG" hidden="1">[13]노임단가!#REF!</definedName>
    <definedName name="GHJJ" hidden="1">{"'광피스표'!$A$3:$N$54"}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GHV" hidden="1">{#N/A,#N/A,TRUE,"토적및재료집계";#N/A,#N/A,TRUE,"토적및재료집계";#N/A,#N/A,TRUE,"단위량"}</definedName>
    <definedName name="HH" hidden="1">#REF!</definedName>
    <definedName name="HHH" hidden="1">[13]노임단가!#REF!</definedName>
    <definedName name="HHHH" hidden="1">#REF!</definedName>
    <definedName name="HTML_CodePage" hidden="1">949</definedName>
    <definedName name="HTML_Control" hidden="1">{"'Flow'!$A$1:$S$58"}</definedName>
    <definedName name="HTML_Description" hidden="1">""</definedName>
    <definedName name="HTML_Email" hidden="1">""</definedName>
    <definedName name="HTML_Header" hidden="1">"Flow"</definedName>
    <definedName name="HTML_LastUpdate" hidden="1">"2000.11.22"</definedName>
    <definedName name="HTML_LineAfter" hidden="1">FALSE</definedName>
    <definedName name="HTML_LineBefore" hidden="1">FALSE</definedName>
    <definedName name="HTML_Name" hidden="1">"한중."</definedName>
    <definedName name="HTML_OBDlg2" hidden="1">TRUE</definedName>
    <definedName name="HTML_OBDlg4" hidden="1">TRUE</definedName>
    <definedName name="HTML_OS" hidden="1">0</definedName>
    <definedName name="HTML_PathFile" hidden="1">"C:\My Documents\WTR.htm"</definedName>
    <definedName name="HTML_Title" hidden="1">"Wtr_WWtr_Flow(Teluk)"</definedName>
    <definedName name="HTML1_1" hidden="1">"'[엑셀95-따라하기 문제.xls]인터넷 어시스턴트'!$A$1:$J$18"</definedName>
    <definedName name="HTML1_10" hidden="1">"Marihan@hitel.kol.co.kr"</definedName>
    <definedName name="HTML1_11" hidden="1">1</definedName>
    <definedName name="HTML1_12" hidden="1">"C:\김종완\원고\[작업중] 한빛-엑셀70\CD-ROM문제\따라하기 문제&amp;그림\MyHTML01.htm"</definedName>
    <definedName name="HTML1_2" hidden="1">1</definedName>
    <definedName name="HTML1_3" hidden="1">"엑셀 프로젝트"</definedName>
    <definedName name="HTML1_4" hidden="1">"인터넷 어시스턴트"</definedName>
    <definedName name="HTML1_5" hidden="1">"엑셀 워크시트를 HTML문서로 변환한다. 이 적업은 &lt;한빛 미디어&gt; 책에서만 가능하며, [어린왕자]만의 독특한 아이디어 이다."</definedName>
    <definedName name="HTML1_6" hidden="1">1</definedName>
    <definedName name="HTML1_7" hidden="1">1</definedName>
    <definedName name="HTML1_8" hidden="1">"97-10-09"</definedName>
    <definedName name="HTML1_9" hidden="1">"김종완/어린왕자"</definedName>
    <definedName name="HTMLCount" hidden="1">1</definedName>
    <definedName name="IJ" hidden="1">{"'광피스표'!$A$3:$N$54"}</definedName>
    <definedName name="JH" hidden="1">{"'광피스표'!$A$3:$N$54"}</definedName>
    <definedName name="JJJ" hidden="1">#REF!</definedName>
    <definedName name="juy" hidden="1">{"'광피스표'!$A$3:$N$54"}</definedName>
    <definedName name="KB" hidden="1">{"'광피스표'!$A$3:$N$54"}</definedName>
    <definedName name="k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KKKK" localSheetId="33" hidden="1">#REF!</definedName>
    <definedName name="KKKKK" hidden="1">#REF!</definedName>
    <definedName name="kpqeiwri" hidden="1">#REF!</definedName>
    <definedName name="ksk" hidden="1">#REF!</definedName>
    <definedName name="kyd.Dim.01." hidden="1">"currency"</definedName>
    <definedName name="kyd.Dim.02." hidden="1">"currency"</definedName>
    <definedName name="kyd.ElementType.01." hidden="1">3</definedName>
    <definedName name="kyd.ElementType.02." hidden="1">3</definedName>
    <definedName name="kyd.MemoSortHide." hidden="1">FALSE</definedName>
    <definedName name="kyd.NumLevels.01." hidden="1">999</definedName>
    <definedName name="kyd.NumLevels.02." hidden="1">999</definedName>
    <definedName name="kyd.ParentName.01." hidden="1">"AUD"</definedName>
    <definedName name="kyd.ParentName.02." hidden="1">"AUD"</definedName>
    <definedName name="kyd.PreScreenData." hidden="1">FALSE</definedName>
    <definedName name="kyd.PrintMemo." hidden="1">FALSE</definedName>
    <definedName name="kyd.PrintParent.01." hidden="1">TRUE</definedName>
    <definedName name="kyd.PrintParent.02." hidden="1">TRUE</definedName>
    <definedName name="kyd.PrintStdWhen." hidden="1">3</definedName>
    <definedName name="kyd.SaveAsFile." hidden="1">FALSE</definedName>
    <definedName name="kyd.SaveMemo." hidden="1">FALSE</definedName>
    <definedName name="kyd.SelectString.01." hidden="1">"*"</definedName>
    <definedName name="kyd.SelectString.02." hidden="1">"*"</definedName>
    <definedName name="kyd.StdSortHide." hidden="1">FALSE</definedName>
    <definedName name="kyd.StopRow." hidden="1">16384</definedName>
    <definedName name="kyd.WriteMemWhenOptn." hidden="1">3</definedName>
    <definedName name="LB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 hidden="1">#REF!</definedName>
    <definedName name="lo" hidden="1">{"'광피스표'!$A$3:$N$54"}</definedName>
    <definedName name="mm" hidden="1">{#N/A,#N/A,TRUE,"토적및재료집계";#N/A,#N/A,TRUE,"토적및재료집계";#N/A,#N/A,TRUE,"단위량"}</definedName>
    <definedName name="NEWNAME" hidden="1">{#N/A,#N/A,FALSE,"CCTV"}</definedName>
    <definedName name="NS" hidden="1">#REF!</definedName>
    <definedName name="OOO" hidden="1">#REF!</definedName>
    <definedName name="owoel" hidden="1">#REF!</definedName>
    <definedName name="piiuer" hidden="1">#REF!</definedName>
    <definedName name="PLAN" hidden="1">[18]확정실적!#REF!</definedName>
    <definedName name="PPP" localSheetId="33" hidden="1">[13]노임단가!#REF!</definedName>
    <definedName name="PPP" hidden="1">[13]노임단가!#REF!</definedName>
    <definedName name="PR" hidden="1">[19]ORIGN!$B$5:$M$136</definedName>
    <definedName name="_xlnm.Print_Area" localSheetId="33">'고온부품(26)'!$A$1:$P$33</definedName>
    <definedName name="PRS" hidden="1">#REF!</definedName>
    <definedName name="psie" hidden="1">#REF!</definedName>
    <definedName name="qkqh1" hidden="1">{#N/A,#N/A,FALSE,"명세표"}</definedName>
    <definedName name="qq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W" hidden="1">{#N/A,#N/A,TRUE,"토적및재료집계";#N/A,#N/A,TRUE,"토적및재료집계";#N/A,#N/A,TRUE,"단위량"}</definedName>
    <definedName name="QWS" hidden="1">#REF!</definedName>
    <definedName name="rhkstp" hidden="1">{#N/A,#N/A,FALSE,"DAOCM 2차 검토"}</definedName>
    <definedName name="Royalty" hidden="1">{#N/A,#N/A,FALSE,"Sheet1"}</definedName>
    <definedName name="R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P" hidden="1">[20]ORIGN!#REF!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FF" hidden="1">[13]노임단가!#REF!</definedName>
    <definedName name="SFFFFF" hidden="1">[13]노임단가!#REF!</definedName>
    <definedName name="sgfsdfe" hidden="1">#REF!</definedName>
    <definedName name="SHEET0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kdfsk" hidden="1">#REF!</definedName>
    <definedName name="SKI" hidden="1">[13]노임단가!#REF!</definedName>
    <definedName name="SORT" hidden="1">#REF!</definedName>
    <definedName name="ss" hidden="1">'[21]JAJ-IDON'!#REF!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{#N/A,#N/A,FALSE,"전력간선"}</definedName>
    <definedName name="TREV" hidden="1">{#N/A,#N/A,TRUE,"토적및재료집계";#N/A,#N/A,TRUE,"토적및재료집계";#N/A,#N/A,TRUE,"단위량"}</definedName>
    <definedName name="TTTT" hidden="1">#REF!</definedName>
    <definedName name="VV" hidden="1">{#N/A,#N/A,TRUE,"일정"}</definedName>
    <definedName name="w2e3" hidden="1">{"'광피스표'!$A$3:$N$54"}</definedName>
    <definedName name="wefwe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LQ" hidden="1">{#N/A,#N/A,FALSE,"명세표"}</definedName>
    <definedName name="WRITE" hidden="1">{#N/A,#N/A,FALSE,"CCTV"}</definedName>
    <definedName name="wrn.BM." hidden="1">{#N/A,#N/A,FALSE,"CCTV"}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DACOM._.광전송장치._.투찰가._.검토." hidden="1">{#N/A,#N/A,FALSE,"DAOCM 2차 검토"}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REPORTS." hidden="1">{"RPTBAL",#N/A,FALSE,"00";"RPTCFLOW",#N/A,FALSE,"00";"RPTINC",#N/A,FALSE,"00";"RPTINVEST",#N/A,FALSE,"00";"RPTMEI",#N/A,FALSE,"00";"RPTMISC",#N/A,FALSE,"00";"RPTORD",#N/A,FALSE,"00";"RPTOVHD",#N/A,FALSE,"00";"RPTPPE",#N/A,FALSE,"00";"RPTYEWCAP",#N/A,FALSE,"00"}</definedName>
    <definedName name="wrn.test1." hidden="1">{#N/A,#N/A,FALSE,"명세표"}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교육청." hidden="1">{#N/A,#N/A,FALSE,"전력간선"}</definedName>
    <definedName name="wrn.신용찬." hidden="1">{#N/A,#N/A,TRUE,"토적및재료집계";#N/A,#N/A,TRUE,"토적및재료집계";#N/A,#N/A,TRUE,"단위량"}</definedName>
    <definedName name="wrn.주간._.보고." hidden="1">{#N/A,#N/A,TRUE,"일정"}</definedName>
    <definedName name="wrn.통신지." hidden="1">{#N/A,#N/A,FALSE,"기안지";#N/A,#N/A,FALSE,"통신지"}</definedName>
    <definedName name="wrn.현장._.NCR._.분석." hidden="1">{#N/A,#N/A,FALSE,"현장 NCR 분석";#N/A,#N/A,FALSE,"현장품질감사";#N/A,#N/A,FALSE,"현장품질감사"}</definedName>
    <definedName name="wrn.회선임차현황." hidden="1">{#N/A,#N/A,FALSE,"회선임차현황"}</definedName>
    <definedName name="WW" hidden="1">{#N/A,#N/A,FALSE,"전력간선"}</definedName>
    <definedName name="WWW" hidden="1">[13]노임단가!#REF!</definedName>
    <definedName name="x" hidden="1">{"'Flow'!$A$1:$S$58"}</definedName>
    <definedName name="XC" hidden="1">{"'광피스표'!$A$3:$N$54"}</definedName>
    <definedName name="XCCFD" hidden="1">{"'광피스표'!$A$3:$N$54"}</definedName>
    <definedName name="xx" hidden="1">[13]노임단가!#REF!</definedName>
    <definedName name="yyy" hidden="1">[22]수량산출!$A$1:$A$8561</definedName>
    <definedName name="ZA" hidden="1">{"'광피스표'!$A$3:$N$54"}</definedName>
    <definedName name="ㄱ" hidden="1">{#N/A,#N/A,TRUE,"토적및재료집계";#N/A,#N/A,TRUE,"토적및재료집계";#N/A,#N/A,TRUE,"단위량"}</definedName>
    <definedName name="ㄱㄱ" hidden="1">{#N/A,#N/A,FALSE,"명세표"}</definedName>
    <definedName name="가S_O" hidden="1">{#N/A,#N/A,FALSE,"DAOCM 2차 검토"}</definedName>
    <definedName name="가스" hidden="1">{#N/A,#N/A,FALSE,"CCTV"}</definedName>
    <definedName name="가아" hidden="1">[23]수량산출!#REF!</definedName>
    <definedName name="강아지" hidden="1">#REF!</definedName>
    <definedName name="강호" hidden="1">{#N/A,#N/A,TRUE,"토적및재료집계";#N/A,#N/A,TRUE,"토적및재료집계";#N/A,#N/A,TRUE,"단위량"}</definedName>
    <definedName name="거ㅏ" hidden="1">[24]수량산출!$A$3:$H$8539</definedName>
    <definedName name="건축원가" hidden="1">[25]전기!$B$4:$B$163</definedName>
    <definedName name="견적조건" hidden="1">{#N/A,#N/A,FALSE,"CCTV"}</definedName>
    <definedName name="견적조건8" hidden="1">{#N/A,#N/A,FALSE,"CCTV"}</definedName>
    <definedName name="고용보험료_요율">'[26]4.비목별요율적용기준'!$B$11</definedName>
    <definedName name="공가원가VMS\" hidden="1">{#N/A,#N/A,TRUE,"토적및재료집계";#N/A,#N/A,TRUE,"토적및재료집계";#N/A,#N/A,TRUE,"단위량"}</definedName>
    <definedName name="공장동" hidden="1">#REF!</definedName>
    <definedName name="공정산출근거" hidden="1">{#N/A,#N/A,TRUE,"토적및재료집계";#N/A,#N/A,TRUE,"토적및재료집계";#N/A,#N/A,TRUE,"단위량"}</definedName>
    <definedName name="공정집계표1" hidden="1">#REF!</definedName>
    <definedName name="공정집계표1111" hidden="1">#REF!</definedName>
    <definedName name="관산" hidden="1">{"'광피스표'!$A$3:$N$54"}</definedName>
    <definedName name="광" hidden="1">{#N/A,#N/A,TRUE,"토적및재료집계";#N/A,#N/A,TRUE,"토적및재료집계";#N/A,#N/A,TRUE,"단위량"}</definedName>
    <definedName name="구산갑지" hidden="1">'[27]#REF'!#REF!</definedName>
    <definedName name="구조물공사" hidden="1">{#N/A,#N/A,TRUE,"토적및재료집계";#N/A,#N/A,TRUE,"토적및재료집계";#N/A,#N/A,TRUE,"단위량"}</definedName>
    <definedName name="국민건강보험료_요율">'[26]4.비목별요율적용기준'!$B$18</definedName>
    <definedName name="국민연금보험료_요율">'[26]4.비목별요율적용기준'!$B$16</definedName>
    <definedName name="그림" hidden="1">{#N/A,#N/A,FALSE,"전력간선"}</definedName>
    <definedName name="기성3" hidden="1">{#N/A,#N/A,FALSE,"CCTV"}</definedName>
    <definedName name="긴급전화" hidden="1">{#N/A,#N/A,TRUE,"토적및재료집계";#N/A,#N/A,TRUE,"토적및재료집계";#N/A,#N/A,TRUE,"단위량"}</definedName>
    <definedName name="ㄴㄴㄴ" hidden="1">{#N/A,#N/A,FALSE,"명세표"}</definedName>
    <definedName name="ㄴㄴㄴㄴ" hidden="1">'[28]#REF'!#REF!</definedName>
    <definedName name="ㄴㄴㄴㄴㄴ" hidden="1">'[28]#REF'!$A$3:$H$292</definedName>
    <definedName name="남이" hidden="1">#REF!</definedName>
    <definedName name="노무비단가산출서" hidden="1">#REF!</definedName>
    <definedName name="노인장기요양보험료_요율">'[26]4.비목별요율적용기준'!$B$20</definedName>
    <definedName name="ㄷ" hidden="1">{#N/A,#N/A,TRUE,"토적및재료집계";#N/A,#N/A,TRUE,"토적및재료집계";#N/A,#N/A,TRUE,"단위량"}</definedName>
    <definedName name="ㄷㄱㄷ" hidden="1">{#N/A,#N/A,FALSE,"전력간선"}</definedName>
    <definedName name="ㄷㄷ" hidden="1">'[28]#REF'!#REF!</definedName>
    <definedName name="대화견적서갑" hidden="1">#REF!</definedName>
    <definedName name="ㄹ" hidden="1">{#N/A,#N/A,FALSE,"명세표"}</definedName>
    <definedName name="ㄹ44">[29]산출내역서!#REF!</definedName>
    <definedName name="ㄹㄹㄹ" hidden="1">{#N/A,#N/A,FALSE,"명세표"}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ㅇㄶ" hidden="1">#REF!</definedName>
    <definedName name="ㄹㅇㄶ옿" hidden="1">'[30]N賃率-職'!$I$5:$I$30</definedName>
    <definedName name="ㄹㅇㄹㅇ" hidden="1">#REF!</definedName>
    <definedName name="ㅀ허" hidden="1">{#N/A,#N/A,FALSE,"CCTV"}</definedName>
    <definedName name="ㅁ" hidden="1">[13]노임단가!#REF!</definedName>
    <definedName name="ㅁ1">#REF!</definedName>
    <definedName name="머" hidden="1">{#N/A,#N/A,FALSE,"명세표"}</definedName>
    <definedName name="모냐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" hidden="1">{#N/A,#N/A,FALSE,"DAOCM 2차 검토"}</definedName>
    <definedName name="ㅂㅂ" hidden="1">#REF!</definedName>
    <definedName name="ㅂㅂㅂ" hidden="1">{#N/A,#N/A,TRUE,"토적및재료집계";#N/A,#N/A,TRUE,"토적및재료집계";#N/A,#N/A,TRUE,"단위량"}</definedName>
    <definedName name="ㅂㅂㅂㅂ" hidden="1">{#N/A,#N/A,FALSE,"명세표"}</definedName>
    <definedName name="ㅂㅂㅂㅂㅂㅂㅂ" hidden="1">{#N/A,#N/A,FALSE,"명세표"}</definedName>
    <definedName name="반자동1기" hidden="1">{#N/A,#N/A,FALSE,"전력간선"}</definedName>
    <definedName name="배관공수율" hidden="1">'[31]N賃率-職'!$I$5:$I$30</definedName>
    <definedName name="보온부list" hidden="1">{"'1~3월총괄표'!$E$13"}</definedName>
    <definedName name="보중" hidden="1">{#N/A,#N/A,FALSE,"전력간선"}</definedName>
    <definedName name="부대별약칭" hidden="1">{#N/A,#N/A,TRUE,"토적및재료집계";#N/A,#N/A,TRUE,"토적및재료집계";#N/A,#N/A,TRUE,"단위량"}</definedName>
    <definedName name="부손익" hidden="1">{#N/A,#N/A,FALSE,"현장 NCR 분석";#N/A,#N/A,FALSE,"현장품질감사";#N/A,#N/A,FALSE,"현장품질감사"}</definedName>
    <definedName name="분전반제조총괄표" hidden="1">{"'건축내역'!$A$1:$L$413"}</definedName>
    <definedName name="ㅅ" hidden="1">{#N/A,#N/A,TRUE,"토적및재료집계";#N/A,#N/A,TRUE,"토적및재료집계";#N/A,#N/A,TRUE,"단위량"}</definedName>
    <definedName name="ㅅㅅ" hidden="1">#REF!</definedName>
    <definedName name="ㅅㅅㅅ" hidden="1">{#N/A,#N/A,FALSE,"전력간선"}</definedName>
    <definedName name="산재보험료_요율">'[26]4.비목별요율적용기준'!$B$13</definedName>
    <definedName name="생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석항" hidden="1">{#N/A,#N/A,FALSE,"명세표"}</definedName>
    <definedName name="설변" hidden="1">{#N/A,#N/A,FALSE,"Sheet1"}</definedName>
    <definedName name="설비" hidden="1">{#N/A,#N/A,TRUE,"토적및재료집계";#N/A,#N/A,TRUE,"토적및재료집계";#N/A,#N/A,TRUE,"단위량"}</definedName>
    <definedName name="소화갑지" hidden="1">{#N/A,#N/A,FALSE,"CCTV"}</definedName>
    <definedName name="수2" hidden="1">{#N/A,#N/A,TRUE,"토적및재료집계";#N/A,#N/A,TRUE,"토적및재료집계";#N/A,#N/A,TRUE,"단위량"}</definedName>
    <definedName name="수3" hidden="1">{#N/A,#N/A,TRUE,"토적및재료집계";#N/A,#N/A,TRUE,"토적및재료집계";#N/A,#N/A,TRUE,"단위량"}</definedName>
    <definedName name="신설" hidden="1">{#N/A,#N/A,FALSE,"명세표"}</definedName>
    <definedName name="ㅇㄹㄹ" hidden="1">'[32]N賃率-職'!$I$5:$I$30</definedName>
    <definedName name="ㅇㄹㅇㄹ" hidden="1">'[28]#REF'!$A$3:$H$292</definedName>
    <definedName name="ㅇㅁㄴㄹ" hidden="1">{#N/A,#N/A,TRUE,"토적및재료집계";#N/A,#N/A,TRUE,"토적및재료집계";#N/A,#N/A,TRUE,"단위량"}</definedName>
    <definedName name="ㅇㅇㄹ" hidden="1">{#N/A,#N/A,TRUE,"토적및재료집계";#N/A,#N/A,TRUE,"토적및재료집계";#N/A,#N/A,TRUE,"단위량"}</definedName>
    <definedName name="ㅇㅇㅇ" hidden="1">'[28]#REF'!$A$1:$A$292</definedName>
    <definedName name="ㅇㅇㅇㅇ" hidden="1">#REF!</definedName>
    <definedName name="양식" hidden="1">{#N/A,#N/A,FALSE,"전력간선"}</definedName>
    <definedName name="업무협력비" hidden="1">[33]합천내역!#REF!</definedName>
    <definedName name="에코" hidden="1">#REF!</definedName>
    <definedName name="완공3" hidden="1">#REF!</definedName>
    <definedName name="외주가공" hidden="1">[34]자재단가!#REF!</definedName>
    <definedName name="요율" hidden="1">#REF!</definedName>
    <definedName name="이" hidden="1">{#N/A,#N/A,FALSE,"명세표"}</definedName>
    <definedName name="이릉" hidden="1">#REF!</definedName>
    <definedName name="이법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종훈" hidden="1">[25]전기!$A$4:$A$163</definedName>
    <definedName name="일" hidden="1">#REF!</definedName>
    <definedName name="입력현황1" hidden="1">{#N/A,#N/A,FALSE,"DAOCM 2차 검토"}</definedName>
    <definedName name="ㅈ" hidden="1">{#N/A,#N/A,FALSE,"명세표"}</definedName>
    <definedName name="ㅈㅈㅈ" hidden="1">{#N/A,#N/A,TRUE,"토적및재료집계";#N/A,#N/A,TRUE,"토적및재료집계";#N/A,#N/A,TRUE,"단위량"}</definedName>
    <definedName name="ㅈㅈㅈㅈ" hidden="1">{#N/A,#N/A,FALSE,"명세표"}</definedName>
    <definedName name="자동" hidden="1">{#N/A,#N/A,FALSE,"전력간선"}</definedName>
    <definedName name="자미" hidden="1">{#N/A,#N/A,FALSE,"명세표"}</definedName>
    <definedName name="자재" hidden="1">#REF!</definedName>
    <definedName name="자재업" localSheetId="33" hidden="1">#REF!</definedName>
    <definedName name="자재업" hidden="1">#REF!</definedName>
    <definedName name="전기1" hidden="1">[35]갑지!#REF!</definedName>
    <definedName name="전기내역" hidden="1">{#N/A,#N/A,FALSE,"CCTV"}</definedName>
    <definedName name="전기마감" hidden="1">[35]갑지!#REF!</definedName>
    <definedName name="전체제조총괄표" hidden="1">{"'건축내역'!$A$1:$L$413"}</definedName>
    <definedName name="정근호" hidden="1">{#N/A,#N/A,TRUE,"토적및재료집계";#N/A,#N/A,TRUE,"토적및재료집계";#N/A,#N/A,TRUE,"단위량"}</definedName>
    <definedName name="정웅하" hidden="1">{"'광피스표'!$A$3:$N$54"}</definedName>
    <definedName name="정화조" hidden="1">{#N/A,#N/A,FALSE,"CCTV"}</definedName>
    <definedName name="제출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디에스" hidden="1">#REF!</definedName>
    <definedName name="지역본부" hidden="1">{#N/A,#N/A,FALSE,"DAOCM 2차 검토"}</definedName>
    <definedName name="직매54P" hidden="1">{#N/A,#N/A,TRUE,"토적및재료집계";#N/A,#N/A,TRUE,"토적및재료집계";#N/A,#N/A,TRUE,"단위량"}</definedName>
    <definedName name="직접" hidden="1">[36]B!#REF!</definedName>
    <definedName name="천연공사갑지" hidden="1">#REF!</definedName>
    <definedName name="총괄표" hidden="1">#REF!</definedName>
    <definedName name="총괄표2" hidden="1">{"'1~3월총괄표'!$E$13"}</definedName>
    <definedName name="총괄표3" hidden="1">{"'1~3월총괄표'!$E$13"}</definedName>
    <definedName name="총차갑지" hidden="1">#REF!</definedName>
    <definedName name="축별원가분리" hidden="1">{#N/A,#N/A,FALSE,"전력간선"}</definedName>
    <definedName name="출" hidden="1">[37]합천내역!#REF!</definedName>
    <definedName name="ㅋ" hidden="1">{#N/A,#N/A,TRUE,"토적및재료집계";#N/A,#N/A,TRUE,"토적및재료집계";#N/A,#N/A,TRUE,"단위량"}</definedName>
    <definedName name="ㅋㅁ" hidden="1">{#N/A,#N/A,FALSE,"명세표"}</definedName>
    <definedName name="ㅋㅋ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케이블간지" hidden="1">{#N/A,#N/A,TRUE,"토적및재료집계";#N/A,#N/A,TRUE,"토적및재료집계";#N/A,#N/A,TRUE,"단위량"}</definedName>
    <definedName name="콘크리트2" hidden="1">#REF!</definedName>
    <definedName name="ㅌㅇㄴㄴ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토" hidden="1">{#N/A,#N/A,TRUE,"토적및재료집계";#N/A,#N/A,TRUE,"토적및재료집계";#N/A,#N/A,TRUE,"단위량"}</definedName>
    <definedName name="토적집계1" hidden="1">{#N/A,#N/A,TRUE,"토적및재료집계";#N/A,#N/A,TRUE,"토적및재료집계";#N/A,#N/A,TRUE,"단위량"}</definedName>
    <definedName name="ㅍ" hidden="1">{#N/A,#N/A,FALSE,"명세표"}</definedName>
    <definedName name="표지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ㅎㄴ" hidden="1">'[30]N賃率-職'!$I$5:$I$30</definedName>
    <definedName name="하하하" hidden="1">{#N/A,#N/A,FALSE,"명세표"}</definedName>
    <definedName name="학교" hidden="1">{#N/A,#N/A,FALSE,"전력간선"}</definedName>
    <definedName name="현조" hidden="1">#REF!</definedName>
    <definedName name="호호호" hidden="1">{#N/A,#N/A,FALSE,"명세표"}</definedName>
    <definedName name="ㅏ1" hidden="1">#REF!</definedName>
    <definedName name="ㅏㅏㅏ" hidden="1">{#N/A,#N/A,FALSE,"명세표"}</definedName>
    <definedName name="ㅑㅕㅑ" hidden="1">{#N/A,#N/A,FALSE,"전력간선"}</definedName>
    <definedName name="ㅓㄹ" hidden="1">{#N/A,#N/A,TRUE,"일정"}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ㅓ" hidden="1">{#N/A,#N/A,FALSE,"전력간선"}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ㅔㅔ" hidden="1">{#N/A,#N/A,FALSE,"명세표"}</definedName>
    <definedName name="ㅔㅔㅔ" hidden="1">{#N/A,#N/A,TRUE,"토적및재료집계";#N/A,#N/A,TRUE,"토적및재료집계";#N/A,#N/A,TRUE,"단위량"}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ㅗ" hidden="1">{#N/A,#N/A,FALSE,"명세표"}</definedName>
    <definedName name="ㅛㅕㅑ" hidden="1">'[32]N賃率-職'!$I$5:$I$30</definedName>
    <definedName name="ㅛㅛㅛㅛ" hidden="1">[22]수량산출!$A$1:$A$8561</definedName>
    <definedName name="ㅜ" hidden="1">{#N/A,#N/A,FALSE,"명세표"}</definedName>
    <definedName name="ㅜㅜㅜㅜㅜㅜㅜㅜㅜㅜㅜㅜㅜㅜㅜㅜㅜㅜㅜㅜ">[7]연돌일위집계!#REF!</definedName>
    <definedName name="ㅠ" hidden="1">{#N/A,#N/A,TRUE,"토적및재료집계";#N/A,#N/A,TRUE,"토적및재료집계";#N/A,#N/A,TRUE,"단위량"}</definedName>
    <definedName name="ㅡㅡ" hidden="1">{#N/A,#N/A,FALSE,"명세표"}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41" i="61" l="1"/>
  <c r="Y42" i="61"/>
  <c r="Y43" i="61"/>
  <c r="Y44" i="61"/>
  <c r="Y45" i="61"/>
  <c r="Y46" i="61"/>
  <c r="Y47" i="61"/>
  <c r="Y48" i="61"/>
  <c r="Y49" i="61"/>
  <c r="Y50" i="61"/>
  <c r="Y51" i="61"/>
  <c r="W45" i="61"/>
  <c r="V45" i="61"/>
  <c r="U45" i="61"/>
  <c r="U52" i="61" s="1"/>
  <c r="T45" i="61"/>
  <c r="T52" i="61" s="1"/>
  <c r="S45" i="61"/>
  <c r="S52" i="61" s="1"/>
  <c r="R45" i="61"/>
  <c r="Q45" i="61"/>
  <c r="P45" i="61"/>
  <c r="O45" i="61"/>
  <c r="O52" i="61" s="1"/>
  <c r="N45" i="61"/>
  <c r="N52" i="61" s="1"/>
  <c r="M45" i="61"/>
  <c r="M52" i="61" s="1"/>
  <c r="L45" i="61"/>
  <c r="K45" i="61"/>
  <c r="J45" i="61"/>
  <c r="I45" i="61"/>
  <c r="I52" i="61" s="1"/>
  <c r="H45" i="61"/>
  <c r="H52" i="61" s="1"/>
  <c r="G45" i="61"/>
  <c r="G52" i="61" s="1"/>
  <c r="F45" i="61"/>
  <c r="E45" i="61"/>
  <c r="D45" i="61"/>
  <c r="C45" i="61"/>
  <c r="C52" i="61" s="1"/>
  <c r="W45" i="60"/>
  <c r="V45" i="60"/>
  <c r="U45" i="60"/>
  <c r="U52" i="60" s="1"/>
  <c r="T45" i="60"/>
  <c r="S45" i="60"/>
  <c r="S52" i="60" s="1"/>
  <c r="R45" i="60"/>
  <c r="R52" i="60" s="1"/>
  <c r="Q45" i="60"/>
  <c r="P45" i="60"/>
  <c r="O45" i="60"/>
  <c r="O52" i="60" s="1"/>
  <c r="N45" i="60"/>
  <c r="M45" i="60"/>
  <c r="M52" i="60" s="1"/>
  <c r="L45" i="60"/>
  <c r="L52" i="60" s="1"/>
  <c r="K45" i="60"/>
  <c r="J45" i="60"/>
  <c r="I45" i="60"/>
  <c r="I52" i="60" s="1"/>
  <c r="H45" i="60"/>
  <c r="G45" i="60"/>
  <c r="G52" i="60" s="1"/>
  <c r="F45" i="60"/>
  <c r="F52" i="60" s="1"/>
  <c r="E45" i="60"/>
  <c r="D45" i="60"/>
  <c r="C45" i="60"/>
  <c r="C52" i="60" s="1"/>
  <c r="D45" i="59"/>
  <c r="E45" i="59"/>
  <c r="F45" i="59"/>
  <c r="G45" i="59"/>
  <c r="H45" i="59"/>
  <c r="I45" i="59"/>
  <c r="J45" i="59"/>
  <c r="K45" i="59"/>
  <c r="L45" i="59"/>
  <c r="M45" i="59"/>
  <c r="N45" i="59"/>
  <c r="O45" i="59"/>
  <c r="P45" i="59"/>
  <c r="Q45" i="59"/>
  <c r="R45" i="59"/>
  <c r="S45" i="59"/>
  <c r="T45" i="59"/>
  <c r="T52" i="59" s="1"/>
  <c r="U45" i="59"/>
  <c r="U52" i="59" s="1"/>
  <c r="V45" i="59"/>
  <c r="W45" i="59"/>
  <c r="C45" i="59"/>
  <c r="W52" i="61"/>
  <c r="V52" i="61"/>
  <c r="R52" i="61"/>
  <c r="Q52" i="61"/>
  <c r="P52" i="61"/>
  <c r="L52" i="61"/>
  <c r="K52" i="61"/>
  <c r="J52" i="61"/>
  <c r="F52" i="61"/>
  <c r="E52" i="61"/>
  <c r="D52" i="61"/>
  <c r="W52" i="60"/>
  <c r="V52" i="60"/>
  <c r="T52" i="60"/>
  <c r="Q52" i="60"/>
  <c r="P52" i="60"/>
  <c r="N52" i="60"/>
  <c r="K52" i="60"/>
  <c r="J52" i="60"/>
  <c r="H52" i="60"/>
  <c r="E52" i="60"/>
  <c r="D52" i="60"/>
  <c r="W52" i="59"/>
  <c r="V52" i="59"/>
  <c r="S52" i="59"/>
  <c r="R52" i="59"/>
  <c r="Q52" i="59"/>
  <c r="P52" i="59"/>
  <c r="O52" i="59"/>
  <c r="N52" i="59"/>
  <c r="M52" i="59"/>
  <c r="L52" i="59"/>
  <c r="K52" i="59"/>
  <c r="J52" i="59"/>
  <c r="I52" i="59"/>
  <c r="H52" i="59"/>
  <c r="G52" i="59"/>
  <c r="F52" i="59"/>
  <c r="E52" i="59"/>
  <c r="D52" i="59"/>
  <c r="C52" i="59"/>
  <c r="D52" i="58"/>
  <c r="E52" i="58"/>
  <c r="F52" i="58"/>
  <c r="G52" i="58"/>
  <c r="H52" i="58"/>
  <c r="I52" i="58"/>
  <c r="J52" i="58"/>
  <c r="K52" i="58"/>
  <c r="L52" i="58"/>
  <c r="M52" i="58"/>
  <c r="N52" i="58"/>
  <c r="Y52" i="58" s="1"/>
  <c r="O52" i="58"/>
  <c r="P52" i="58"/>
  <c r="Q52" i="58"/>
  <c r="R52" i="58"/>
  <c r="S52" i="58"/>
  <c r="T52" i="58"/>
  <c r="U52" i="58"/>
  <c r="V52" i="58"/>
  <c r="W52" i="58"/>
  <c r="C52" i="58"/>
  <c r="Y52" i="57"/>
  <c r="Y53" i="57"/>
  <c r="Y53" i="59"/>
  <c r="Y53" i="60"/>
  <c r="Y53" i="61"/>
  <c r="Y53" i="58"/>
  <c r="W17" i="61"/>
  <c r="V17" i="61"/>
  <c r="U17" i="61"/>
  <c r="T17" i="61"/>
  <c r="S17" i="61"/>
  <c r="R17" i="61"/>
  <c r="Q17" i="61"/>
  <c r="O17" i="61"/>
  <c r="N17" i="61"/>
  <c r="M18" i="61"/>
  <c r="M17" i="61"/>
  <c r="K17" i="61"/>
  <c r="J17" i="61"/>
  <c r="I17" i="61"/>
  <c r="H17" i="61"/>
  <c r="G17" i="61"/>
  <c r="F17" i="61"/>
  <c r="E17" i="61"/>
  <c r="D17" i="61"/>
  <c r="D44" i="61" s="1"/>
  <c r="C17" i="61"/>
  <c r="E44" i="61"/>
  <c r="F44" i="61"/>
  <c r="G44" i="61"/>
  <c r="H44" i="61"/>
  <c r="I44" i="61"/>
  <c r="J44" i="61"/>
  <c r="K44" i="61"/>
  <c r="M44" i="61"/>
  <c r="N44" i="61"/>
  <c r="O44" i="61"/>
  <c r="Q44" i="61"/>
  <c r="R44" i="61"/>
  <c r="S44" i="61"/>
  <c r="T44" i="61"/>
  <c r="U44" i="61"/>
  <c r="V44" i="61"/>
  <c r="W44" i="61"/>
  <c r="C44" i="61"/>
  <c r="W17" i="60"/>
  <c r="V17" i="60"/>
  <c r="V44" i="60" s="1"/>
  <c r="U17" i="60"/>
  <c r="T17" i="60"/>
  <c r="S17" i="60"/>
  <c r="S44" i="60" s="1"/>
  <c r="R17" i="60"/>
  <c r="Q17" i="60"/>
  <c r="O17" i="60"/>
  <c r="N17" i="60"/>
  <c r="M17" i="60"/>
  <c r="K17" i="60"/>
  <c r="J17" i="60"/>
  <c r="J44" i="60" s="1"/>
  <c r="I17" i="60"/>
  <c r="H17" i="60"/>
  <c r="G17" i="60"/>
  <c r="F17" i="60"/>
  <c r="F44" i="60" s="1"/>
  <c r="E17" i="60"/>
  <c r="D17" i="60"/>
  <c r="C17" i="60"/>
  <c r="D44" i="60"/>
  <c r="E44" i="60"/>
  <c r="G44" i="60"/>
  <c r="H44" i="60"/>
  <c r="I44" i="60"/>
  <c r="K44" i="60"/>
  <c r="M44" i="60"/>
  <c r="N44" i="60"/>
  <c r="O44" i="60"/>
  <c r="Q44" i="60"/>
  <c r="R44" i="60"/>
  <c r="T44" i="60"/>
  <c r="U44" i="60"/>
  <c r="W44" i="60"/>
  <c r="C44" i="60"/>
  <c r="E44" i="59"/>
  <c r="F44" i="59"/>
  <c r="G44" i="59"/>
  <c r="H44" i="59"/>
  <c r="I44" i="59"/>
  <c r="J44" i="59"/>
  <c r="K44" i="59"/>
  <c r="M44" i="59"/>
  <c r="N44" i="59"/>
  <c r="O44" i="59"/>
  <c r="Q44" i="59"/>
  <c r="R44" i="59"/>
  <c r="S44" i="59"/>
  <c r="T44" i="59"/>
  <c r="U44" i="59"/>
  <c r="V44" i="59"/>
  <c r="W44" i="59"/>
  <c r="D44" i="59"/>
  <c r="C44" i="59"/>
  <c r="W17" i="59"/>
  <c r="V17" i="59"/>
  <c r="U17" i="59"/>
  <c r="T17" i="59"/>
  <c r="S17" i="59"/>
  <c r="R17" i="59"/>
  <c r="Q17" i="59"/>
  <c r="O17" i="59"/>
  <c r="N17" i="59"/>
  <c r="M17" i="59"/>
  <c r="K17" i="59"/>
  <c r="J17" i="59"/>
  <c r="I17" i="59"/>
  <c r="H17" i="59"/>
  <c r="G17" i="59"/>
  <c r="F17" i="59"/>
  <c r="E17" i="59"/>
  <c r="D17" i="59"/>
  <c r="C17" i="59"/>
  <c r="O53" i="58"/>
  <c r="D25" i="14"/>
  <c r="E18" i="9"/>
  <c r="R65" i="73"/>
  <c r="S65" i="73"/>
  <c r="T65" i="73"/>
  <c r="U65" i="73"/>
  <c r="V65" i="73"/>
  <c r="W65" i="73"/>
  <c r="Q65" i="73"/>
  <c r="N65" i="73"/>
  <c r="O65" i="73"/>
  <c r="M65" i="73"/>
  <c r="G65" i="73"/>
  <c r="H65" i="73"/>
  <c r="I65" i="73"/>
  <c r="J65" i="73"/>
  <c r="K65" i="73"/>
  <c r="F65" i="73"/>
  <c r="K6" i="57"/>
  <c r="J6" i="57"/>
  <c r="E6" i="57"/>
  <c r="C5" i="57"/>
  <c r="W12" i="57"/>
  <c r="V12" i="57"/>
  <c r="S12" i="57"/>
  <c r="R12" i="57"/>
  <c r="N12" i="57"/>
  <c r="M12" i="57"/>
  <c r="I12" i="57"/>
  <c r="H12" i="57"/>
  <c r="G12" i="57"/>
  <c r="F12" i="57"/>
  <c r="E12" i="57"/>
  <c r="C12" i="57"/>
  <c r="C8" i="57"/>
  <c r="D8" i="57"/>
  <c r="E8" i="57"/>
  <c r="F8" i="57"/>
  <c r="G8" i="57"/>
  <c r="H8" i="57"/>
  <c r="I8" i="57"/>
  <c r="J8" i="57"/>
  <c r="K8" i="57"/>
  <c r="M8" i="57"/>
  <c r="O8" i="57"/>
  <c r="Q8" i="57"/>
  <c r="R8" i="57"/>
  <c r="S8" i="57"/>
  <c r="T8" i="57"/>
  <c r="U8" i="57"/>
  <c r="I7" i="57"/>
  <c r="F7" i="57"/>
  <c r="E7" i="57"/>
  <c r="C7" i="57"/>
  <c r="C6" i="57"/>
  <c r="D6" i="57"/>
  <c r="E5" i="57"/>
  <c r="N4" i="57"/>
  <c r="H4" i="57"/>
  <c r="G4" i="57"/>
  <c r="E4" i="57"/>
  <c r="C4" i="57"/>
  <c r="Y52" i="61" l="1"/>
  <c r="Y52" i="60"/>
  <c r="Y52" i="59"/>
  <c r="C31" i="59" l="1"/>
  <c r="E31" i="59"/>
  <c r="Y39" i="59"/>
  <c r="W39" i="59"/>
  <c r="V39" i="59"/>
  <c r="U39" i="59"/>
  <c r="T39" i="59"/>
  <c r="S39" i="59"/>
  <c r="R39" i="59"/>
  <c r="Q39" i="59"/>
  <c r="O39" i="59"/>
  <c r="N39" i="59"/>
  <c r="M39" i="59"/>
  <c r="K39" i="59"/>
  <c r="J39" i="59"/>
  <c r="I39" i="59"/>
  <c r="H39" i="59"/>
  <c r="G39" i="59"/>
  <c r="F39" i="59"/>
  <c r="E39" i="59"/>
  <c r="D39" i="59"/>
  <c r="C39" i="59"/>
  <c r="W37" i="59"/>
  <c r="V37" i="59"/>
  <c r="U37" i="59"/>
  <c r="T37" i="59"/>
  <c r="S37" i="59"/>
  <c r="R37" i="59"/>
  <c r="Q37" i="59"/>
  <c r="O37" i="59"/>
  <c r="N37" i="59"/>
  <c r="M37" i="59"/>
  <c r="K37" i="59"/>
  <c r="J37" i="59"/>
  <c r="I37" i="59"/>
  <c r="H37" i="59"/>
  <c r="G37" i="59"/>
  <c r="F37" i="59"/>
  <c r="E37" i="59"/>
  <c r="D37" i="59"/>
  <c r="Y37" i="59" s="1"/>
  <c r="C37" i="59"/>
  <c r="W36" i="59"/>
  <c r="V36" i="59"/>
  <c r="U36" i="59"/>
  <c r="T36" i="59"/>
  <c r="S36" i="59"/>
  <c r="R36" i="59"/>
  <c r="Q36" i="59"/>
  <c r="O36" i="59"/>
  <c r="N36" i="59"/>
  <c r="M36" i="59"/>
  <c r="K36" i="59"/>
  <c r="J36" i="59"/>
  <c r="I36" i="59"/>
  <c r="H36" i="59"/>
  <c r="G36" i="59"/>
  <c r="F36" i="59"/>
  <c r="E36" i="59"/>
  <c r="D36" i="59"/>
  <c r="C36" i="59"/>
  <c r="Y36" i="59" s="1"/>
  <c r="W35" i="59"/>
  <c r="V35" i="59"/>
  <c r="U35" i="59"/>
  <c r="T35" i="59"/>
  <c r="S35" i="59"/>
  <c r="R35" i="59"/>
  <c r="Q35" i="59"/>
  <c r="O35" i="59"/>
  <c r="N35" i="59"/>
  <c r="M35" i="59"/>
  <c r="K35" i="59"/>
  <c r="J35" i="59"/>
  <c r="I35" i="59"/>
  <c r="H35" i="59"/>
  <c r="G35" i="59"/>
  <c r="F35" i="59"/>
  <c r="E35" i="59"/>
  <c r="D35" i="59"/>
  <c r="Y35" i="59" s="1"/>
  <c r="C35" i="59"/>
  <c r="W34" i="59"/>
  <c r="V34" i="59"/>
  <c r="U34" i="59"/>
  <c r="T34" i="59"/>
  <c r="S34" i="59"/>
  <c r="R34" i="59"/>
  <c r="Q34" i="59"/>
  <c r="O34" i="59"/>
  <c r="N34" i="59"/>
  <c r="M34" i="59"/>
  <c r="K34" i="59"/>
  <c r="J34" i="59"/>
  <c r="I34" i="59"/>
  <c r="H34" i="59"/>
  <c r="G34" i="59"/>
  <c r="F34" i="59"/>
  <c r="E34" i="59"/>
  <c r="D34" i="59"/>
  <c r="Y34" i="59" s="1"/>
  <c r="C34" i="59"/>
  <c r="Y33" i="59"/>
  <c r="W33" i="59"/>
  <c r="V33" i="59"/>
  <c r="U33" i="59"/>
  <c r="T33" i="59"/>
  <c r="S33" i="59"/>
  <c r="R33" i="59"/>
  <c r="Q33" i="59"/>
  <c r="O33" i="59"/>
  <c r="N33" i="59"/>
  <c r="M33" i="59"/>
  <c r="K33" i="59"/>
  <c r="J33" i="59"/>
  <c r="I33" i="59"/>
  <c r="H33" i="59"/>
  <c r="G33" i="59"/>
  <c r="F33" i="59"/>
  <c r="E33" i="59"/>
  <c r="D33" i="59"/>
  <c r="C33" i="59"/>
  <c r="W32" i="59"/>
  <c r="V32" i="59"/>
  <c r="U32" i="59"/>
  <c r="T32" i="59"/>
  <c r="S32" i="59"/>
  <c r="R32" i="59"/>
  <c r="Q32" i="59"/>
  <c r="O32" i="59"/>
  <c r="N32" i="59"/>
  <c r="M32" i="59"/>
  <c r="K32" i="59"/>
  <c r="J32" i="59"/>
  <c r="I32" i="59"/>
  <c r="H32" i="59"/>
  <c r="G32" i="59"/>
  <c r="F32" i="59"/>
  <c r="E32" i="59"/>
  <c r="D32" i="59"/>
  <c r="Y32" i="59" s="1"/>
  <c r="C32" i="59"/>
  <c r="V31" i="59"/>
  <c r="U31" i="59"/>
  <c r="T31" i="59"/>
  <c r="S31" i="59"/>
  <c r="R31" i="59"/>
  <c r="Q31" i="59"/>
  <c r="O31" i="59"/>
  <c r="N31" i="59"/>
  <c r="M31" i="59"/>
  <c r="K31" i="59"/>
  <c r="J31" i="59"/>
  <c r="I31" i="59"/>
  <c r="H31" i="59"/>
  <c r="G31" i="59"/>
  <c r="F31" i="59"/>
  <c r="D31" i="59"/>
  <c r="C53" i="59"/>
  <c r="D53" i="59"/>
  <c r="E53" i="59"/>
  <c r="C54" i="59"/>
  <c r="D54" i="59"/>
  <c r="E54" i="59"/>
  <c r="F54" i="59"/>
  <c r="G54" i="59"/>
  <c r="H54" i="59"/>
  <c r="I54" i="59"/>
  <c r="J54" i="59"/>
  <c r="K54" i="59"/>
  <c r="M54" i="59"/>
  <c r="N54" i="59"/>
  <c r="O54" i="59"/>
  <c r="Q54" i="59"/>
  <c r="R54" i="59"/>
  <c r="S54" i="59"/>
  <c r="T54" i="59"/>
  <c r="U54" i="59"/>
  <c r="V54" i="59"/>
  <c r="W54" i="59"/>
  <c r="C55" i="59"/>
  <c r="D55" i="59"/>
  <c r="E55" i="59"/>
  <c r="F55" i="59"/>
  <c r="G55" i="59"/>
  <c r="H55" i="59"/>
  <c r="I55" i="59"/>
  <c r="J55" i="59"/>
  <c r="K55" i="59"/>
  <c r="M55" i="59"/>
  <c r="N55" i="59"/>
  <c r="O55" i="59"/>
  <c r="Q55" i="59"/>
  <c r="R55" i="59"/>
  <c r="S55" i="59"/>
  <c r="T55" i="59"/>
  <c r="U55" i="59"/>
  <c r="V55" i="59"/>
  <c r="W55" i="59"/>
  <c r="C56" i="59"/>
  <c r="D56" i="59"/>
  <c r="E56" i="59"/>
  <c r="F56" i="59"/>
  <c r="G56" i="59"/>
  <c r="H56" i="59"/>
  <c r="I56" i="59"/>
  <c r="J56" i="59"/>
  <c r="K56" i="59"/>
  <c r="M56" i="59"/>
  <c r="N56" i="59"/>
  <c r="O56" i="59"/>
  <c r="Q56" i="59"/>
  <c r="R56" i="59"/>
  <c r="S56" i="59"/>
  <c r="T56" i="59"/>
  <c r="U56" i="59"/>
  <c r="V56" i="59"/>
  <c r="W56" i="59"/>
  <c r="C53" i="60"/>
  <c r="D53" i="60"/>
  <c r="E53" i="60"/>
  <c r="C54" i="60"/>
  <c r="D54" i="60"/>
  <c r="E54" i="60"/>
  <c r="F54" i="60"/>
  <c r="G54" i="60"/>
  <c r="H54" i="60"/>
  <c r="I54" i="60"/>
  <c r="J54" i="60"/>
  <c r="K54" i="60"/>
  <c r="M54" i="60"/>
  <c r="N54" i="60"/>
  <c r="O54" i="60"/>
  <c r="Q54" i="60"/>
  <c r="R54" i="60"/>
  <c r="S54" i="60"/>
  <c r="T54" i="60"/>
  <c r="U54" i="60"/>
  <c r="V54" i="60"/>
  <c r="W54" i="60"/>
  <c r="C55" i="60"/>
  <c r="D55" i="60"/>
  <c r="E55" i="60"/>
  <c r="F55" i="60"/>
  <c r="G55" i="60"/>
  <c r="H55" i="60"/>
  <c r="I55" i="60"/>
  <c r="J55" i="60"/>
  <c r="K55" i="60"/>
  <c r="M55" i="60"/>
  <c r="N55" i="60"/>
  <c r="O55" i="60"/>
  <c r="Q55" i="60"/>
  <c r="R55" i="60"/>
  <c r="S55" i="60"/>
  <c r="T55" i="60"/>
  <c r="U55" i="60"/>
  <c r="V55" i="60"/>
  <c r="W55" i="60"/>
  <c r="C56" i="60"/>
  <c r="D56" i="60"/>
  <c r="E56" i="60"/>
  <c r="F56" i="60"/>
  <c r="G56" i="60"/>
  <c r="H56" i="60"/>
  <c r="I56" i="60"/>
  <c r="J56" i="60"/>
  <c r="K56" i="60"/>
  <c r="M56" i="60"/>
  <c r="N56" i="60"/>
  <c r="O56" i="60"/>
  <c r="Q56" i="60"/>
  <c r="R56" i="60"/>
  <c r="S56" i="60"/>
  <c r="T56" i="60"/>
  <c r="U56" i="60"/>
  <c r="V56" i="60"/>
  <c r="W56" i="60"/>
  <c r="C53" i="61"/>
  <c r="D53" i="61"/>
  <c r="E53" i="61"/>
  <c r="C54" i="61"/>
  <c r="D54" i="61"/>
  <c r="E54" i="61"/>
  <c r="F54" i="61"/>
  <c r="G54" i="61"/>
  <c r="H54" i="61"/>
  <c r="I54" i="61"/>
  <c r="J54" i="61"/>
  <c r="K54" i="61"/>
  <c r="M54" i="61"/>
  <c r="N54" i="61"/>
  <c r="O54" i="61"/>
  <c r="Q54" i="61"/>
  <c r="R54" i="61"/>
  <c r="S54" i="61"/>
  <c r="T54" i="61"/>
  <c r="U54" i="61"/>
  <c r="V54" i="61"/>
  <c r="W54" i="61"/>
  <c r="C55" i="61"/>
  <c r="D55" i="61"/>
  <c r="E55" i="61"/>
  <c r="F55" i="61"/>
  <c r="G55" i="61"/>
  <c r="H55" i="61"/>
  <c r="I55" i="61"/>
  <c r="J55" i="61"/>
  <c r="K55" i="61"/>
  <c r="M55" i="61"/>
  <c r="N55" i="61"/>
  <c r="O55" i="61"/>
  <c r="Q55" i="61"/>
  <c r="R55" i="61"/>
  <c r="S55" i="61"/>
  <c r="T55" i="61"/>
  <c r="U55" i="61"/>
  <c r="V55" i="61"/>
  <c r="W55" i="61"/>
  <c r="C56" i="61"/>
  <c r="D56" i="61"/>
  <c r="E56" i="61"/>
  <c r="F56" i="61"/>
  <c r="G56" i="61"/>
  <c r="H56" i="61"/>
  <c r="I56" i="61"/>
  <c r="J56" i="61"/>
  <c r="K56" i="61"/>
  <c r="M56" i="61"/>
  <c r="N56" i="61"/>
  <c r="O56" i="61"/>
  <c r="Q56" i="61"/>
  <c r="R56" i="61"/>
  <c r="S56" i="61"/>
  <c r="T56" i="61"/>
  <c r="U56" i="61"/>
  <c r="V56" i="61"/>
  <c r="W56" i="61"/>
  <c r="C52" i="62"/>
  <c r="D52" i="62"/>
  <c r="E52" i="62"/>
  <c r="F52" i="62"/>
  <c r="G52" i="62"/>
  <c r="H52" i="62"/>
  <c r="I52" i="62"/>
  <c r="J52" i="62"/>
  <c r="K52" i="62"/>
  <c r="L52" i="62"/>
  <c r="M52" i="62"/>
  <c r="N52" i="62"/>
  <c r="O52" i="62"/>
  <c r="P52" i="62"/>
  <c r="Q52" i="62"/>
  <c r="R52" i="62"/>
  <c r="S52" i="62"/>
  <c r="T52" i="62"/>
  <c r="U52" i="62"/>
  <c r="V52" i="62"/>
  <c r="W52" i="62"/>
  <c r="C53" i="62"/>
  <c r="D53" i="62"/>
  <c r="E53" i="62"/>
  <c r="C54" i="62"/>
  <c r="D54" i="62"/>
  <c r="E54" i="62"/>
  <c r="F54" i="62"/>
  <c r="G54" i="62"/>
  <c r="H54" i="62"/>
  <c r="I54" i="62"/>
  <c r="J54" i="62"/>
  <c r="K54" i="62"/>
  <c r="L54" i="62"/>
  <c r="M54" i="62"/>
  <c r="N54" i="62"/>
  <c r="O54" i="62"/>
  <c r="P54" i="62"/>
  <c r="Q54" i="62"/>
  <c r="R54" i="62"/>
  <c r="S54" i="62"/>
  <c r="T54" i="62"/>
  <c r="U54" i="62"/>
  <c r="V54" i="62"/>
  <c r="W54" i="62"/>
  <c r="C55" i="62"/>
  <c r="D55" i="62"/>
  <c r="E55" i="62"/>
  <c r="F55" i="62"/>
  <c r="G55" i="62"/>
  <c r="H55" i="62"/>
  <c r="I55" i="62"/>
  <c r="J55" i="62"/>
  <c r="K55" i="62"/>
  <c r="L55" i="62"/>
  <c r="M55" i="62"/>
  <c r="N55" i="62"/>
  <c r="O55" i="62"/>
  <c r="P55" i="62"/>
  <c r="Q55" i="62"/>
  <c r="R55" i="62"/>
  <c r="S55" i="62"/>
  <c r="T55" i="62"/>
  <c r="U55" i="62"/>
  <c r="V55" i="62"/>
  <c r="W55" i="62"/>
  <c r="C56" i="62"/>
  <c r="D56" i="62"/>
  <c r="E56" i="62"/>
  <c r="F56" i="62"/>
  <c r="G56" i="62"/>
  <c r="H56" i="62"/>
  <c r="I56" i="62"/>
  <c r="J56" i="62"/>
  <c r="K56" i="62"/>
  <c r="L56" i="62"/>
  <c r="M56" i="62"/>
  <c r="N56" i="62"/>
  <c r="O56" i="62"/>
  <c r="P56" i="62"/>
  <c r="Q56" i="62"/>
  <c r="R56" i="62"/>
  <c r="S56" i="62"/>
  <c r="T56" i="62"/>
  <c r="U56" i="62"/>
  <c r="V56" i="62"/>
  <c r="W56" i="62"/>
  <c r="C52" i="63"/>
  <c r="D52" i="63"/>
  <c r="E52" i="63"/>
  <c r="F52" i="63"/>
  <c r="G52" i="63"/>
  <c r="H52" i="63"/>
  <c r="I52" i="63"/>
  <c r="J52" i="63"/>
  <c r="K52" i="63"/>
  <c r="L52" i="63"/>
  <c r="M52" i="63"/>
  <c r="N52" i="63"/>
  <c r="O52" i="63"/>
  <c r="P52" i="63"/>
  <c r="Q52" i="63"/>
  <c r="R52" i="63"/>
  <c r="S52" i="63"/>
  <c r="T52" i="63"/>
  <c r="U52" i="63"/>
  <c r="V52" i="63"/>
  <c r="W52" i="63"/>
  <c r="C53" i="63"/>
  <c r="D53" i="63"/>
  <c r="E53" i="63"/>
  <c r="C54" i="63"/>
  <c r="D54" i="63"/>
  <c r="E54" i="63"/>
  <c r="F54" i="63"/>
  <c r="G54" i="63"/>
  <c r="H54" i="63"/>
  <c r="I54" i="63"/>
  <c r="J54" i="63"/>
  <c r="K54" i="63"/>
  <c r="L54" i="63"/>
  <c r="M54" i="63"/>
  <c r="N54" i="63"/>
  <c r="O54" i="63"/>
  <c r="P54" i="63"/>
  <c r="Q54" i="63"/>
  <c r="R54" i="63"/>
  <c r="S54" i="63"/>
  <c r="T54" i="63"/>
  <c r="U54" i="63"/>
  <c r="V54" i="63"/>
  <c r="W54" i="63"/>
  <c r="C55" i="63"/>
  <c r="D55" i="63"/>
  <c r="E55" i="63"/>
  <c r="F55" i="63"/>
  <c r="G55" i="63"/>
  <c r="H55" i="63"/>
  <c r="I55" i="63"/>
  <c r="J55" i="63"/>
  <c r="K55" i="63"/>
  <c r="L55" i="63"/>
  <c r="M55" i="63"/>
  <c r="N55" i="63"/>
  <c r="O55" i="63"/>
  <c r="P55" i="63"/>
  <c r="Q55" i="63"/>
  <c r="R55" i="63"/>
  <c r="S55" i="63"/>
  <c r="T55" i="63"/>
  <c r="U55" i="63"/>
  <c r="V55" i="63"/>
  <c r="W55" i="63"/>
  <c r="C56" i="63"/>
  <c r="D56" i="63"/>
  <c r="E56" i="63"/>
  <c r="F56" i="63"/>
  <c r="G56" i="63"/>
  <c r="H56" i="63"/>
  <c r="I56" i="63"/>
  <c r="J56" i="63"/>
  <c r="K56" i="63"/>
  <c r="L56" i="63"/>
  <c r="M56" i="63"/>
  <c r="N56" i="63"/>
  <c r="O56" i="63"/>
  <c r="P56" i="63"/>
  <c r="Q56" i="63"/>
  <c r="R56" i="63"/>
  <c r="S56" i="63"/>
  <c r="T56" i="63"/>
  <c r="U56" i="63"/>
  <c r="V56" i="63"/>
  <c r="W56" i="63"/>
  <c r="C52" i="64"/>
  <c r="D52" i="64"/>
  <c r="E52" i="64"/>
  <c r="F52" i="64"/>
  <c r="G52" i="64"/>
  <c r="H52" i="64"/>
  <c r="I52" i="64"/>
  <c r="J52" i="64"/>
  <c r="K52" i="64"/>
  <c r="L52" i="64"/>
  <c r="M52" i="64"/>
  <c r="N52" i="64"/>
  <c r="O52" i="64"/>
  <c r="P52" i="64"/>
  <c r="Q52" i="64"/>
  <c r="R52" i="64"/>
  <c r="S52" i="64"/>
  <c r="T52" i="64"/>
  <c r="U52" i="64"/>
  <c r="V52" i="64"/>
  <c r="W52" i="64"/>
  <c r="C53" i="64"/>
  <c r="D53" i="64"/>
  <c r="E53" i="64"/>
  <c r="C54" i="64"/>
  <c r="D54" i="64"/>
  <c r="E54" i="64"/>
  <c r="F54" i="64"/>
  <c r="G54" i="64"/>
  <c r="H54" i="64"/>
  <c r="I54" i="64"/>
  <c r="J54" i="64"/>
  <c r="K54" i="64"/>
  <c r="L54" i="64"/>
  <c r="M54" i="64"/>
  <c r="N54" i="64"/>
  <c r="O54" i="64"/>
  <c r="P54" i="64"/>
  <c r="Q54" i="64"/>
  <c r="R54" i="64"/>
  <c r="S54" i="64"/>
  <c r="T54" i="64"/>
  <c r="U54" i="64"/>
  <c r="V54" i="64"/>
  <c r="W54" i="64"/>
  <c r="C55" i="64"/>
  <c r="D55" i="64"/>
  <c r="E55" i="64"/>
  <c r="F55" i="64"/>
  <c r="G55" i="64"/>
  <c r="H55" i="64"/>
  <c r="I55" i="64"/>
  <c r="J55" i="64"/>
  <c r="K55" i="64"/>
  <c r="L55" i="64"/>
  <c r="M55" i="64"/>
  <c r="N55" i="64"/>
  <c r="O55" i="64"/>
  <c r="P55" i="64"/>
  <c r="Q55" i="64"/>
  <c r="R55" i="64"/>
  <c r="S55" i="64"/>
  <c r="T55" i="64"/>
  <c r="U55" i="64"/>
  <c r="V55" i="64"/>
  <c r="W55" i="64"/>
  <c r="C56" i="64"/>
  <c r="D56" i="64"/>
  <c r="E56" i="64"/>
  <c r="F56" i="64"/>
  <c r="G56" i="64"/>
  <c r="H56" i="64"/>
  <c r="I56" i="64"/>
  <c r="J56" i="64"/>
  <c r="K56" i="64"/>
  <c r="L56" i="64"/>
  <c r="M56" i="64"/>
  <c r="N56" i="64"/>
  <c r="O56" i="64"/>
  <c r="P56" i="64"/>
  <c r="Q56" i="64"/>
  <c r="R56" i="64"/>
  <c r="S56" i="64"/>
  <c r="T56" i="64"/>
  <c r="U56" i="64"/>
  <c r="V56" i="64"/>
  <c r="W56" i="64"/>
  <c r="C52" i="70"/>
  <c r="D52" i="70"/>
  <c r="E52" i="70"/>
  <c r="F52" i="70"/>
  <c r="G52" i="70"/>
  <c r="H52" i="70"/>
  <c r="I52" i="70"/>
  <c r="J52" i="70"/>
  <c r="K52" i="70"/>
  <c r="L52" i="70"/>
  <c r="M52" i="70"/>
  <c r="N52" i="70"/>
  <c r="O52" i="70"/>
  <c r="P52" i="70"/>
  <c r="Q52" i="70"/>
  <c r="R52" i="70"/>
  <c r="S52" i="70"/>
  <c r="T52" i="70"/>
  <c r="U52" i="70"/>
  <c r="V52" i="70"/>
  <c r="W52" i="70"/>
  <c r="C53" i="70"/>
  <c r="D53" i="70"/>
  <c r="E53" i="70"/>
  <c r="C54" i="70"/>
  <c r="D54" i="70"/>
  <c r="E54" i="70"/>
  <c r="F54" i="70"/>
  <c r="G54" i="70"/>
  <c r="H54" i="70"/>
  <c r="I54" i="70"/>
  <c r="J54" i="70"/>
  <c r="K54" i="70"/>
  <c r="L54" i="70"/>
  <c r="M54" i="70"/>
  <c r="N54" i="70"/>
  <c r="O54" i="70"/>
  <c r="P54" i="70"/>
  <c r="Q54" i="70"/>
  <c r="R54" i="70"/>
  <c r="S54" i="70"/>
  <c r="T54" i="70"/>
  <c r="U54" i="70"/>
  <c r="V54" i="70"/>
  <c r="W54" i="70"/>
  <c r="C55" i="70"/>
  <c r="D55" i="70"/>
  <c r="E55" i="70"/>
  <c r="F55" i="70"/>
  <c r="G55" i="70"/>
  <c r="H55" i="70"/>
  <c r="I55" i="70"/>
  <c r="J55" i="70"/>
  <c r="K55" i="70"/>
  <c r="L55" i="70"/>
  <c r="M55" i="70"/>
  <c r="N55" i="70"/>
  <c r="O55" i="70"/>
  <c r="P55" i="70"/>
  <c r="Q55" i="70"/>
  <c r="R55" i="70"/>
  <c r="S55" i="70"/>
  <c r="T55" i="70"/>
  <c r="U55" i="70"/>
  <c r="V55" i="70"/>
  <c r="W55" i="70"/>
  <c r="C56" i="70"/>
  <c r="D56" i="70"/>
  <c r="E56" i="70"/>
  <c r="F56" i="70"/>
  <c r="G56" i="70"/>
  <c r="H56" i="70"/>
  <c r="I56" i="70"/>
  <c r="J56" i="70"/>
  <c r="K56" i="70"/>
  <c r="L56" i="70"/>
  <c r="M56" i="70"/>
  <c r="N56" i="70"/>
  <c r="O56" i="70"/>
  <c r="P56" i="70"/>
  <c r="Q56" i="70"/>
  <c r="R56" i="70"/>
  <c r="S56" i="70"/>
  <c r="T56" i="70"/>
  <c r="U56" i="70"/>
  <c r="V56" i="70"/>
  <c r="W56" i="70"/>
  <c r="C52" i="71"/>
  <c r="D52" i="71"/>
  <c r="E52" i="71"/>
  <c r="F52" i="71"/>
  <c r="G52" i="71"/>
  <c r="H52" i="71"/>
  <c r="I52" i="71"/>
  <c r="J52" i="71"/>
  <c r="K52" i="71"/>
  <c r="L52" i="71"/>
  <c r="M52" i="71"/>
  <c r="N52" i="71"/>
  <c r="O52" i="71"/>
  <c r="P52" i="71"/>
  <c r="Q52" i="71"/>
  <c r="R52" i="71"/>
  <c r="S52" i="71"/>
  <c r="T52" i="71"/>
  <c r="U52" i="71"/>
  <c r="V52" i="71"/>
  <c r="W52" i="71"/>
  <c r="C53" i="71"/>
  <c r="D53" i="71"/>
  <c r="E53" i="71"/>
  <c r="C54" i="71"/>
  <c r="D54" i="71"/>
  <c r="E54" i="71"/>
  <c r="F54" i="71"/>
  <c r="G54" i="71"/>
  <c r="H54" i="71"/>
  <c r="I54" i="71"/>
  <c r="J54" i="71"/>
  <c r="K54" i="71"/>
  <c r="L54" i="71"/>
  <c r="M54" i="71"/>
  <c r="N54" i="71"/>
  <c r="O54" i="71"/>
  <c r="P54" i="71"/>
  <c r="Q54" i="71"/>
  <c r="R54" i="71"/>
  <c r="S54" i="71"/>
  <c r="T54" i="71"/>
  <c r="U54" i="71"/>
  <c r="V54" i="71"/>
  <c r="W54" i="71"/>
  <c r="C55" i="71"/>
  <c r="D55" i="71"/>
  <c r="E55" i="71"/>
  <c r="F55" i="71"/>
  <c r="G55" i="71"/>
  <c r="H55" i="71"/>
  <c r="I55" i="71"/>
  <c r="J55" i="71"/>
  <c r="K55" i="71"/>
  <c r="L55" i="71"/>
  <c r="M55" i="71"/>
  <c r="N55" i="71"/>
  <c r="O55" i="71"/>
  <c r="P55" i="71"/>
  <c r="Q55" i="71"/>
  <c r="R55" i="71"/>
  <c r="S55" i="71"/>
  <c r="T55" i="71"/>
  <c r="U55" i="71"/>
  <c r="V55" i="71"/>
  <c r="W55" i="71"/>
  <c r="C56" i="71"/>
  <c r="D56" i="71"/>
  <c r="E56" i="71"/>
  <c r="F56" i="71"/>
  <c r="G56" i="71"/>
  <c r="H56" i="71"/>
  <c r="I56" i="71"/>
  <c r="J56" i="71"/>
  <c r="K56" i="71"/>
  <c r="L56" i="71"/>
  <c r="M56" i="71"/>
  <c r="N56" i="71"/>
  <c r="O56" i="71"/>
  <c r="P56" i="71"/>
  <c r="Q56" i="71"/>
  <c r="R56" i="71"/>
  <c r="S56" i="71"/>
  <c r="T56" i="71"/>
  <c r="U56" i="71"/>
  <c r="V56" i="71"/>
  <c r="W56" i="71"/>
  <c r="C53" i="58"/>
  <c r="D53" i="58"/>
  <c r="E53" i="58"/>
  <c r="C54" i="58"/>
  <c r="D54" i="58"/>
  <c r="E54" i="58"/>
  <c r="F54" i="58"/>
  <c r="G54" i="58"/>
  <c r="H54" i="58"/>
  <c r="I54" i="58"/>
  <c r="J54" i="58"/>
  <c r="K54" i="58"/>
  <c r="M54" i="58"/>
  <c r="N54" i="58"/>
  <c r="O54" i="58"/>
  <c r="Q54" i="58"/>
  <c r="R54" i="58"/>
  <c r="S54" i="58"/>
  <c r="T54" i="58"/>
  <c r="U54" i="58"/>
  <c r="V54" i="58"/>
  <c r="W54" i="58"/>
  <c r="C55" i="58"/>
  <c r="D55" i="58"/>
  <c r="E55" i="58"/>
  <c r="F55" i="58"/>
  <c r="G55" i="58"/>
  <c r="H55" i="58"/>
  <c r="I55" i="58"/>
  <c r="J55" i="58"/>
  <c r="K55" i="58"/>
  <c r="M55" i="58"/>
  <c r="N55" i="58"/>
  <c r="O55" i="58"/>
  <c r="Q55" i="58"/>
  <c r="R55" i="58"/>
  <c r="S55" i="58"/>
  <c r="T55" i="58"/>
  <c r="U55" i="58"/>
  <c r="V55" i="58"/>
  <c r="W55" i="58"/>
  <c r="C56" i="58"/>
  <c r="D56" i="58"/>
  <c r="E56" i="58"/>
  <c r="F56" i="58"/>
  <c r="G56" i="58"/>
  <c r="H56" i="58"/>
  <c r="I56" i="58"/>
  <c r="J56" i="58"/>
  <c r="K56" i="58"/>
  <c r="M56" i="58"/>
  <c r="N56" i="58"/>
  <c r="O56" i="58"/>
  <c r="Q56" i="58"/>
  <c r="R56" i="58"/>
  <c r="S56" i="58"/>
  <c r="T56" i="58"/>
  <c r="U56" i="58"/>
  <c r="V56" i="58"/>
  <c r="W56" i="58"/>
  <c r="C42" i="59"/>
  <c r="D42" i="59"/>
  <c r="E42" i="59"/>
  <c r="F42" i="59"/>
  <c r="G42" i="59"/>
  <c r="H42" i="59"/>
  <c r="I42" i="59"/>
  <c r="J42" i="59"/>
  <c r="K42" i="59"/>
  <c r="M42" i="59"/>
  <c r="N42" i="59"/>
  <c r="O42" i="59"/>
  <c r="Q42" i="59"/>
  <c r="R42" i="59"/>
  <c r="S42" i="59"/>
  <c r="T42" i="59"/>
  <c r="U42" i="59"/>
  <c r="V42" i="59"/>
  <c r="W42" i="59"/>
  <c r="C43" i="59"/>
  <c r="D43" i="59"/>
  <c r="E43" i="59"/>
  <c r="F43" i="59"/>
  <c r="G43" i="59"/>
  <c r="H43" i="59"/>
  <c r="I43" i="59"/>
  <c r="J43" i="59"/>
  <c r="K43" i="59"/>
  <c r="M43" i="59"/>
  <c r="N43" i="59"/>
  <c r="O43" i="59"/>
  <c r="Q43" i="59"/>
  <c r="R43" i="59"/>
  <c r="S43" i="59"/>
  <c r="T43" i="59"/>
  <c r="U43" i="59"/>
  <c r="V43" i="59"/>
  <c r="W43" i="59"/>
  <c r="C46" i="59"/>
  <c r="D46" i="59"/>
  <c r="E46" i="59"/>
  <c r="F46" i="59"/>
  <c r="G46" i="59"/>
  <c r="H46" i="59"/>
  <c r="I46" i="59"/>
  <c r="J46" i="59"/>
  <c r="K46" i="59"/>
  <c r="M46" i="59"/>
  <c r="N46" i="59"/>
  <c r="O46" i="59"/>
  <c r="Q46" i="59"/>
  <c r="R46" i="59"/>
  <c r="S46" i="59"/>
  <c r="T46" i="59"/>
  <c r="U46" i="59"/>
  <c r="V46" i="59"/>
  <c r="W46" i="59"/>
  <c r="C47" i="59"/>
  <c r="D47" i="59"/>
  <c r="E47" i="59"/>
  <c r="F47" i="59"/>
  <c r="G47" i="59"/>
  <c r="H47" i="59"/>
  <c r="I47" i="59"/>
  <c r="J47" i="59"/>
  <c r="K47" i="59"/>
  <c r="M47" i="59"/>
  <c r="N47" i="59"/>
  <c r="O47" i="59"/>
  <c r="Q47" i="59"/>
  <c r="R47" i="59"/>
  <c r="S47" i="59"/>
  <c r="T47" i="59"/>
  <c r="U47" i="59"/>
  <c r="V47" i="59"/>
  <c r="W47" i="59"/>
  <c r="C48" i="59"/>
  <c r="D48" i="59"/>
  <c r="E48" i="59"/>
  <c r="F48" i="59"/>
  <c r="G48" i="59"/>
  <c r="H48" i="59"/>
  <c r="I48" i="59"/>
  <c r="J48" i="59"/>
  <c r="K48" i="59"/>
  <c r="M48" i="59"/>
  <c r="N48" i="59"/>
  <c r="O48" i="59"/>
  <c r="Q48" i="59"/>
  <c r="R48" i="59"/>
  <c r="S48" i="59"/>
  <c r="T48" i="59"/>
  <c r="U48" i="59"/>
  <c r="V48" i="59"/>
  <c r="W48" i="59"/>
  <c r="C49" i="59"/>
  <c r="D49" i="59"/>
  <c r="E49" i="59"/>
  <c r="F49" i="59"/>
  <c r="G49" i="59"/>
  <c r="H49" i="59"/>
  <c r="I49" i="59"/>
  <c r="J49" i="59"/>
  <c r="K49" i="59"/>
  <c r="M49" i="59"/>
  <c r="N49" i="59"/>
  <c r="O49" i="59"/>
  <c r="Q49" i="59"/>
  <c r="R49" i="59"/>
  <c r="S49" i="59"/>
  <c r="T49" i="59"/>
  <c r="U49" i="59"/>
  <c r="V49" i="59"/>
  <c r="W49" i="59"/>
  <c r="C50" i="59"/>
  <c r="D50" i="59"/>
  <c r="E50" i="59"/>
  <c r="F50" i="59"/>
  <c r="G50" i="59"/>
  <c r="H50" i="59"/>
  <c r="I50" i="59"/>
  <c r="J50" i="59"/>
  <c r="K50" i="59"/>
  <c r="M50" i="59"/>
  <c r="N50" i="59"/>
  <c r="O50" i="59"/>
  <c r="Q50" i="59"/>
  <c r="R50" i="59"/>
  <c r="S50" i="59"/>
  <c r="T50" i="59"/>
  <c r="U50" i="59"/>
  <c r="V50" i="59"/>
  <c r="W50" i="59"/>
  <c r="C51" i="59"/>
  <c r="D51" i="59"/>
  <c r="E51" i="59"/>
  <c r="F51" i="59"/>
  <c r="G51" i="59"/>
  <c r="H51" i="59"/>
  <c r="I51" i="59"/>
  <c r="J51" i="59"/>
  <c r="K51" i="59"/>
  <c r="M51" i="59"/>
  <c r="N51" i="59"/>
  <c r="O51" i="59"/>
  <c r="Q51" i="59"/>
  <c r="R51" i="59"/>
  <c r="S51" i="59"/>
  <c r="T51" i="59"/>
  <c r="U51" i="59"/>
  <c r="V51" i="59"/>
  <c r="W51" i="59"/>
  <c r="C42" i="60"/>
  <c r="D42" i="60"/>
  <c r="E42" i="60"/>
  <c r="F42" i="60"/>
  <c r="G42" i="60"/>
  <c r="H42" i="60"/>
  <c r="I42" i="60"/>
  <c r="J42" i="60"/>
  <c r="K42" i="60"/>
  <c r="M42" i="60"/>
  <c r="N42" i="60"/>
  <c r="O42" i="60"/>
  <c r="Q42" i="60"/>
  <c r="R42" i="60"/>
  <c r="S42" i="60"/>
  <c r="T42" i="60"/>
  <c r="U42" i="60"/>
  <c r="V42" i="60"/>
  <c r="W42" i="60"/>
  <c r="C43" i="60"/>
  <c r="D43" i="60"/>
  <c r="E43" i="60"/>
  <c r="F43" i="60"/>
  <c r="G43" i="60"/>
  <c r="H43" i="60"/>
  <c r="I43" i="60"/>
  <c r="J43" i="60"/>
  <c r="K43" i="60"/>
  <c r="M43" i="60"/>
  <c r="N43" i="60"/>
  <c r="O43" i="60"/>
  <c r="Q43" i="60"/>
  <c r="R43" i="60"/>
  <c r="S43" i="60"/>
  <c r="T43" i="60"/>
  <c r="U43" i="60"/>
  <c r="V43" i="60"/>
  <c r="W43" i="60"/>
  <c r="C46" i="60"/>
  <c r="D46" i="60"/>
  <c r="E46" i="60"/>
  <c r="F46" i="60"/>
  <c r="G46" i="60"/>
  <c r="H46" i="60"/>
  <c r="I46" i="60"/>
  <c r="J46" i="60"/>
  <c r="K46" i="60"/>
  <c r="M46" i="60"/>
  <c r="N46" i="60"/>
  <c r="O46" i="60"/>
  <c r="Q46" i="60"/>
  <c r="R46" i="60"/>
  <c r="S46" i="60"/>
  <c r="T46" i="60"/>
  <c r="U46" i="60"/>
  <c r="V46" i="60"/>
  <c r="W46" i="60"/>
  <c r="C47" i="60"/>
  <c r="D47" i="60"/>
  <c r="E47" i="60"/>
  <c r="F47" i="60"/>
  <c r="G47" i="60"/>
  <c r="H47" i="60"/>
  <c r="I47" i="60"/>
  <c r="J47" i="60"/>
  <c r="K47" i="60"/>
  <c r="M47" i="60"/>
  <c r="N47" i="60"/>
  <c r="O47" i="60"/>
  <c r="Q47" i="60"/>
  <c r="R47" i="60"/>
  <c r="S47" i="60"/>
  <c r="T47" i="60"/>
  <c r="U47" i="60"/>
  <c r="V47" i="60"/>
  <c r="W47" i="60"/>
  <c r="C48" i="60"/>
  <c r="D48" i="60"/>
  <c r="E48" i="60"/>
  <c r="F48" i="60"/>
  <c r="G48" i="60"/>
  <c r="H48" i="60"/>
  <c r="I48" i="60"/>
  <c r="J48" i="60"/>
  <c r="K48" i="60"/>
  <c r="M48" i="60"/>
  <c r="N48" i="60"/>
  <c r="O48" i="60"/>
  <c r="Q48" i="60"/>
  <c r="R48" i="60"/>
  <c r="S48" i="60"/>
  <c r="T48" i="60"/>
  <c r="U48" i="60"/>
  <c r="V48" i="60"/>
  <c r="W48" i="60"/>
  <c r="C49" i="60"/>
  <c r="D49" i="60"/>
  <c r="E49" i="60"/>
  <c r="F49" i="60"/>
  <c r="G49" i="60"/>
  <c r="H49" i="60"/>
  <c r="I49" i="60"/>
  <c r="J49" i="60"/>
  <c r="K49" i="60"/>
  <c r="M49" i="60"/>
  <c r="N49" i="60"/>
  <c r="O49" i="60"/>
  <c r="Q49" i="60"/>
  <c r="R49" i="60"/>
  <c r="S49" i="60"/>
  <c r="T49" i="60"/>
  <c r="U49" i="60"/>
  <c r="V49" i="60"/>
  <c r="W49" i="60"/>
  <c r="C50" i="60"/>
  <c r="D50" i="60"/>
  <c r="E50" i="60"/>
  <c r="F50" i="60"/>
  <c r="G50" i="60"/>
  <c r="H50" i="60"/>
  <c r="I50" i="60"/>
  <c r="J50" i="60"/>
  <c r="K50" i="60"/>
  <c r="M50" i="60"/>
  <c r="N50" i="60"/>
  <c r="O50" i="60"/>
  <c r="Q50" i="60"/>
  <c r="R50" i="60"/>
  <c r="S50" i="60"/>
  <c r="T50" i="60"/>
  <c r="U50" i="60"/>
  <c r="V50" i="60"/>
  <c r="W50" i="60"/>
  <c r="C51" i="60"/>
  <c r="D51" i="60"/>
  <c r="E51" i="60"/>
  <c r="F51" i="60"/>
  <c r="G51" i="60"/>
  <c r="H51" i="60"/>
  <c r="I51" i="60"/>
  <c r="J51" i="60"/>
  <c r="K51" i="60"/>
  <c r="M51" i="60"/>
  <c r="N51" i="60"/>
  <c r="O51" i="60"/>
  <c r="Q51" i="60"/>
  <c r="R51" i="60"/>
  <c r="S51" i="60"/>
  <c r="T51" i="60"/>
  <c r="U51" i="60"/>
  <c r="V51" i="60"/>
  <c r="W51" i="60"/>
  <c r="C42" i="61"/>
  <c r="D42" i="61"/>
  <c r="E42" i="61"/>
  <c r="F42" i="61"/>
  <c r="G42" i="61"/>
  <c r="H42" i="61"/>
  <c r="I42" i="61"/>
  <c r="J42" i="61"/>
  <c r="K42" i="61"/>
  <c r="M42" i="61"/>
  <c r="N42" i="61"/>
  <c r="O42" i="61"/>
  <c r="Q42" i="61"/>
  <c r="R42" i="61"/>
  <c r="S42" i="61"/>
  <c r="T42" i="61"/>
  <c r="U42" i="61"/>
  <c r="V42" i="61"/>
  <c r="W42" i="61"/>
  <c r="C43" i="61"/>
  <c r="D43" i="61"/>
  <c r="E43" i="61"/>
  <c r="F43" i="61"/>
  <c r="G43" i="61"/>
  <c r="H43" i="61"/>
  <c r="I43" i="61"/>
  <c r="J43" i="61"/>
  <c r="K43" i="61"/>
  <c r="M43" i="61"/>
  <c r="N43" i="61"/>
  <c r="O43" i="61"/>
  <c r="Q43" i="61"/>
  <c r="R43" i="61"/>
  <c r="S43" i="61"/>
  <c r="T43" i="61"/>
  <c r="U43" i="61"/>
  <c r="V43" i="61"/>
  <c r="W43" i="61"/>
  <c r="C46" i="61"/>
  <c r="D46" i="61"/>
  <c r="E46" i="61"/>
  <c r="F46" i="61"/>
  <c r="G46" i="61"/>
  <c r="H46" i="61"/>
  <c r="I46" i="61"/>
  <c r="J46" i="61"/>
  <c r="K46" i="61"/>
  <c r="M46" i="61"/>
  <c r="N46" i="61"/>
  <c r="O46" i="61"/>
  <c r="Q46" i="61"/>
  <c r="R46" i="61"/>
  <c r="S46" i="61"/>
  <c r="T46" i="61"/>
  <c r="U46" i="61"/>
  <c r="V46" i="61"/>
  <c r="W46" i="61"/>
  <c r="C47" i="61"/>
  <c r="D47" i="61"/>
  <c r="E47" i="61"/>
  <c r="F47" i="61"/>
  <c r="G47" i="61"/>
  <c r="H47" i="61"/>
  <c r="I47" i="61"/>
  <c r="J47" i="61"/>
  <c r="K47" i="61"/>
  <c r="M47" i="61"/>
  <c r="N47" i="61"/>
  <c r="O47" i="61"/>
  <c r="Q47" i="61"/>
  <c r="R47" i="61"/>
  <c r="S47" i="61"/>
  <c r="T47" i="61"/>
  <c r="U47" i="61"/>
  <c r="V47" i="61"/>
  <c r="W47" i="61"/>
  <c r="C48" i="61"/>
  <c r="D48" i="61"/>
  <c r="E48" i="61"/>
  <c r="F48" i="61"/>
  <c r="G48" i="61"/>
  <c r="H48" i="61"/>
  <c r="I48" i="61"/>
  <c r="J48" i="61"/>
  <c r="K48" i="61"/>
  <c r="M48" i="61"/>
  <c r="N48" i="61"/>
  <c r="O48" i="61"/>
  <c r="Q48" i="61"/>
  <c r="R48" i="61"/>
  <c r="S48" i="61"/>
  <c r="T48" i="61"/>
  <c r="U48" i="61"/>
  <c r="V48" i="61"/>
  <c r="W48" i="61"/>
  <c r="C49" i="61"/>
  <c r="D49" i="61"/>
  <c r="E49" i="61"/>
  <c r="F49" i="61"/>
  <c r="G49" i="61"/>
  <c r="H49" i="61"/>
  <c r="I49" i="61"/>
  <c r="J49" i="61"/>
  <c r="K49" i="61"/>
  <c r="M49" i="61"/>
  <c r="N49" i="61"/>
  <c r="O49" i="61"/>
  <c r="Q49" i="61"/>
  <c r="R49" i="61"/>
  <c r="S49" i="61"/>
  <c r="T49" i="61"/>
  <c r="U49" i="61"/>
  <c r="V49" i="61"/>
  <c r="W49" i="61"/>
  <c r="C50" i="61"/>
  <c r="D50" i="61"/>
  <c r="E50" i="61"/>
  <c r="F50" i="61"/>
  <c r="G50" i="61"/>
  <c r="H50" i="61"/>
  <c r="I50" i="61"/>
  <c r="J50" i="61"/>
  <c r="K50" i="61"/>
  <c r="M50" i="61"/>
  <c r="N50" i="61"/>
  <c r="O50" i="61"/>
  <c r="Q50" i="61"/>
  <c r="R50" i="61"/>
  <c r="S50" i="61"/>
  <c r="T50" i="61"/>
  <c r="U50" i="61"/>
  <c r="V50" i="61"/>
  <c r="W50" i="61"/>
  <c r="C51" i="61"/>
  <c r="D51" i="61"/>
  <c r="E51" i="61"/>
  <c r="F51" i="61"/>
  <c r="G51" i="61"/>
  <c r="H51" i="61"/>
  <c r="I51" i="61"/>
  <c r="J51" i="61"/>
  <c r="K51" i="61"/>
  <c r="M51" i="61"/>
  <c r="N51" i="61"/>
  <c r="O51" i="61"/>
  <c r="Q51" i="61"/>
  <c r="R51" i="61"/>
  <c r="S51" i="61"/>
  <c r="T51" i="61"/>
  <c r="U51" i="61"/>
  <c r="V51" i="61"/>
  <c r="W51" i="61"/>
  <c r="C42" i="62"/>
  <c r="D42" i="62"/>
  <c r="E42" i="62"/>
  <c r="F42" i="62"/>
  <c r="G42" i="62"/>
  <c r="H42" i="62"/>
  <c r="I42" i="62"/>
  <c r="J42" i="62"/>
  <c r="K42" i="62"/>
  <c r="L42" i="62"/>
  <c r="M42" i="62"/>
  <c r="N42" i="62"/>
  <c r="O42" i="62"/>
  <c r="P42" i="62"/>
  <c r="Q42" i="62"/>
  <c r="R42" i="62"/>
  <c r="S42" i="62"/>
  <c r="T42" i="62"/>
  <c r="U42" i="62"/>
  <c r="V42" i="62"/>
  <c r="W42" i="62"/>
  <c r="C43" i="62"/>
  <c r="D43" i="62"/>
  <c r="E43" i="62"/>
  <c r="F43" i="62"/>
  <c r="G43" i="62"/>
  <c r="H43" i="62"/>
  <c r="I43" i="62"/>
  <c r="J43" i="62"/>
  <c r="K43" i="62"/>
  <c r="L43" i="62"/>
  <c r="M43" i="62"/>
  <c r="N43" i="62"/>
  <c r="O43" i="62"/>
  <c r="P43" i="62"/>
  <c r="Q43" i="62"/>
  <c r="R43" i="62"/>
  <c r="S43" i="62"/>
  <c r="T43" i="62"/>
  <c r="U43" i="62"/>
  <c r="V43" i="62"/>
  <c r="W43" i="62"/>
  <c r="C44" i="62"/>
  <c r="D44" i="62"/>
  <c r="E44" i="62"/>
  <c r="F44" i="62"/>
  <c r="G44" i="62"/>
  <c r="H44" i="62"/>
  <c r="I44" i="62"/>
  <c r="J44" i="62"/>
  <c r="K44" i="62"/>
  <c r="L44" i="62"/>
  <c r="M44" i="62"/>
  <c r="N44" i="62"/>
  <c r="O44" i="62"/>
  <c r="P44" i="62"/>
  <c r="Q44" i="62"/>
  <c r="R44" i="62"/>
  <c r="S44" i="62"/>
  <c r="T44" i="62"/>
  <c r="U44" i="62"/>
  <c r="V44" i="62"/>
  <c r="W44" i="62"/>
  <c r="C45" i="62"/>
  <c r="D45" i="62"/>
  <c r="E45" i="62"/>
  <c r="F45" i="62"/>
  <c r="G45" i="62"/>
  <c r="H45" i="62"/>
  <c r="I45" i="62"/>
  <c r="J45" i="62"/>
  <c r="K45" i="62"/>
  <c r="L45" i="62"/>
  <c r="M45" i="62"/>
  <c r="N45" i="62"/>
  <c r="O45" i="62"/>
  <c r="P45" i="62"/>
  <c r="Q45" i="62"/>
  <c r="R45" i="62"/>
  <c r="S45" i="62"/>
  <c r="T45" i="62"/>
  <c r="U45" i="62"/>
  <c r="V45" i="62"/>
  <c r="W45" i="62"/>
  <c r="C46" i="62"/>
  <c r="D46" i="62"/>
  <c r="E46" i="62"/>
  <c r="F46" i="62"/>
  <c r="G46" i="62"/>
  <c r="H46" i="62"/>
  <c r="I46" i="62"/>
  <c r="J46" i="62"/>
  <c r="K46" i="62"/>
  <c r="L46" i="62"/>
  <c r="M46" i="62"/>
  <c r="N46" i="62"/>
  <c r="O46" i="62"/>
  <c r="P46" i="62"/>
  <c r="Q46" i="62"/>
  <c r="R46" i="62"/>
  <c r="S46" i="62"/>
  <c r="T46" i="62"/>
  <c r="U46" i="62"/>
  <c r="V46" i="62"/>
  <c r="W46" i="62"/>
  <c r="C47" i="62"/>
  <c r="D47" i="62"/>
  <c r="E47" i="62"/>
  <c r="F47" i="62"/>
  <c r="G47" i="62"/>
  <c r="H47" i="62"/>
  <c r="I47" i="62"/>
  <c r="J47" i="62"/>
  <c r="K47" i="62"/>
  <c r="L47" i="62"/>
  <c r="M47" i="62"/>
  <c r="N47" i="62"/>
  <c r="O47" i="62"/>
  <c r="P47" i="62"/>
  <c r="Q47" i="62"/>
  <c r="R47" i="62"/>
  <c r="S47" i="62"/>
  <c r="T47" i="62"/>
  <c r="U47" i="62"/>
  <c r="V47" i="62"/>
  <c r="W47" i="62"/>
  <c r="C48" i="62"/>
  <c r="D48" i="62"/>
  <c r="E48" i="62"/>
  <c r="F48" i="62"/>
  <c r="G48" i="62"/>
  <c r="H48" i="62"/>
  <c r="I48" i="62"/>
  <c r="J48" i="62"/>
  <c r="K48" i="62"/>
  <c r="L48" i="62"/>
  <c r="M48" i="62"/>
  <c r="N48" i="62"/>
  <c r="O48" i="62"/>
  <c r="P48" i="62"/>
  <c r="Q48" i="62"/>
  <c r="R48" i="62"/>
  <c r="S48" i="62"/>
  <c r="T48" i="62"/>
  <c r="U48" i="62"/>
  <c r="V48" i="62"/>
  <c r="W48" i="62"/>
  <c r="C49" i="62"/>
  <c r="D49" i="62"/>
  <c r="E49" i="62"/>
  <c r="F49" i="62"/>
  <c r="G49" i="62"/>
  <c r="H49" i="62"/>
  <c r="I49" i="62"/>
  <c r="J49" i="62"/>
  <c r="K49" i="62"/>
  <c r="L49" i="62"/>
  <c r="M49" i="62"/>
  <c r="N49" i="62"/>
  <c r="O49" i="62"/>
  <c r="P49" i="62"/>
  <c r="Q49" i="62"/>
  <c r="R49" i="62"/>
  <c r="S49" i="62"/>
  <c r="T49" i="62"/>
  <c r="U49" i="62"/>
  <c r="V49" i="62"/>
  <c r="W49" i="62"/>
  <c r="C50" i="62"/>
  <c r="D50" i="62"/>
  <c r="E50" i="62"/>
  <c r="F50" i="62"/>
  <c r="G50" i="62"/>
  <c r="H50" i="62"/>
  <c r="I50" i="62"/>
  <c r="J50" i="62"/>
  <c r="K50" i="62"/>
  <c r="L50" i="62"/>
  <c r="M50" i="62"/>
  <c r="N50" i="62"/>
  <c r="O50" i="62"/>
  <c r="P50" i="62"/>
  <c r="Q50" i="62"/>
  <c r="R50" i="62"/>
  <c r="S50" i="62"/>
  <c r="T50" i="62"/>
  <c r="U50" i="62"/>
  <c r="V50" i="62"/>
  <c r="W50" i="62"/>
  <c r="C51" i="62"/>
  <c r="D51" i="62"/>
  <c r="E51" i="62"/>
  <c r="F51" i="62"/>
  <c r="G51" i="62"/>
  <c r="H51" i="62"/>
  <c r="I51" i="62"/>
  <c r="J51" i="62"/>
  <c r="K51" i="62"/>
  <c r="L51" i="62"/>
  <c r="M51" i="62"/>
  <c r="N51" i="62"/>
  <c r="O51" i="62"/>
  <c r="P51" i="62"/>
  <c r="Q51" i="62"/>
  <c r="R51" i="62"/>
  <c r="S51" i="62"/>
  <c r="T51" i="62"/>
  <c r="U51" i="62"/>
  <c r="V51" i="62"/>
  <c r="W51" i="62"/>
  <c r="C42" i="63"/>
  <c r="D42" i="63"/>
  <c r="E42" i="63"/>
  <c r="F42" i="63"/>
  <c r="G42" i="63"/>
  <c r="H42" i="63"/>
  <c r="I42" i="63"/>
  <c r="J42" i="63"/>
  <c r="K42" i="63"/>
  <c r="L42" i="63"/>
  <c r="M42" i="63"/>
  <c r="N42" i="63"/>
  <c r="O42" i="63"/>
  <c r="P42" i="63"/>
  <c r="Q42" i="63"/>
  <c r="R42" i="63"/>
  <c r="S42" i="63"/>
  <c r="T42" i="63"/>
  <c r="U42" i="63"/>
  <c r="V42" i="63"/>
  <c r="W42" i="63"/>
  <c r="C43" i="63"/>
  <c r="D43" i="63"/>
  <c r="E43" i="63"/>
  <c r="F43" i="63"/>
  <c r="G43" i="63"/>
  <c r="H43" i="63"/>
  <c r="I43" i="63"/>
  <c r="J43" i="63"/>
  <c r="K43" i="63"/>
  <c r="L43" i="63"/>
  <c r="M43" i="63"/>
  <c r="N43" i="63"/>
  <c r="O43" i="63"/>
  <c r="P43" i="63"/>
  <c r="Q43" i="63"/>
  <c r="R43" i="63"/>
  <c r="S43" i="63"/>
  <c r="T43" i="63"/>
  <c r="U43" i="63"/>
  <c r="V43" i="63"/>
  <c r="W43" i="63"/>
  <c r="C44" i="63"/>
  <c r="D44" i="63"/>
  <c r="E44" i="63"/>
  <c r="F44" i="63"/>
  <c r="G44" i="63"/>
  <c r="H44" i="63"/>
  <c r="I44" i="63"/>
  <c r="J44" i="63"/>
  <c r="K44" i="63"/>
  <c r="L44" i="63"/>
  <c r="M44" i="63"/>
  <c r="N44" i="63"/>
  <c r="O44" i="63"/>
  <c r="P44" i="63"/>
  <c r="Q44" i="63"/>
  <c r="R44" i="63"/>
  <c r="S44" i="63"/>
  <c r="T44" i="63"/>
  <c r="U44" i="63"/>
  <c r="V44" i="63"/>
  <c r="W44" i="63"/>
  <c r="C45" i="63"/>
  <c r="D45" i="63"/>
  <c r="E45" i="63"/>
  <c r="F45" i="63"/>
  <c r="G45" i="63"/>
  <c r="H45" i="63"/>
  <c r="I45" i="63"/>
  <c r="J45" i="63"/>
  <c r="K45" i="63"/>
  <c r="L45" i="63"/>
  <c r="M45" i="63"/>
  <c r="N45" i="63"/>
  <c r="O45" i="63"/>
  <c r="P45" i="63"/>
  <c r="Q45" i="63"/>
  <c r="R45" i="63"/>
  <c r="S45" i="63"/>
  <c r="T45" i="63"/>
  <c r="U45" i="63"/>
  <c r="V45" i="63"/>
  <c r="W45" i="63"/>
  <c r="C46" i="63"/>
  <c r="D46" i="63"/>
  <c r="E46" i="63"/>
  <c r="F46" i="63"/>
  <c r="G46" i="63"/>
  <c r="H46" i="63"/>
  <c r="I46" i="63"/>
  <c r="J46" i="63"/>
  <c r="K46" i="63"/>
  <c r="L46" i="63"/>
  <c r="M46" i="63"/>
  <c r="N46" i="63"/>
  <c r="O46" i="63"/>
  <c r="P46" i="63"/>
  <c r="Q46" i="63"/>
  <c r="R46" i="63"/>
  <c r="S46" i="63"/>
  <c r="T46" i="63"/>
  <c r="U46" i="63"/>
  <c r="V46" i="63"/>
  <c r="W46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R47" i="63"/>
  <c r="S47" i="63"/>
  <c r="T47" i="63"/>
  <c r="U47" i="63"/>
  <c r="V47" i="63"/>
  <c r="W47" i="63"/>
  <c r="C48" i="63"/>
  <c r="D48" i="63"/>
  <c r="E48" i="63"/>
  <c r="F48" i="63"/>
  <c r="G48" i="63"/>
  <c r="H48" i="63"/>
  <c r="I48" i="63"/>
  <c r="J48" i="63"/>
  <c r="K48" i="63"/>
  <c r="L48" i="63"/>
  <c r="M48" i="63"/>
  <c r="N48" i="63"/>
  <c r="O48" i="63"/>
  <c r="P48" i="63"/>
  <c r="Q48" i="63"/>
  <c r="R48" i="63"/>
  <c r="S48" i="63"/>
  <c r="T48" i="63"/>
  <c r="U48" i="63"/>
  <c r="V48" i="63"/>
  <c r="W48" i="63"/>
  <c r="C49" i="63"/>
  <c r="D49" i="63"/>
  <c r="E49" i="63"/>
  <c r="F49" i="63"/>
  <c r="G49" i="63"/>
  <c r="H49" i="63"/>
  <c r="I49" i="63"/>
  <c r="J49" i="63"/>
  <c r="K49" i="63"/>
  <c r="L49" i="63"/>
  <c r="M49" i="63"/>
  <c r="N49" i="63"/>
  <c r="O49" i="63"/>
  <c r="P49" i="63"/>
  <c r="Q49" i="63"/>
  <c r="R49" i="63"/>
  <c r="S49" i="63"/>
  <c r="T49" i="63"/>
  <c r="U49" i="63"/>
  <c r="V49" i="63"/>
  <c r="W49" i="63"/>
  <c r="C50" i="63"/>
  <c r="D50" i="63"/>
  <c r="E50" i="63"/>
  <c r="F50" i="63"/>
  <c r="G50" i="63"/>
  <c r="H50" i="63"/>
  <c r="I50" i="63"/>
  <c r="J50" i="63"/>
  <c r="K50" i="63"/>
  <c r="L50" i="63"/>
  <c r="M50" i="63"/>
  <c r="N50" i="63"/>
  <c r="O50" i="63"/>
  <c r="P50" i="63"/>
  <c r="Q50" i="63"/>
  <c r="R50" i="63"/>
  <c r="S50" i="63"/>
  <c r="T50" i="63"/>
  <c r="U50" i="63"/>
  <c r="V50" i="63"/>
  <c r="W50" i="63"/>
  <c r="C51" i="63"/>
  <c r="D51" i="63"/>
  <c r="E51" i="63"/>
  <c r="F51" i="63"/>
  <c r="G51" i="63"/>
  <c r="H51" i="63"/>
  <c r="I51" i="63"/>
  <c r="J51" i="63"/>
  <c r="K51" i="63"/>
  <c r="L51" i="63"/>
  <c r="M51" i="63"/>
  <c r="N51" i="63"/>
  <c r="O51" i="63"/>
  <c r="P51" i="63"/>
  <c r="Q51" i="63"/>
  <c r="R51" i="63"/>
  <c r="S51" i="63"/>
  <c r="T51" i="63"/>
  <c r="U51" i="63"/>
  <c r="V51" i="63"/>
  <c r="W51" i="63"/>
  <c r="C42" i="64"/>
  <c r="D42" i="64"/>
  <c r="E42" i="64"/>
  <c r="F42" i="64"/>
  <c r="G42" i="64"/>
  <c r="H42" i="64"/>
  <c r="I42" i="64"/>
  <c r="J42" i="64"/>
  <c r="K42" i="64"/>
  <c r="L42" i="64"/>
  <c r="M42" i="64"/>
  <c r="N42" i="64"/>
  <c r="O42" i="64"/>
  <c r="P42" i="64"/>
  <c r="Q42" i="64"/>
  <c r="R42" i="64"/>
  <c r="S42" i="64"/>
  <c r="T42" i="64"/>
  <c r="U42" i="64"/>
  <c r="V42" i="64"/>
  <c r="W42" i="64"/>
  <c r="C43" i="64"/>
  <c r="D43" i="64"/>
  <c r="E43" i="64"/>
  <c r="F43" i="64"/>
  <c r="G43" i="64"/>
  <c r="H43" i="64"/>
  <c r="I43" i="64"/>
  <c r="J43" i="64"/>
  <c r="K43" i="64"/>
  <c r="L43" i="64"/>
  <c r="M43" i="64"/>
  <c r="N43" i="64"/>
  <c r="O43" i="64"/>
  <c r="P43" i="64"/>
  <c r="Q43" i="64"/>
  <c r="R43" i="64"/>
  <c r="S43" i="64"/>
  <c r="T43" i="64"/>
  <c r="U43" i="64"/>
  <c r="V43" i="64"/>
  <c r="W43" i="64"/>
  <c r="C44" i="64"/>
  <c r="D44" i="64"/>
  <c r="E44" i="64"/>
  <c r="F44" i="64"/>
  <c r="G44" i="64"/>
  <c r="H44" i="64"/>
  <c r="I44" i="64"/>
  <c r="J44" i="64"/>
  <c r="K44" i="64"/>
  <c r="L44" i="64"/>
  <c r="M44" i="64"/>
  <c r="N44" i="64"/>
  <c r="O44" i="64"/>
  <c r="P44" i="64"/>
  <c r="Q44" i="64"/>
  <c r="R44" i="64"/>
  <c r="S44" i="64"/>
  <c r="T44" i="64"/>
  <c r="U44" i="64"/>
  <c r="V44" i="64"/>
  <c r="W44" i="64"/>
  <c r="C45" i="64"/>
  <c r="D45" i="64"/>
  <c r="E45" i="64"/>
  <c r="F45" i="64"/>
  <c r="G45" i="64"/>
  <c r="H45" i="64"/>
  <c r="I45" i="64"/>
  <c r="J45" i="64"/>
  <c r="K45" i="64"/>
  <c r="L45" i="64"/>
  <c r="M45" i="64"/>
  <c r="N45" i="64"/>
  <c r="O45" i="64"/>
  <c r="P45" i="64"/>
  <c r="Q45" i="64"/>
  <c r="R45" i="64"/>
  <c r="S45" i="64"/>
  <c r="T45" i="64"/>
  <c r="U45" i="64"/>
  <c r="V45" i="64"/>
  <c r="W45" i="64"/>
  <c r="C46" i="64"/>
  <c r="D46" i="64"/>
  <c r="E46" i="64"/>
  <c r="F46" i="64"/>
  <c r="G46" i="64"/>
  <c r="H46" i="64"/>
  <c r="I46" i="64"/>
  <c r="J46" i="64"/>
  <c r="K46" i="64"/>
  <c r="L46" i="64"/>
  <c r="M46" i="64"/>
  <c r="N46" i="64"/>
  <c r="O46" i="64"/>
  <c r="P46" i="64"/>
  <c r="Q46" i="64"/>
  <c r="R46" i="64"/>
  <c r="S46" i="64"/>
  <c r="T46" i="64"/>
  <c r="U46" i="64"/>
  <c r="V46" i="64"/>
  <c r="W46" i="64"/>
  <c r="C47" i="64"/>
  <c r="D47" i="64"/>
  <c r="E47" i="64"/>
  <c r="F47" i="64"/>
  <c r="G47" i="64"/>
  <c r="H47" i="64"/>
  <c r="I47" i="64"/>
  <c r="J47" i="64"/>
  <c r="K47" i="64"/>
  <c r="L47" i="64"/>
  <c r="M47" i="64"/>
  <c r="N47" i="64"/>
  <c r="O47" i="64"/>
  <c r="P47" i="64"/>
  <c r="Q47" i="64"/>
  <c r="R47" i="64"/>
  <c r="S47" i="64"/>
  <c r="T47" i="64"/>
  <c r="U47" i="64"/>
  <c r="V47" i="64"/>
  <c r="W47" i="64"/>
  <c r="C48" i="64"/>
  <c r="D48" i="64"/>
  <c r="E48" i="64"/>
  <c r="F48" i="64"/>
  <c r="G48" i="64"/>
  <c r="H48" i="64"/>
  <c r="I48" i="64"/>
  <c r="J48" i="64"/>
  <c r="K48" i="64"/>
  <c r="L48" i="64"/>
  <c r="M48" i="64"/>
  <c r="N48" i="64"/>
  <c r="O48" i="64"/>
  <c r="P48" i="64"/>
  <c r="Q48" i="64"/>
  <c r="R48" i="64"/>
  <c r="S48" i="64"/>
  <c r="T48" i="64"/>
  <c r="U48" i="64"/>
  <c r="V48" i="64"/>
  <c r="W48" i="64"/>
  <c r="C49" i="64"/>
  <c r="D49" i="64"/>
  <c r="E49" i="64"/>
  <c r="F49" i="64"/>
  <c r="G49" i="64"/>
  <c r="H49" i="64"/>
  <c r="I49" i="64"/>
  <c r="J49" i="64"/>
  <c r="K49" i="64"/>
  <c r="L49" i="64"/>
  <c r="M49" i="64"/>
  <c r="N49" i="64"/>
  <c r="O49" i="64"/>
  <c r="P49" i="64"/>
  <c r="Q49" i="64"/>
  <c r="R49" i="64"/>
  <c r="S49" i="64"/>
  <c r="T49" i="64"/>
  <c r="U49" i="64"/>
  <c r="V49" i="64"/>
  <c r="W49" i="64"/>
  <c r="C50" i="64"/>
  <c r="D50" i="64"/>
  <c r="E50" i="64"/>
  <c r="F50" i="64"/>
  <c r="G50" i="64"/>
  <c r="H50" i="64"/>
  <c r="I50" i="64"/>
  <c r="J50" i="64"/>
  <c r="K50" i="64"/>
  <c r="L50" i="64"/>
  <c r="M50" i="64"/>
  <c r="N50" i="64"/>
  <c r="O50" i="64"/>
  <c r="P50" i="64"/>
  <c r="Q50" i="64"/>
  <c r="R50" i="64"/>
  <c r="S50" i="64"/>
  <c r="T50" i="64"/>
  <c r="U50" i="64"/>
  <c r="V50" i="64"/>
  <c r="W50" i="64"/>
  <c r="C51" i="64"/>
  <c r="D51" i="64"/>
  <c r="E51" i="64"/>
  <c r="F51" i="64"/>
  <c r="G51" i="64"/>
  <c r="H51" i="64"/>
  <c r="I51" i="64"/>
  <c r="J51" i="64"/>
  <c r="K51" i="64"/>
  <c r="L51" i="64"/>
  <c r="M51" i="64"/>
  <c r="N51" i="64"/>
  <c r="O51" i="64"/>
  <c r="P51" i="64"/>
  <c r="Q51" i="64"/>
  <c r="R51" i="64"/>
  <c r="S51" i="64"/>
  <c r="T51" i="64"/>
  <c r="U51" i="64"/>
  <c r="V51" i="64"/>
  <c r="W51" i="64"/>
  <c r="C42" i="70"/>
  <c r="D42" i="70"/>
  <c r="E42" i="70"/>
  <c r="F42" i="70"/>
  <c r="G42" i="70"/>
  <c r="H42" i="70"/>
  <c r="I42" i="70"/>
  <c r="J42" i="70"/>
  <c r="K42" i="70"/>
  <c r="L42" i="70"/>
  <c r="M42" i="70"/>
  <c r="N42" i="70"/>
  <c r="O42" i="70"/>
  <c r="P42" i="70"/>
  <c r="Q42" i="70"/>
  <c r="R42" i="70"/>
  <c r="S42" i="70"/>
  <c r="T42" i="70"/>
  <c r="U42" i="70"/>
  <c r="V42" i="70"/>
  <c r="W42" i="70"/>
  <c r="C43" i="70"/>
  <c r="D43" i="70"/>
  <c r="E43" i="70"/>
  <c r="F43" i="70"/>
  <c r="G43" i="70"/>
  <c r="H43" i="70"/>
  <c r="I43" i="70"/>
  <c r="J43" i="70"/>
  <c r="K43" i="70"/>
  <c r="L43" i="70"/>
  <c r="M43" i="70"/>
  <c r="N43" i="70"/>
  <c r="O43" i="70"/>
  <c r="P43" i="70"/>
  <c r="Q43" i="70"/>
  <c r="R43" i="70"/>
  <c r="S43" i="70"/>
  <c r="T43" i="70"/>
  <c r="U43" i="70"/>
  <c r="V43" i="70"/>
  <c r="W43" i="70"/>
  <c r="C44" i="70"/>
  <c r="D44" i="70"/>
  <c r="E44" i="70"/>
  <c r="F44" i="70"/>
  <c r="G44" i="70"/>
  <c r="H44" i="70"/>
  <c r="I44" i="70"/>
  <c r="J44" i="70"/>
  <c r="K44" i="70"/>
  <c r="L44" i="70"/>
  <c r="M44" i="70"/>
  <c r="N44" i="70"/>
  <c r="O44" i="70"/>
  <c r="P44" i="70"/>
  <c r="Q44" i="70"/>
  <c r="R44" i="70"/>
  <c r="S44" i="70"/>
  <c r="T44" i="70"/>
  <c r="U44" i="70"/>
  <c r="V44" i="70"/>
  <c r="W44" i="70"/>
  <c r="C45" i="70"/>
  <c r="D45" i="70"/>
  <c r="E45" i="70"/>
  <c r="F45" i="70"/>
  <c r="G45" i="70"/>
  <c r="H45" i="70"/>
  <c r="I45" i="70"/>
  <c r="J45" i="70"/>
  <c r="K45" i="70"/>
  <c r="L45" i="70"/>
  <c r="M45" i="70"/>
  <c r="N45" i="70"/>
  <c r="O45" i="70"/>
  <c r="P45" i="70"/>
  <c r="Q45" i="70"/>
  <c r="R45" i="70"/>
  <c r="S45" i="70"/>
  <c r="T45" i="70"/>
  <c r="U45" i="70"/>
  <c r="V45" i="70"/>
  <c r="W45" i="70"/>
  <c r="C46" i="70"/>
  <c r="D46" i="70"/>
  <c r="E46" i="70"/>
  <c r="F46" i="70"/>
  <c r="G46" i="70"/>
  <c r="H46" i="70"/>
  <c r="I46" i="70"/>
  <c r="J46" i="70"/>
  <c r="K46" i="70"/>
  <c r="L46" i="70"/>
  <c r="M46" i="70"/>
  <c r="N46" i="70"/>
  <c r="O46" i="70"/>
  <c r="P46" i="70"/>
  <c r="Q46" i="70"/>
  <c r="R46" i="70"/>
  <c r="S46" i="70"/>
  <c r="T46" i="70"/>
  <c r="U46" i="70"/>
  <c r="V46" i="70"/>
  <c r="W46" i="70"/>
  <c r="C47" i="70"/>
  <c r="D47" i="70"/>
  <c r="E47" i="70"/>
  <c r="F47" i="70"/>
  <c r="G47" i="70"/>
  <c r="H47" i="70"/>
  <c r="I47" i="70"/>
  <c r="J47" i="70"/>
  <c r="K47" i="70"/>
  <c r="L47" i="70"/>
  <c r="M47" i="70"/>
  <c r="N47" i="70"/>
  <c r="O47" i="70"/>
  <c r="P47" i="70"/>
  <c r="Q47" i="70"/>
  <c r="R47" i="70"/>
  <c r="S47" i="70"/>
  <c r="T47" i="70"/>
  <c r="U47" i="70"/>
  <c r="V47" i="70"/>
  <c r="W47" i="70"/>
  <c r="C48" i="70"/>
  <c r="D48" i="70"/>
  <c r="E48" i="70"/>
  <c r="F48" i="70"/>
  <c r="G48" i="70"/>
  <c r="H48" i="70"/>
  <c r="I48" i="70"/>
  <c r="J48" i="70"/>
  <c r="K48" i="70"/>
  <c r="L48" i="70"/>
  <c r="M48" i="70"/>
  <c r="N48" i="70"/>
  <c r="O48" i="70"/>
  <c r="P48" i="70"/>
  <c r="Q48" i="70"/>
  <c r="R48" i="70"/>
  <c r="S48" i="70"/>
  <c r="T48" i="70"/>
  <c r="U48" i="70"/>
  <c r="V48" i="70"/>
  <c r="W48" i="70"/>
  <c r="C49" i="70"/>
  <c r="D49" i="70"/>
  <c r="E49" i="70"/>
  <c r="F49" i="70"/>
  <c r="G49" i="70"/>
  <c r="H49" i="70"/>
  <c r="I49" i="70"/>
  <c r="J49" i="70"/>
  <c r="K49" i="70"/>
  <c r="L49" i="70"/>
  <c r="M49" i="70"/>
  <c r="N49" i="70"/>
  <c r="O49" i="70"/>
  <c r="P49" i="70"/>
  <c r="Q49" i="70"/>
  <c r="R49" i="70"/>
  <c r="S49" i="70"/>
  <c r="T49" i="70"/>
  <c r="U49" i="70"/>
  <c r="V49" i="70"/>
  <c r="W49" i="70"/>
  <c r="C50" i="70"/>
  <c r="D50" i="70"/>
  <c r="E50" i="70"/>
  <c r="F50" i="70"/>
  <c r="G50" i="70"/>
  <c r="H50" i="70"/>
  <c r="I50" i="70"/>
  <c r="J50" i="70"/>
  <c r="K50" i="70"/>
  <c r="L50" i="70"/>
  <c r="M50" i="70"/>
  <c r="N50" i="70"/>
  <c r="O50" i="70"/>
  <c r="P50" i="70"/>
  <c r="Q50" i="70"/>
  <c r="R50" i="70"/>
  <c r="S50" i="70"/>
  <c r="T50" i="70"/>
  <c r="U50" i="70"/>
  <c r="V50" i="70"/>
  <c r="W50" i="70"/>
  <c r="C51" i="70"/>
  <c r="D51" i="70"/>
  <c r="E51" i="70"/>
  <c r="F51" i="70"/>
  <c r="G51" i="70"/>
  <c r="H51" i="70"/>
  <c r="I51" i="70"/>
  <c r="J51" i="70"/>
  <c r="K51" i="70"/>
  <c r="L51" i="70"/>
  <c r="M51" i="70"/>
  <c r="N51" i="70"/>
  <c r="O51" i="70"/>
  <c r="P51" i="70"/>
  <c r="Q51" i="70"/>
  <c r="R51" i="70"/>
  <c r="S51" i="70"/>
  <c r="T51" i="70"/>
  <c r="U51" i="70"/>
  <c r="V51" i="70"/>
  <c r="W51" i="70"/>
  <c r="C42" i="71"/>
  <c r="D42" i="71"/>
  <c r="E42" i="71"/>
  <c r="F42" i="71"/>
  <c r="G42" i="71"/>
  <c r="H42" i="71"/>
  <c r="I42" i="71"/>
  <c r="J42" i="71"/>
  <c r="K42" i="71"/>
  <c r="L42" i="71"/>
  <c r="M42" i="71"/>
  <c r="N42" i="71"/>
  <c r="O42" i="71"/>
  <c r="P42" i="71"/>
  <c r="Q42" i="71"/>
  <c r="R42" i="71"/>
  <c r="S42" i="71"/>
  <c r="T42" i="71"/>
  <c r="U42" i="71"/>
  <c r="V42" i="71"/>
  <c r="W42" i="71"/>
  <c r="C43" i="71"/>
  <c r="D43" i="71"/>
  <c r="E43" i="71"/>
  <c r="F43" i="71"/>
  <c r="G43" i="71"/>
  <c r="H43" i="71"/>
  <c r="I43" i="71"/>
  <c r="J43" i="71"/>
  <c r="K43" i="71"/>
  <c r="L43" i="71"/>
  <c r="M43" i="71"/>
  <c r="N43" i="71"/>
  <c r="O43" i="71"/>
  <c r="P43" i="71"/>
  <c r="Q43" i="71"/>
  <c r="R43" i="71"/>
  <c r="S43" i="71"/>
  <c r="T43" i="71"/>
  <c r="U43" i="71"/>
  <c r="V43" i="71"/>
  <c r="W43" i="71"/>
  <c r="C44" i="71"/>
  <c r="D44" i="71"/>
  <c r="E44" i="71"/>
  <c r="F44" i="71"/>
  <c r="G44" i="71"/>
  <c r="H44" i="71"/>
  <c r="I44" i="71"/>
  <c r="J44" i="71"/>
  <c r="K44" i="71"/>
  <c r="L44" i="71"/>
  <c r="M44" i="71"/>
  <c r="N44" i="71"/>
  <c r="O44" i="71"/>
  <c r="P44" i="71"/>
  <c r="Q44" i="71"/>
  <c r="R44" i="71"/>
  <c r="S44" i="71"/>
  <c r="T44" i="71"/>
  <c r="U44" i="71"/>
  <c r="V44" i="71"/>
  <c r="W44" i="71"/>
  <c r="C45" i="71"/>
  <c r="D45" i="71"/>
  <c r="E45" i="71"/>
  <c r="F45" i="71"/>
  <c r="G45" i="71"/>
  <c r="H45" i="71"/>
  <c r="I45" i="71"/>
  <c r="J45" i="71"/>
  <c r="K45" i="71"/>
  <c r="L45" i="71"/>
  <c r="M45" i="71"/>
  <c r="N45" i="71"/>
  <c r="O45" i="71"/>
  <c r="P45" i="71"/>
  <c r="Q45" i="71"/>
  <c r="R45" i="71"/>
  <c r="S45" i="71"/>
  <c r="T45" i="71"/>
  <c r="U45" i="71"/>
  <c r="V45" i="71"/>
  <c r="W45" i="71"/>
  <c r="C46" i="71"/>
  <c r="D46" i="71"/>
  <c r="E46" i="71"/>
  <c r="F46" i="71"/>
  <c r="G46" i="71"/>
  <c r="H46" i="71"/>
  <c r="I46" i="71"/>
  <c r="J46" i="71"/>
  <c r="K46" i="71"/>
  <c r="L46" i="71"/>
  <c r="M46" i="71"/>
  <c r="N46" i="71"/>
  <c r="O46" i="71"/>
  <c r="P46" i="71"/>
  <c r="Q46" i="71"/>
  <c r="R46" i="71"/>
  <c r="S46" i="71"/>
  <c r="T46" i="71"/>
  <c r="U46" i="71"/>
  <c r="V46" i="71"/>
  <c r="W46" i="71"/>
  <c r="C47" i="71"/>
  <c r="D47" i="71"/>
  <c r="E47" i="71"/>
  <c r="F47" i="71"/>
  <c r="G47" i="71"/>
  <c r="H47" i="71"/>
  <c r="I47" i="71"/>
  <c r="J47" i="71"/>
  <c r="K47" i="71"/>
  <c r="L47" i="71"/>
  <c r="M47" i="71"/>
  <c r="N47" i="71"/>
  <c r="O47" i="71"/>
  <c r="P47" i="71"/>
  <c r="Q47" i="71"/>
  <c r="R47" i="71"/>
  <c r="S47" i="71"/>
  <c r="T47" i="71"/>
  <c r="U47" i="71"/>
  <c r="V47" i="71"/>
  <c r="W47" i="71"/>
  <c r="C48" i="71"/>
  <c r="D48" i="71"/>
  <c r="E48" i="71"/>
  <c r="F48" i="71"/>
  <c r="G48" i="71"/>
  <c r="H48" i="71"/>
  <c r="I48" i="71"/>
  <c r="J48" i="71"/>
  <c r="K48" i="71"/>
  <c r="L48" i="71"/>
  <c r="M48" i="71"/>
  <c r="N48" i="71"/>
  <c r="O48" i="71"/>
  <c r="P48" i="71"/>
  <c r="Q48" i="71"/>
  <c r="R48" i="71"/>
  <c r="S48" i="71"/>
  <c r="T48" i="71"/>
  <c r="U48" i="71"/>
  <c r="V48" i="71"/>
  <c r="W48" i="71"/>
  <c r="C49" i="71"/>
  <c r="D49" i="71"/>
  <c r="E49" i="71"/>
  <c r="F49" i="71"/>
  <c r="G49" i="71"/>
  <c r="H49" i="71"/>
  <c r="I49" i="71"/>
  <c r="J49" i="71"/>
  <c r="K49" i="71"/>
  <c r="L49" i="71"/>
  <c r="M49" i="71"/>
  <c r="N49" i="71"/>
  <c r="O49" i="71"/>
  <c r="P49" i="71"/>
  <c r="Q49" i="71"/>
  <c r="R49" i="71"/>
  <c r="S49" i="71"/>
  <c r="T49" i="71"/>
  <c r="U49" i="71"/>
  <c r="V49" i="71"/>
  <c r="W49" i="71"/>
  <c r="C50" i="71"/>
  <c r="D50" i="71"/>
  <c r="E50" i="71"/>
  <c r="F50" i="71"/>
  <c r="G50" i="71"/>
  <c r="H50" i="71"/>
  <c r="I50" i="71"/>
  <c r="J50" i="71"/>
  <c r="K50" i="71"/>
  <c r="L50" i="71"/>
  <c r="M50" i="71"/>
  <c r="N50" i="71"/>
  <c r="O50" i="71"/>
  <c r="P50" i="71"/>
  <c r="Q50" i="71"/>
  <c r="R50" i="71"/>
  <c r="S50" i="71"/>
  <c r="T50" i="71"/>
  <c r="U50" i="71"/>
  <c r="V50" i="71"/>
  <c r="W50" i="71"/>
  <c r="C51" i="71"/>
  <c r="D51" i="71"/>
  <c r="E51" i="71"/>
  <c r="F51" i="71"/>
  <c r="G51" i="71"/>
  <c r="H51" i="71"/>
  <c r="I51" i="71"/>
  <c r="J51" i="71"/>
  <c r="K51" i="71"/>
  <c r="L51" i="71"/>
  <c r="M51" i="71"/>
  <c r="N51" i="71"/>
  <c r="O51" i="71"/>
  <c r="P51" i="71"/>
  <c r="Q51" i="71"/>
  <c r="R51" i="71"/>
  <c r="S51" i="71"/>
  <c r="T51" i="71"/>
  <c r="U51" i="71"/>
  <c r="V51" i="71"/>
  <c r="W51" i="71"/>
  <c r="C42" i="58"/>
  <c r="D42" i="58"/>
  <c r="E42" i="58"/>
  <c r="F42" i="58"/>
  <c r="G42" i="58"/>
  <c r="H42" i="58"/>
  <c r="I42" i="58"/>
  <c r="J42" i="58"/>
  <c r="K42" i="58"/>
  <c r="M42" i="58"/>
  <c r="N42" i="58"/>
  <c r="O42" i="58"/>
  <c r="Q42" i="58"/>
  <c r="R42" i="58"/>
  <c r="S42" i="58"/>
  <c r="T42" i="58"/>
  <c r="U42" i="58"/>
  <c r="V42" i="58"/>
  <c r="W42" i="58"/>
  <c r="C43" i="58"/>
  <c r="D43" i="58"/>
  <c r="E43" i="58"/>
  <c r="F43" i="58"/>
  <c r="G43" i="58"/>
  <c r="H43" i="58"/>
  <c r="I43" i="58"/>
  <c r="J43" i="58"/>
  <c r="K43" i="58"/>
  <c r="M43" i="58"/>
  <c r="N43" i="58"/>
  <c r="O43" i="58"/>
  <c r="Q43" i="58"/>
  <c r="R43" i="58"/>
  <c r="S43" i="58"/>
  <c r="T43" i="58"/>
  <c r="U43" i="58"/>
  <c r="V43" i="58"/>
  <c r="W43" i="58"/>
  <c r="C44" i="58"/>
  <c r="D44" i="58"/>
  <c r="E44" i="58"/>
  <c r="F44" i="58"/>
  <c r="G44" i="58"/>
  <c r="H44" i="58"/>
  <c r="I44" i="58"/>
  <c r="J44" i="58"/>
  <c r="K44" i="58"/>
  <c r="M44" i="58"/>
  <c r="N44" i="58"/>
  <c r="O44" i="58"/>
  <c r="Q44" i="58"/>
  <c r="R44" i="58"/>
  <c r="S44" i="58"/>
  <c r="T44" i="58"/>
  <c r="U44" i="58"/>
  <c r="V44" i="58"/>
  <c r="W44" i="58"/>
  <c r="C45" i="58"/>
  <c r="D45" i="58"/>
  <c r="E45" i="58"/>
  <c r="F45" i="58"/>
  <c r="G45" i="58"/>
  <c r="H45" i="58"/>
  <c r="I45" i="58"/>
  <c r="J45" i="58"/>
  <c r="K45" i="58"/>
  <c r="M45" i="58"/>
  <c r="N45" i="58"/>
  <c r="O45" i="58"/>
  <c r="Q45" i="58"/>
  <c r="R45" i="58"/>
  <c r="S45" i="58"/>
  <c r="T45" i="58"/>
  <c r="U45" i="58"/>
  <c r="V45" i="58"/>
  <c r="W45" i="58"/>
  <c r="C46" i="58"/>
  <c r="D46" i="58"/>
  <c r="E46" i="58"/>
  <c r="F46" i="58"/>
  <c r="G46" i="58"/>
  <c r="H46" i="58"/>
  <c r="I46" i="58"/>
  <c r="J46" i="58"/>
  <c r="K46" i="58"/>
  <c r="M46" i="58"/>
  <c r="N46" i="58"/>
  <c r="O46" i="58"/>
  <c r="Q46" i="58"/>
  <c r="R46" i="58"/>
  <c r="S46" i="58"/>
  <c r="T46" i="58"/>
  <c r="U46" i="58"/>
  <c r="V46" i="58"/>
  <c r="W46" i="58"/>
  <c r="C47" i="58"/>
  <c r="D47" i="58"/>
  <c r="E47" i="58"/>
  <c r="F47" i="58"/>
  <c r="G47" i="58"/>
  <c r="H47" i="58"/>
  <c r="I47" i="58"/>
  <c r="J47" i="58"/>
  <c r="K47" i="58"/>
  <c r="M47" i="58"/>
  <c r="N47" i="58"/>
  <c r="O47" i="58"/>
  <c r="Q47" i="58"/>
  <c r="R47" i="58"/>
  <c r="S47" i="58"/>
  <c r="T47" i="58"/>
  <c r="U47" i="58"/>
  <c r="V47" i="58"/>
  <c r="W47" i="58"/>
  <c r="C48" i="58"/>
  <c r="D48" i="58"/>
  <c r="E48" i="58"/>
  <c r="F48" i="58"/>
  <c r="G48" i="58"/>
  <c r="H48" i="58"/>
  <c r="I48" i="58"/>
  <c r="J48" i="58"/>
  <c r="K48" i="58"/>
  <c r="M48" i="58"/>
  <c r="N48" i="58"/>
  <c r="O48" i="58"/>
  <c r="Q48" i="58"/>
  <c r="R48" i="58"/>
  <c r="S48" i="58"/>
  <c r="T48" i="58"/>
  <c r="U48" i="58"/>
  <c r="V48" i="58"/>
  <c r="W48" i="58"/>
  <c r="C49" i="58"/>
  <c r="D49" i="58"/>
  <c r="E49" i="58"/>
  <c r="F49" i="58"/>
  <c r="G49" i="58"/>
  <c r="H49" i="58"/>
  <c r="I49" i="58"/>
  <c r="J49" i="58"/>
  <c r="K49" i="58"/>
  <c r="M49" i="58"/>
  <c r="N49" i="58"/>
  <c r="O49" i="58"/>
  <c r="Q49" i="58"/>
  <c r="R49" i="58"/>
  <c r="S49" i="58"/>
  <c r="T49" i="58"/>
  <c r="U49" i="58"/>
  <c r="V49" i="58"/>
  <c r="W49" i="58"/>
  <c r="C50" i="58"/>
  <c r="D50" i="58"/>
  <c r="E50" i="58"/>
  <c r="F50" i="58"/>
  <c r="G50" i="58"/>
  <c r="H50" i="58"/>
  <c r="I50" i="58"/>
  <c r="J50" i="58"/>
  <c r="K50" i="58"/>
  <c r="M50" i="58"/>
  <c r="N50" i="58"/>
  <c r="O50" i="58"/>
  <c r="Q50" i="58"/>
  <c r="R50" i="58"/>
  <c r="S50" i="58"/>
  <c r="T50" i="58"/>
  <c r="U50" i="58"/>
  <c r="V50" i="58"/>
  <c r="W50" i="58"/>
  <c r="C51" i="58"/>
  <c r="D51" i="58"/>
  <c r="E51" i="58"/>
  <c r="F51" i="58"/>
  <c r="G51" i="58"/>
  <c r="H51" i="58"/>
  <c r="I51" i="58"/>
  <c r="J51" i="58"/>
  <c r="K51" i="58"/>
  <c r="M51" i="58"/>
  <c r="N51" i="58"/>
  <c r="O51" i="58"/>
  <c r="Q51" i="58"/>
  <c r="R51" i="58"/>
  <c r="S51" i="58"/>
  <c r="T51" i="58"/>
  <c r="U51" i="58"/>
  <c r="V51" i="58"/>
  <c r="W51" i="58"/>
  <c r="D41" i="59"/>
  <c r="E41" i="59"/>
  <c r="F41" i="59"/>
  <c r="G41" i="59"/>
  <c r="H41" i="59"/>
  <c r="I41" i="59"/>
  <c r="J41" i="59"/>
  <c r="K41" i="59"/>
  <c r="M41" i="59"/>
  <c r="N41" i="59"/>
  <c r="O41" i="59"/>
  <c r="Q41" i="59"/>
  <c r="R41" i="59"/>
  <c r="S41" i="59"/>
  <c r="T41" i="59"/>
  <c r="U41" i="59"/>
  <c r="V41" i="59"/>
  <c r="W41" i="59"/>
  <c r="D41" i="60"/>
  <c r="E41" i="60"/>
  <c r="F41" i="60"/>
  <c r="G41" i="60"/>
  <c r="H41" i="60"/>
  <c r="I41" i="60"/>
  <c r="J41" i="60"/>
  <c r="K41" i="60"/>
  <c r="M41" i="60"/>
  <c r="N41" i="60"/>
  <c r="O41" i="60"/>
  <c r="Q41" i="60"/>
  <c r="R41" i="60"/>
  <c r="S41" i="60"/>
  <c r="T41" i="60"/>
  <c r="U41" i="60"/>
  <c r="V41" i="60"/>
  <c r="W41" i="60"/>
  <c r="D41" i="61"/>
  <c r="E41" i="61"/>
  <c r="F41" i="61"/>
  <c r="G41" i="61"/>
  <c r="H41" i="61"/>
  <c r="I41" i="61"/>
  <c r="J41" i="61"/>
  <c r="K41" i="61"/>
  <c r="M41" i="61"/>
  <c r="N41" i="61"/>
  <c r="O41" i="61"/>
  <c r="Q41" i="61"/>
  <c r="R41" i="61"/>
  <c r="S41" i="61"/>
  <c r="T41" i="61"/>
  <c r="U41" i="61"/>
  <c r="V41" i="61"/>
  <c r="W41" i="61"/>
  <c r="D41" i="62"/>
  <c r="E41" i="62"/>
  <c r="F41" i="62"/>
  <c r="G41" i="62"/>
  <c r="H41" i="62"/>
  <c r="I41" i="62"/>
  <c r="J41" i="62"/>
  <c r="K41" i="62"/>
  <c r="L41" i="62"/>
  <c r="M41" i="62"/>
  <c r="N41" i="62"/>
  <c r="O41" i="62"/>
  <c r="P41" i="62"/>
  <c r="Q41" i="62"/>
  <c r="R41" i="62"/>
  <c r="S41" i="62"/>
  <c r="T41" i="62"/>
  <c r="U41" i="62"/>
  <c r="V41" i="62"/>
  <c r="W41" i="62"/>
  <c r="D41" i="63"/>
  <c r="E41" i="63"/>
  <c r="F41" i="63"/>
  <c r="G41" i="63"/>
  <c r="H41" i="63"/>
  <c r="I41" i="63"/>
  <c r="J41" i="63"/>
  <c r="K41" i="63"/>
  <c r="L41" i="63"/>
  <c r="M41" i="63"/>
  <c r="N41" i="63"/>
  <c r="O41" i="63"/>
  <c r="P41" i="63"/>
  <c r="Q41" i="63"/>
  <c r="R41" i="63"/>
  <c r="S41" i="63"/>
  <c r="T41" i="63"/>
  <c r="U41" i="63"/>
  <c r="V41" i="63"/>
  <c r="W41" i="63"/>
  <c r="D41" i="64"/>
  <c r="E41" i="64"/>
  <c r="F41" i="64"/>
  <c r="G41" i="64"/>
  <c r="H41" i="64"/>
  <c r="I41" i="64"/>
  <c r="J41" i="64"/>
  <c r="K41" i="64"/>
  <c r="L41" i="64"/>
  <c r="M41" i="64"/>
  <c r="N41" i="64"/>
  <c r="O41" i="64"/>
  <c r="P41" i="64"/>
  <c r="Q41" i="64"/>
  <c r="R41" i="64"/>
  <c r="S41" i="64"/>
  <c r="T41" i="64"/>
  <c r="U41" i="64"/>
  <c r="V41" i="64"/>
  <c r="W41" i="64"/>
  <c r="D41" i="70"/>
  <c r="E41" i="70"/>
  <c r="F41" i="70"/>
  <c r="G41" i="70"/>
  <c r="H41" i="70"/>
  <c r="I41" i="70"/>
  <c r="J41" i="70"/>
  <c r="K41" i="70"/>
  <c r="L41" i="70"/>
  <c r="M41" i="70"/>
  <c r="N41" i="70"/>
  <c r="O41" i="70"/>
  <c r="P41" i="70"/>
  <c r="Q41" i="70"/>
  <c r="R41" i="70"/>
  <c r="S41" i="70"/>
  <c r="T41" i="70"/>
  <c r="U41" i="70"/>
  <c r="V41" i="70"/>
  <c r="W41" i="70"/>
  <c r="D41" i="71"/>
  <c r="E41" i="71"/>
  <c r="F41" i="71"/>
  <c r="G41" i="71"/>
  <c r="H41" i="71"/>
  <c r="I41" i="71"/>
  <c r="J41" i="71"/>
  <c r="K41" i="71"/>
  <c r="L41" i="71"/>
  <c r="M41" i="71"/>
  <c r="N41" i="71"/>
  <c r="O41" i="71"/>
  <c r="P41" i="71"/>
  <c r="Q41" i="71"/>
  <c r="R41" i="71"/>
  <c r="S41" i="71"/>
  <c r="T41" i="71"/>
  <c r="U41" i="71"/>
  <c r="V41" i="71"/>
  <c r="W41" i="71"/>
  <c r="D41" i="58"/>
  <c r="E41" i="58"/>
  <c r="F41" i="58"/>
  <c r="G41" i="58"/>
  <c r="H41" i="58"/>
  <c r="I41" i="58"/>
  <c r="J41" i="58"/>
  <c r="K41" i="58"/>
  <c r="M41" i="58"/>
  <c r="N41" i="58"/>
  <c r="O41" i="58"/>
  <c r="Q41" i="58"/>
  <c r="R41" i="58"/>
  <c r="S41" i="58"/>
  <c r="T41" i="58"/>
  <c r="U41" i="58"/>
  <c r="V41" i="58"/>
  <c r="W41" i="58"/>
  <c r="C41" i="59"/>
  <c r="C41" i="60"/>
  <c r="C41" i="61"/>
  <c r="C41" i="62"/>
  <c r="C41" i="63"/>
  <c r="C41" i="64"/>
  <c r="C41" i="70"/>
  <c r="C41" i="71"/>
  <c r="C41" i="58"/>
  <c r="W39" i="71"/>
  <c r="V39" i="71"/>
  <c r="U39" i="71"/>
  <c r="T39" i="71"/>
  <c r="S39" i="71"/>
  <c r="R39" i="71"/>
  <c r="Q39" i="71"/>
  <c r="O39" i="71"/>
  <c r="N39" i="71"/>
  <c r="M39" i="71"/>
  <c r="K39" i="71"/>
  <c r="J39" i="71"/>
  <c r="I39" i="71"/>
  <c r="H39" i="71"/>
  <c r="G39" i="71"/>
  <c r="F39" i="71"/>
  <c r="E39" i="71"/>
  <c r="D39" i="71"/>
  <c r="C39" i="71"/>
  <c r="Y39" i="71" s="1"/>
  <c r="W37" i="71"/>
  <c r="V37" i="71"/>
  <c r="U37" i="71"/>
  <c r="T37" i="71"/>
  <c r="S37" i="71"/>
  <c r="R37" i="71"/>
  <c r="Q37" i="71"/>
  <c r="O37" i="71"/>
  <c r="N37" i="71"/>
  <c r="M37" i="71"/>
  <c r="K37" i="71"/>
  <c r="J37" i="71"/>
  <c r="I37" i="71"/>
  <c r="H37" i="71"/>
  <c r="G37" i="71"/>
  <c r="F37" i="71"/>
  <c r="E37" i="71"/>
  <c r="D37" i="71"/>
  <c r="C37" i="71"/>
  <c r="Y37" i="71" s="1"/>
  <c r="W36" i="71"/>
  <c r="V36" i="71"/>
  <c r="U36" i="71"/>
  <c r="T36" i="71"/>
  <c r="S36" i="71"/>
  <c r="R36" i="71"/>
  <c r="Q36" i="71"/>
  <c r="O36" i="71"/>
  <c r="N36" i="71"/>
  <c r="M36" i="71"/>
  <c r="K36" i="71"/>
  <c r="J36" i="71"/>
  <c r="I36" i="71"/>
  <c r="H36" i="71"/>
  <c r="G36" i="71"/>
  <c r="F36" i="71"/>
  <c r="E36" i="71"/>
  <c r="D36" i="71"/>
  <c r="C36" i="71"/>
  <c r="Y36" i="71" s="1"/>
  <c r="W35" i="71"/>
  <c r="V35" i="71"/>
  <c r="U35" i="71"/>
  <c r="T35" i="71"/>
  <c r="S35" i="71"/>
  <c r="R35" i="71"/>
  <c r="Q35" i="71"/>
  <c r="O35" i="71"/>
  <c r="N35" i="71"/>
  <c r="M35" i="71"/>
  <c r="K35" i="71"/>
  <c r="J35" i="71"/>
  <c r="I35" i="71"/>
  <c r="H35" i="71"/>
  <c r="G35" i="71"/>
  <c r="F35" i="71"/>
  <c r="E35" i="71"/>
  <c r="D35" i="71"/>
  <c r="C35" i="71"/>
  <c r="Y35" i="71" s="1"/>
  <c r="W34" i="71"/>
  <c r="V34" i="71"/>
  <c r="U34" i="71"/>
  <c r="T34" i="71"/>
  <c r="S34" i="71"/>
  <c r="R34" i="71"/>
  <c r="Q34" i="71"/>
  <c r="O34" i="71"/>
  <c r="N34" i="71"/>
  <c r="M34" i="71"/>
  <c r="K34" i="71"/>
  <c r="J34" i="71"/>
  <c r="I34" i="71"/>
  <c r="H34" i="71"/>
  <c r="G34" i="71"/>
  <c r="F34" i="71"/>
  <c r="E34" i="71"/>
  <c r="D34" i="71"/>
  <c r="C34" i="71"/>
  <c r="Y34" i="71" s="1"/>
  <c r="Y33" i="71"/>
  <c r="W33" i="71"/>
  <c r="V33" i="71"/>
  <c r="U33" i="71"/>
  <c r="T33" i="71"/>
  <c r="S33" i="71"/>
  <c r="R33" i="71"/>
  <c r="Q33" i="71"/>
  <c r="O33" i="71"/>
  <c r="N33" i="71"/>
  <c r="M33" i="71"/>
  <c r="K33" i="71"/>
  <c r="J33" i="71"/>
  <c r="I33" i="71"/>
  <c r="H33" i="71"/>
  <c r="G33" i="71"/>
  <c r="F33" i="71"/>
  <c r="E33" i="71"/>
  <c r="D33" i="71"/>
  <c r="C33" i="71"/>
  <c r="W32" i="71"/>
  <c r="V32" i="71"/>
  <c r="U32" i="71"/>
  <c r="T32" i="71"/>
  <c r="S32" i="71"/>
  <c r="R32" i="71"/>
  <c r="Q32" i="71"/>
  <c r="O32" i="71"/>
  <c r="N32" i="71"/>
  <c r="M32" i="71"/>
  <c r="K32" i="71"/>
  <c r="J32" i="71"/>
  <c r="I32" i="71"/>
  <c r="H32" i="71"/>
  <c r="G32" i="71"/>
  <c r="F32" i="71"/>
  <c r="E32" i="71"/>
  <c r="D32" i="71"/>
  <c r="C32" i="71"/>
  <c r="Y32" i="71" s="1"/>
  <c r="V31" i="71"/>
  <c r="U31" i="71"/>
  <c r="T31" i="71"/>
  <c r="S31" i="71"/>
  <c r="R31" i="71"/>
  <c r="Q31" i="71"/>
  <c r="O31" i="71"/>
  <c r="N31" i="71"/>
  <c r="M31" i="71"/>
  <c r="K31" i="71"/>
  <c r="J31" i="71"/>
  <c r="I31" i="71"/>
  <c r="H31" i="71"/>
  <c r="G31" i="71"/>
  <c r="F31" i="71"/>
  <c r="E31" i="71"/>
  <c r="D31" i="71"/>
  <c r="C31" i="71"/>
  <c r="W39" i="70"/>
  <c r="V39" i="70"/>
  <c r="U39" i="70"/>
  <c r="T39" i="70"/>
  <c r="S39" i="70"/>
  <c r="R39" i="70"/>
  <c r="Q39" i="70"/>
  <c r="O39" i="70"/>
  <c r="N39" i="70"/>
  <c r="M39" i="70"/>
  <c r="K39" i="70"/>
  <c r="J39" i="70"/>
  <c r="I39" i="70"/>
  <c r="H39" i="70"/>
  <c r="G39" i="70"/>
  <c r="F39" i="70"/>
  <c r="E39" i="70"/>
  <c r="D39" i="70"/>
  <c r="C39" i="70"/>
  <c r="Y39" i="70" s="1"/>
  <c r="W37" i="70"/>
  <c r="V37" i="70"/>
  <c r="U37" i="70"/>
  <c r="T37" i="70"/>
  <c r="S37" i="70"/>
  <c r="R37" i="70"/>
  <c r="Q37" i="70"/>
  <c r="O37" i="70"/>
  <c r="N37" i="70"/>
  <c r="M37" i="70"/>
  <c r="K37" i="70"/>
  <c r="J37" i="70"/>
  <c r="I37" i="70"/>
  <c r="H37" i="70"/>
  <c r="G37" i="70"/>
  <c r="F37" i="70"/>
  <c r="E37" i="70"/>
  <c r="D37" i="70"/>
  <c r="C37" i="70"/>
  <c r="Y37" i="70" s="1"/>
  <c r="W36" i="70"/>
  <c r="V36" i="70"/>
  <c r="U36" i="70"/>
  <c r="T36" i="70"/>
  <c r="S36" i="70"/>
  <c r="R36" i="70"/>
  <c r="Q36" i="70"/>
  <c r="O36" i="70"/>
  <c r="N36" i="70"/>
  <c r="M36" i="70"/>
  <c r="K36" i="70"/>
  <c r="J36" i="70"/>
  <c r="I36" i="70"/>
  <c r="H36" i="70"/>
  <c r="G36" i="70"/>
  <c r="F36" i="70"/>
  <c r="E36" i="70"/>
  <c r="D36" i="70"/>
  <c r="C36" i="70"/>
  <c r="Y36" i="70" s="1"/>
  <c r="W35" i="70"/>
  <c r="V35" i="70"/>
  <c r="U35" i="70"/>
  <c r="T35" i="70"/>
  <c r="S35" i="70"/>
  <c r="R35" i="70"/>
  <c r="Q35" i="70"/>
  <c r="O35" i="70"/>
  <c r="N35" i="70"/>
  <c r="M35" i="70"/>
  <c r="K35" i="70"/>
  <c r="J35" i="70"/>
  <c r="I35" i="70"/>
  <c r="H35" i="70"/>
  <c r="G35" i="70"/>
  <c r="F35" i="70"/>
  <c r="E35" i="70"/>
  <c r="D35" i="70"/>
  <c r="C35" i="70"/>
  <c r="Y35" i="70" s="1"/>
  <c r="W34" i="70"/>
  <c r="V34" i="70"/>
  <c r="U34" i="70"/>
  <c r="T34" i="70"/>
  <c r="S34" i="70"/>
  <c r="R34" i="70"/>
  <c r="Q34" i="70"/>
  <c r="O34" i="70"/>
  <c r="N34" i="70"/>
  <c r="M34" i="70"/>
  <c r="K34" i="70"/>
  <c r="J34" i="70"/>
  <c r="I34" i="70"/>
  <c r="H34" i="70"/>
  <c r="G34" i="70"/>
  <c r="F34" i="70"/>
  <c r="E34" i="70"/>
  <c r="D34" i="70"/>
  <c r="C34" i="70"/>
  <c r="Y34" i="70" s="1"/>
  <c r="Y33" i="70"/>
  <c r="W33" i="70"/>
  <c r="V33" i="70"/>
  <c r="U33" i="70"/>
  <c r="T33" i="70"/>
  <c r="S33" i="70"/>
  <c r="R33" i="70"/>
  <c r="Q33" i="70"/>
  <c r="O33" i="70"/>
  <c r="N33" i="70"/>
  <c r="M33" i="70"/>
  <c r="K33" i="70"/>
  <c r="J33" i="70"/>
  <c r="I33" i="70"/>
  <c r="H33" i="70"/>
  <c r="G33" i="70"/>
  <c r="F33" i="70"/>
  <c r="E33" i="70"/>
  <c r="D33" i="70"/>
  <c r="C33" i="70"/>
  <c r="W32" i="70"/>
  <c r="V32" i="70"/>
  <c r="U32" i="70"/>
  <c r="T32" i="70"/>
  <c r="S32" i="70"/>
  <c r="R32" i="70"/>
  <c r="Q32" i="70"/>
  <c r="O32" i="70"/>
  <c r="N32" i="70"/>
  <c r="M32" i="70"/>
  <c r="K32" i="70"/>
  <c r="J32" i="70"/>
  <c r="I32" i="70"/>
  <c r="H32" i="70"/>
  <c r="G32" i="70"/>
  <c r="F32" i="70"/>
  <c r="E32" i="70"/>
  <c r="D32" i="70"/>
  <c r="C32" i="70"/>
  <c r="Y32" i="70" s="1"/>
  <c r="V31" i="70"/>
  <c r="U31" i="70"/>
  <c r="T31" i="70"/>
  <c r="S31" i="70"/>
  <c r="R31" i="70"/>
  <c r="Q31" i="70"/>
  <c r="O31" i="70"/>
  <c r="N31" i="70"/>
  <c r="M31" i="70"/>
  <c r="K31" i="70"/>
  <c r="J31" i="70"/>
  <c r="I31" i="70"/>
  <c r="H31" i="70"/>
  <c r="G31" i="70"/>
  <c r="F31" i="70"/>
  <c r="E31" i="70"/>
  <c r="D31" i="70"/>
  <c r="C31" i="70"/>
  <c r="W39" i="64"/>
  <c r="V39" i="64"/>
  <c r="U39" i="64"/>
  <c r="T39" i="64"/>
  <c r="S39" i="64"/>
  <c r="R39" i="64"/>
  <c r="Q39" i="64"/>
  <c r="O39" i="64"/>
  <c r="N39" i="64"/>
  <c r="M39" i="64"/>
  <c r="K39" i="64"/>
  <c r="J39" i="64"/>
  <c r="I39" i="64"/>
  <c r="H39" i="64"/>
  <c r="G39" i="64"/>
  <c r="F39" i="64"/>
  <c r="E39" i="64"/>
  <c r="D39" i="64"/>
  <c r="C39" i="64"/>
  <c r="Y39" i="64" s="1"/>
  <c r="W37" i="64"/>
  <c r="V37" i="64"/>
  <c r="U37" i="64"/>
  <c r="T37" i="64"/>
  <c r="S37" i="64"/>
  <c r="R37" i="64"/>
  <c r="Q37" i="64"/>
  <c r="O37" i="64"/>
  <c r="N37" i="64"/>
  <c r="M37" i="64"/>
  <c r="K37" i="64"/>
  <c r="J37" i="64"/>
  <c r="I37" i="64"/>
  <c r="H37" i="64"/>
  <c r="G37" i="64"/>
  <c r="F37" i="64"/>
  <c r="E37" i="64"/>
  <c r="D37" i="64"/>
  <c r="Y37" i="64" s="1"/>
  <c r="C37" i="64"/>
  <c r="W36" i="64"/>
  <c r="V36" i="64"/>
  <c r="U36" i="64"/>
  <c r="T36" i="64"/>
  <c r="S36" i="64"/>
  <c r="R36" i="64"/>
  <c r="Q36" i="64"/>
  <c r="O36" i="64"/>
  <c r="N36" i="64"/>
  <c r="M36" i="64"/>
  <c r="K36" i="64"/>
  <c r="J36" i="64"/>
  <c r="I36" i="64"/>
  <c r="H36" i="64"/>
  <c r="G36" i="64"/>
  <c r="F36" i="64"/>
  <c r="E36" i="64"/>
  <c r="D36" i="64"/>
  <c r="C36" i="64"/>
  <c r="Y36" i="64" s="1"/>
  <c r="W35" i="64"/>
  <c r="V35" i="64"/>
  <c r="U35" i="64"/>
  <c r="T35" i="64"/>
  <c r="S35" i="64"/>
  <c r="R35" i="64"/>
  <c r="Q35" i="64"/>
  <c r="O35" i="64"/>
  <c r="N35" i="64"/>
  <c r="M35" i="64"/>
  <c r="K35" i="64"/>
  <c r="J35" i="64"/>
  <c r="I35" i="64"/>
  <c r="H35" i="64"/>
  <c r="G35" i="64"/>
  <c r="F35" i="64"/>
  <c r="E35" i="64"/>
  <c r="D35" i="64"/>
  <c r="C35" i="64"/>
  <c r="Y35" i="64" s="1"/>
  <c r="W34" i="64"/>
  <c r="V34" i="64"/>
  <c r="U34" i="64"/>
  <c r="T34" i="64"/>
  <c r="S34" i="64"/>
  <c r="R34" i="64"/>
  <c r="Q34" i="64"/>
  <c r="O34" i="64"/>
  <c r="N34" i="64"/>
  <c r="M34" i="64"/>
  <c r="K34" i="64"/>
  <c r="J34" i="64"/>
  <c r="I34" i="64"/>
  <c r="H34" i="64"/>
  <c r="G34" i="64"/>
  <c r="F34" i="64"/>
  <c r="E34" i="64"/>
  <c r="D34" i="64"/>
  <c r="Y34" i="64" s="1"/>
  <c r="C34" i="64"/>
  <c r="Y33" i="64"/>
  <c r="W33" i="64"/>
  <c r="V33" i="64"/>
  <c r="U33" i="64"/>
  <c r="T33" i="64"/>
  <c r="S33" i="64"/>
  <c r="R33" i="64"/>
  <c r="Q33" i="64"/>
  <c r="O33" i="64"/>
  <c r="N33" i="64"/>
  <c r="M33" i="64"/>
  <c r="K33" i="64"/>
  <c r="J33" i="64"/>
  <c r="I33" i="64"/>
  <c r="H33" i="64"/>
  <c r="G33" i="64"/>
  <c r="F33" i="64"/>
  <c r="E33" i="64"/>
  <c r="D33" i="64"/>
  <c r="C33" i="64"/>
  <c r="W32" i="64"/>
  <c r="V32" i="64"/>
  <c r="U32" i="64"/>
  <c r="T32" i="64"/>
  <c r="S32" i="64"/>
  <c r="R32" i="64"/>
  <c r="Q32" i="64"/>
  <c r="O32" i="64"/>
  <c r="N32" i="64"/>
  <c r="M32" i="64"/>
  <c r="K32" i="64"/>
  <c r="J32" i="64"/>
  <c r="I32" i="64"/>
  <c r="H32" i="64"/>
  <c r="G32" i="64"/>
  <c r="F32" i="64"/>
  <c r="E32" i="64"/>
  <c r="D32" i="64"/>
  <c r="C32" i="64"/>
  <c r="Y32" i="64" s="1"/>
  <c r="V31" i="64"/>
  <c r="U31" i="64"/>
  <c r="T31" i="64"/>
  <c r="S31" i="64"/>
  <c r="R31" i="64"/>
  <c r="Q31" i="64"/>
  <c r="O31" i="64"/>
  <c r="N31" i="64"/>
  <c r="M31" i="64"/>
  <c r="K31" i="64"/>
  <c r="J31" i="64"/>
  <c r="I31" i="64"/>
  <c r="H31" i="64"/>
  <c r="G31" i="64"/>
  <c r="F31" i="64"/>
  <c r="E31" i="64"/>
  <c r="D31" i="64"/>
  <c r="C31" i="64"/>
  <c r="E31" i="63"/>
  <c r="C31" i="63"/>
  <c r="E31" i="62"/>
  <c r="C31" i="62"/>
  <c r="E31" i="61"/>
  <c r="H31" i="58"/>
  <c r="E31" i="60"/>
  <c r="C31" i="60"/>
  <c r="W39" i="63"/>
  <c r="V39" i="63"/>
  <c r="U39" i="63"/>
  <c r="T39" i="63"/>
  <c r="S39" i="63"/>
  <c r="R39" i="63"/>
  <c r="Q39" i="63"/>
  <c r="O39" i="63"/>
  <c r="N39" i="63"/>
  <c r="M39" i="63"/>
  <c r="K39" i="63"/>
  <c r="J39" i="63"/>
  <c r="I39" i="63"/>
  <c r="H39" i="63"/>
  <c r="G39" i="63"/>
  <c r="F39" i="63"/>
  <c r="E39" i="63"/>
  <c r="D39" i="63"/>
  <c r="C39" i="63"/>
  <c r="Y39" i="63" s="1"/>
  <c r="W37" i="63"/>
  <c r="V37" i="63"/>
  <c r="U37" i="63"/>
  <c r="T37" i="63"/>
  <c r="S37" i="63"/>
  <c r="R37" i="63"/>
  <c r="Q37" i="63"/>
  <c r="O37" i="63"/>
  <c r="N37" i="63"/>
  <c r="M37" i="63"/>
  <c r="K37" i="63"/>
  <c r="J37" i="63"/>
  <c r="I37" i="63"/>
  <c r="H37" i="63"/>
  <c r="G37" i="63"/>
  <c r="F37" i="63"/>
  <c r="E37" i="63"/>
  <c r="D37" i="63"/>
  <c r="C37" i="63"/>
  <c r="Y37" i="63" s="1"/>
  <c r="W36" i="63"/>
  <c r="V36" i="63"/>
  <c r="U36" i="63"/>
  <c r="T36" i="63"/>
  <c r="S36" i="63"/>
  <c r="R36" i="63"/>
  <c r="Q36" i="63"/>
  <c r="O36" i="63"/>
  <c r="N36" i="63"/>
  <c r="M36" i="63"/>
  <c r="K36" i="63"/>
  <c r="J36" i="63"/>
  <c r="I36" i="63"/>
  <c r="H36" i="63"/>
  <c r="G36" i="63"/>
  <c r="F36" i="63"/>
  <c r="E36" i="63"/>
  <c r="D36" i="63"/>
  <c r="C36" i="63"/>
  <c r="Y36" i="63" s="1"/>
  <c r="W35" i="63"/>
  <c r="V35" i="63"/>
  <c r="U35" i="63"/>
  <c r="T35" i="63"/>
  <c r="S35" i="63"/>
  <c r="R35" i="63"/>
  <c r="Q35" i="63"/>
  <c r="O35" i="63"/>
  <c r="N35" i="63"/>
  <c r="M35" i="63"/>
  <c r="K35" i="63"/>
  <c r="J35" i="63"/>
  <c r="I35" i="63"/>
  <c r="H35" i="63"/>
  <c r="G35" i="63"/>
  <c r="F35" i="63"/>
  <c r="E35" i="63"/>
  <c r="D35" i="63"/>
  <c r="C35" i="63"/>
  <c r="Y35" i="63" s="1"/>
  <c r="W34" i="63"/>
  <c r="V34" i="63"/>
  <c r="U34" i="63"/>
  <c r="T34" i="63"/>
  <c r="S34" i="63"/>
  <c r="R34" i="63"/>
  <c r="Q34" i="63"/>
  <c r="O34" i="63"/>
  <c r="N34" i="63"/>
  <c r="M34" i="63"/>
  <c r="K34" i="63"/>
  <c r="J34" i="63"/>
  <c r="I34" i="63"/>
  <c r="H34" i="63"/>
  <c r="G34" i="63"/>
  <c r="F34" i="63"/>
  <c r="E34" i="63"/>
  <c r="D34" i="63"/>
  <c r="C34" i="63"/>
  <c r="Y34" i="63" s="1"/>
  <c r="Y33" i="63"/>
  <c r="W33" i="63"/>
  <c r="V33" i="63"/>
  <c r="U33" i="63"/>
  <c r="T33" i="63"/>
  <c r="S33" i="63"/>
  <c r="R33" i="63"/>
  <c r="Q33" i="63"/>
  <c r="O33" i="63"/>
  <c r="N33" i="63"/>
  <c r="M33" i="63"/>
  <c r="K33" i="63"/>
  <c r="J33" i="63"/>
  <c r="I33" i="63"/>
  <c r="H33" i="63"/>
  <c r="G33" i="63"/>
  <c r="F33" i="63"/>
  <c r="E33" i="63"/>
  <c r="D33" i="63"/>
  <c r="C33" i="63"/>
  <c r="W32" i="63"/>
  <c r="V32" i="63"/>
  <c r="U32" i="63"/>
  <c r="T32" i="63"/>
  <c r="S32" i="63"/>
  <c r="R32" i="63"/>
  <c r="Q32" i="63"/>
  <c r="O32" i="63"/>
  <c r="N32" i="63"/>
  <c r="M32" i="63"/>
  <c r="K32" i="63"/>
  <c r="J32" i="63"/>
  <c r="I32" i="63"/>
  <c r="H32" i="63"/>
  <c r="G32" i="63"/>
  <c r="F32" i="63"/>
  <c r="E32" i="63"/>
  <c r="D32" i="63"/>
  <c r="C32" i="63"/>
  <c r="Y32" i="63" s="1"/>
  <c r="V31" i="63"/>
  <c r="U31" i="63"/>
  <c r="T31" i="63"/>
  <c r="S31" i="63"/>
  <c r="R31" i="63"/>
  <c r="Q31" i="63"/>
  <c r="O31" i="63"/>
  <c r="N31" i="63"/>
  <c r="M31" i="63"/>
  <c r="K31" i="63"/>
  <c r="J31" i="63"/>
  <c r="I31" i="63"/>
  <c r="H31" i="63"/>
  <c r="G31" i="63"/>
  <c r="F31" i="63"/>
  <c r="D31" i="63"/>
  <c r="W39" i="62"/>
  <c r="V39" i="62"/>
  <c r="U39" i="62"/>
  <c r="T39" i="62"/>
  <c r="S39" i="62"/>
  <c r="R39" i="62"/>
  <c r="Q39" i="62"/>
  <c r="O39" i="62"/>
  <c r="N39" i="62"/>
  <c r="M39" i="62"/>
  <c r="K39" i="62"/>
  <c r="J39" i="62"/>
  <c r="I39" i="62"/>
  <c r="H39" i="62"/>
  <c r="G39" i="62"/>
  <c r="F39" i="62"/>
  <c r="E39" i="62"/>
  <c r="D39" i="62"/>
  <c r="C39" i="62"/>
  <c r="Y39" i="62" s="1"/>
  <c r="Y37" i="62"/>
  <c r="W37" i="62"/>
  <c r="V37" i="62"/>
  <c r="U37" i="62"/>
  <c r="T37" i="62"/>
  <c r="S37" i="62"/>
  <c r="R37" i="62"/>
  <c r="Q37" i="62"/>
  <c r="O37" i="62"/>
  <c r="N37" i="62"/>
  <c r="M37" i="62"/>
  <c r="K37" i="62"/>
  <c r="J37" i="62"/>
  <c r="I37" i="62"/>
  <c r="H37" i="62"/>
  <c r="G37" i="62"/>
  <c r="F37" i="62"/>
  <c r="E37" i="62"/>
  <c r="D37" i="62"/>
  <c r="C37" i="62"/>
  <c r="W36" i="62"/>
  <c r="V36" i="62"/>
  <c r="U36" i="62"/>
  <c r="T36" i="62"/>
  <c r="S36" i="62"/>
  <c r="R36" i="62"/>
  <c r="Q36" i="62"/>
  <c r="O36" i="62"/>
  <c r="N36" i="62"/>
  <c r="M36" i="62"/>
  <c r="K36" i="62"/>
  <c r="J36" i="62"/>
  <c r="I36" i="62"/>
  <c r="H36" i="62"/>
  <c r="G36" i="62"/>
  <c r="F36" i="62"/>
  <c r="E36" i="62"/>
  <c r="D36" i="62"/>
  <c r="C36" i="62"/>
  <c r="Y36" i="62" s="1"/>
  <c r="W35" i="62"/>
  <c r="V35" i="62"/>
  <c r="U35" i="62"/>
  <c r="T35" i="62"/>
  <c r="S35" i="62"/>
  <c r="R35" i="62"/>
  <c r="Q35" i="62"/>
  <c r="O35" i="62"/>
  <c r="N35" i="62"/>
  <c r="M35" i="62"/>
  <c r="K35" i="62"/>
  <c r="J35" i="62"/>
  <c r="I35" i="62"/>
  <c r="H35" i="62"/>
  <c r="G35" i="62"/>
  <c r="F35" i="62"/>
  <c r="E35" i="62"/>
  <c r="D35" i="62"/>
  <c r="C35" i="62"/>
  <c r="Y35" i="62" s="1"/>
  <c r="Y34" i="62"/>
  <c r="W34" i="62"/>
  <c r="V34" i="62"/>
  <c r="U34" i="62"/>
  <c r="T34" i="62"/>
  <c r="S34" i="62"/>
  <c r="R34" i="62"/>
  <c r="Q34" i="62"/>
  <c r="O34" i="62"/>
  <c r="N34" i="62"/>
  <c r="M34" i="62"/>
  <c r="K34" i="62"/>
  <c r="J34" i="62"/>
  <c r="I34" i="62"/>
  <c r="H34" i="62"/>
  <c r="G34" i="62"/>
  <c r="F34" i="62"/>
  <c r="E34" i="62"/>
  <c r="D34" i="62"/>
  <c r="C34" i="62"/>
  <c r="Y33" i="62"/>
  <c r="W33" i="62"/>
  <c r="V33" i="62"/>
  <c r="U33" i="62"/>
  <c r="T33" i="62"/>
  <c r="S33" i="62"/>
  <c r="R33" i="62"/>
  <c r="Q33" i="62"/>
  <c r="O33" i="62"/>
  <c r="N33" i="62"/>
  <c r="M33" i="62"/>
  <c r="K33" i="62"/>
  <c r="J33" i="62"/>
  <c r="I33" i="62"/>
  <c r="H33" i="62"/>
  <c r="G33" i="62"/>
  <c r="F33" i="62"/>
  <c r="E33" i="62"/>
  <c r="D33" i="62"/>
  <c r="C33" i="62"/>
  <c r="W32" i="62"/>
  <c r="V32" i="62"/>
  <c r="U32" i="62"/>
  <c r="T32" i="62"/>
  <c r="S32" i="62"/>
  <c r="R32" i="62"/>
  <c r="Q32" i="62"/>
  <c r="O32" i="62"/>
  <c r="N32" i="62"/>
  <c r="M32" i="62"/>
  <c r="K32" i="62"/>
  <c r="J32" i="62"/>
  <c r="I32" i="62"/>
  <c r="H32" i="62"/>
  <c r="G32" i="62"/>
  <c r="F32" i="62"/>
  <c r="E32" i="62"/>
  <c r="D32" i="62"/>
  <c r="C32" i="62"/>
  <c r="Y32" i="62" s="1"/>
  <c r="V31" i="62"/>
  <c r="U31" i="62"/>
  <c r="T31" i="62"/>
  <c r="S31" i="62"/>
  <c r="R31" i="62"/>
  <c r="Q31" i="62"/>
  <c r="O31" i="62"/>
  <c r="N31" i="62"/>
  <c r="M31" i="62"/>
  <c r="K31" i="62"/>
  <c r="J31" i="62"/>
  <c r="I31" i="62"/>
  <c r="H31" i="62"/>
  <c r="G31" i="62"/>
  <c r="F31" i="62"/>
  <c r="D31" i="62"/>
  <c r="C31" i="58"/>
  <c r="E31" i="58"/>
  <c r="C9" i="58"/>
  <c r="D9" i="58"/>
  <c r="E9" i="58"/>
  <c r="F9" i="58"/>
  <c r="F36" i="58" s="1"/>
  <c r="G9" i="58"/>
  <c r="I9" i="58"/>
  <c r="J9" i="58"/>
  <c r="K9" i="58"/>
  <c r="N9" i="58"/>
  <c r="R8" i="58"/>
  <c r="Q8" i="58"/>
  <c r="O8" i="58"/>
  <c r="N8" i="58"/>
  <c r="I8" i="58"/>
  <c r="G8" i="58"/>
  <c r="F8" i="58"/>
  <c r="F35" i="58" s="1"/>
  <c r="D8" i="58"/>
  <c r="C8" i="58"/>
  <c r="C7" i="58"/>
  <c r="C34" i="58" s="1"/>
  <c r="D6" i="58"/>
  <c r="C5" i="58"/>
  <c r="E5" i="58"/>
  <c r="M5" i="58"/>
  <c r="N5" i="58"/>
  <c r="O5" i="58"/>
  <c r="Q5" i="58"/>
  <c r="V4" i="58"/>
  <c r="Q4" i="58"/>
  <c r="N4" i="58"/>
  <c r="M4" i="58"/>
  <c r="H4" i="58"/>
  <c r="G4" i="58"/>
  <c r="E4" i="58"/>
  <c r="C4" i="58"/>
  <c r="W39" i="58"/>
  <c r="V39" i="58"/>
  <c r="U39" i="58"/>
  <c r="T39" i="58"/>
  <c r="S39" i="58"/>
  <c r="R39" i="58"/>
  <c r="Q39" i="58"/>
  <c r="O39" i="58"/>
  <c r="N39" i="58"/>
  <c r="M39" i="58"/>
  <c r="K39" i="58"/>
  <c r="J39" i="58"/>
  <c r="I39" i="58"/>
  <c r="H39" i="58"/>
  <c r="G39" i="58"/>
  <c r="F39" i="58"/>
  <c r="E39" i="58"/>
  <c r="D39" i="58"/>
  <c r="Y39" i="58" s="1"/>
  <c r="C39" i="58"/>
  <c r="W37" i="58"/>
  <c r="V37" i="58"/>
  <c r="U37" i="58"/>
  <c r="T37" i="58"/>
  <c r="S37" i="58"/>
  <c r="R37" i="58"/>
  <c r="Q37" i="58"/>
  <c r="O37" i="58"/>
  <c r="N37" i="58"/>
  <c r="M37" i="58"/>
  <c r="K37" i="58"/>
  <c r="J37" i="58"/>
  <c r="I37" i="58"/>
  <c r="H37" i="58"/>
  <c r="G37" i="58"/>
  <c r="F37" i="58"/>
  <c r="E37" i="58"/>
  <c r="D37" i="58"/>
  <c r="Y37" i="58" s="1"/>
  <c r="C37" i="58"/>
  <c r="W36" i="58"/>
  <c r="V36" i="58"/>
  <c r="U36" i="58"/>
  <c r="T36" i="58"/>
  <c r="S36" i="58"/>
  <c r="R36" i="58"/>
  <c r="Q36" i="58"/>
  <c r="O36" i="58"/>
  <c r="N36" i="58"/>
  <c r="M36" i="58"/>
  <c r="K36" i="58"/>
  <c r="J36" i="58"/>
  <c r="I36" i="58"/>
  <c r="H36" i="58"/>
  <c r="G36" i="58"/>
  <c r="E36" i="58"/>
  <c r="D36" i="58"/>
  <c r="C36" i="58"/>
  <c r="W35" i="58"/>
  <c r="V35" i="58"/>
  <c r="U35" i="58"/>
  <c r="T35" i="58"/>
  <c r="S35" i="58"/>
  <c r="R35" i="58"/>
  <c r="Q35" i="58"/>
  <c r="O35" i="58"/>
  <c r="N35" i="58"/>
  <c r="M35" i="58"/>
  <c r="K35" i="58"/>
  <c r="J35" i="58"/>
  <c r="I35" i="58"/>
  <c r="H35" i="58"/>
  <c r="G35" i="58"/>
  <c r="E35" i="58"/>
  <c r="D35" i="58"/>
  <c r="C35" i="58"/>
  <c r="W34" i="58"/>
  <c r="V34" i="58"/>
  <c r="U34" i="58"/>
  <c r="T34" i="58"/>
  <c r="S34" i="58"/>
  <c r="R34" i="58"/>
  <c r="Q34" i="58"/>
  <c r="O34" i="58"/>
  <c r="N34" i="58"/>
  <c r="M34" i="58"/>
  <c r="K34" i="58"/>
  <c r="J34" i="58"/>
  <c r="I34" i="58"/>
  <c r="H34" i="58"/>
  <c r="G34" i="58"/>
  <c r="F34" i="58"/>
  <c r="E34" i="58"/>
  <c r="D34" i="58"/>
  <c r="W33" i="58"/>
  <c r="V33" i="58"/>
  <c r="U33" i="58"/>
  <c r="T33" i="58"/>
  <c r="S33" i="58"/>
  <c r="R33" i="58"/>
  <c r="Q33" i="58"/>
  <c r="O33" i="58"/>
  <c r="N33" i="58"/>
  <c r="M33" i="58"/>
  <c r="K33" i="58"/>
  <c r="J33" i="58"/>
  <c r="I33" i="58"/>
  <c r="H33" i="58"/>
  <c r="G33" i="58"/>
  <c r="F33" i="58"/>
  <c r="E33" i="58"/>
  <c r="D33" i="58"/>
  <c r="C33" i="58"/>
  <c r="W32" i="58"/>
  <c r="V32" i="58"/>
  <c r="U32" i="58"/>
  <c r="T32" i="58"/>
  <c r="S32" i="58"/>
  <c r="R32" i="58"/>
  <c r="Q32" i="58"/>
  <c r="O32" i="58"/>
  <c r="N32" i="58"/>
  <c r="M32" i="58"/>
  <c r="K32" i="58"/>
  <c r="J32" i="58"/>
  <c r="I32" i="58"/>
  <c r="H32" i="58"/>
  <c r="G32" i="58"/>
  <c r="F32" i="58"/>
  <c r="E32" i="58"/>
  <c r="D32" i="58"/>
  <c r="C32" i="58"/>
  <c r="V31" i="58"/>
  <c r="U31" i="58"/>
  <c r="T31" i="58"/>
  <c r="S31" i="58"/>
  <c r="R31" i="58"/>
  <c r="Q31" i="58"/>
  <c r="O31" i="58"/>
  <c r="N31" i="58"/>
  <c r="M31" i="58"/>
  <c r="K31" i="58"/>
  <c r="J31" i="58"/>
  <c r="I31" i="58"/>
  <c r="G31" i="58"/>
  <c r="F31" i="58"/>
  <c r="D31" i="58"/>
  <c r="N12" i="59"/>
  <c r="K12" i="59"/>
  <c r="J12" i="59"/>
  <c r="I12" i="59"/>
  <c r="O7" i="59"/>
  <c r="I9" i="59"/>
  <c r="R8" i="59"/>
  <c r="Q8" i="59"/>
  <c r="O8" i="59"/>
  <c r="I8" i="59"/>
  <c r="F8" i="59"/>
  <c r="E8" i="59"/>
  <c r="C8" i="59"/>
  <c r="F7" i="59"/>
  <c r="E7" i="59"/>
  <c r="C6" i="59"/>
  <c r="D5" i="59"/>
  <c r="E5" i="59"/>
  <c r="F5" i="59"/>
  <c r="K5" i="59"/>
  <c r="N5" i="59"/>
  <c r="Q5" i="59"/>
  <c r="Q4" i="59"/>
  <c r="O4" i="59"/>
  <c r="N4" i="59"/>
  <c r="M4" i="59"/>
  <c r="H4" i="59"/>
  <c r="G4" i="59"/>
  <c r="E4" i="59"/>
  <c r="C5" i="59"/>
  <c r="C4" i="59"/>
  <c r="C31" i="61"/>
  <c r="W39" i="61"/>
  <c r="V39" i="61"/>
  <c r="U39" i="61"/>
  <c r="T39" i="61"/>
  <c r="S39" i="61"/>
  <c r="R39" i="61"/>
  <c r="Q39" i="61"/>
  <c r="O39" i="61"/>
  <c r="N39" i="61"/>
  <c r="M39" i="61"/>
  <c r="K39" i="61"/>
  <c r="J39" i="61"/>
  <c r="I39" i="61"/>
  <c r="H39" i="61"/>
  <c r="G39" i="61"/>
  <c r="F39" i="61"/>
  <c r="E39" i="61"/>
  <c r="D39" i="61"/>
  <c r="C39" i="61"/>
  <c r="Y39" i="61" s="1"/>
  <c r="Y37" i="61"/>
  <c r="W37" i="61"/>
  <c r="V37" i="61"/>
  <c r="U37" i="61"/>
  <c r="T37" i="61"/>
  <c r="S37" i="61"/>
  <c r="R37" i="61"/>
  <c r="Q37" i="61"/>
  <c r="O37" i="61"/>
  <c r="N37" i="61"/>
  <c r="M37" i="61"/>
  <c r="K37" i="61"/>
  <c r="J37" i="61"/>
  <c r="I37" i="61"/>
  <c r="H37" i="61"/>
  <c r="G37" i="61"/>
  <c r="F37" i="61"/>
  <c r="E37" i="61"/>
  <c r="D37" i="61"/>
  <c r="C37" i="61"/>
  <c r="W36" i="61"/>
  <c r="V36" i="61"/>
  <c r="U36" i="61"/>
  <c r="T36" i="61"/>
  <c r="S36" i="61"/>
  <c r="R36" i="61"/>
  <c r="Q36" i="61"/>
  <c r="O36" i="61"/>
  <c r="N36" i="61"/>
  <c r="M36" i="61"/>
  <c r="K36" i="61"/>
  <c r="J36" i="61"/>
  <c r="I36" i="61"/>
  <c r="H36" i="61"/>
  <c r="G36" i="61"/>
  <c r="F36" i="61"/>
  <c r="E36" i="61"/>
  <c r="D36" i="61"/>
  <c r="C36" i="61"/>
  <c r="Y36" i="61" s="1"/>
  <c r="W35" i="61"/>
  <c r="V35" i="61"/>
  <c r="U35" i="61"/>
  <c r="T35" i="61"/>
  <c r="S35" i="61"/>
  <c r="R35" i="61"/>
  <c r="Q35" i="61"/>
  <c r="O35" i="61"/>
  <c r="N35" i="61"/>
  <c r="M35" i="61"/>
  <c r="K35" i="61"/>
  <c r="J35" i="61"/>
  <c r="I35" i="61"/>
  <c r="H35" i="61"/>
  <c r="G35" i="61"/>
  <c r="F35" i="61"/>
  <c r="E35" i="61"/>
  <c r="D35" i="61"/>
  <c r="C35" i="61"/>
  <c r="Y35" i="61" s="1"/>
  <c r="Y34" i="61"/>
  <c r="W34" i="61"/>
  <c r="V34" i="61"/>
  <c r="U34" i="61"/>
  <c r="T34" i="61"/>
  <c r="S34" i="61"/>
  <c r="R34" i="61"/>
  <c r="Q34" i="61"/>
  <c r="O34" i="61"/>
  <c r="N34" i="61"/>
  <c r="M34" i="61"/>
  <c r="K34" i="61"/>
  <c r="J34" i="61"/>
  <c r="I34" i="61"/>
  <c r="H34" i="61"/>
  <c r="G34" i="61"/>
  <c r="F34" i="61"/>
  <c r="E34" i="61"/>
  <c r="D34" i="61"/>
  <c r="C34" i="61"/>
  <c r="Y33" i="61"/>
  <c r="W33" i="61"/>
  <c r="V33" i="61"/>
  <c r="U33" i="61"/>
  <c r="T33" i="61"/>
  <c r="S33" i="61"/>
  <c r="R33" i="61"/>
  <c r="Q33" i="61"/>
  <c r="O33" i="61"/>
  <c r="N33" i="61"/>
  <c r="M33" i="61"/>
  <c r="K33" i="61"/>
  <c r="J33" i="61"/>
  <c r="I33" i="61"/>
  <c r="H33" i="61"/>
  <c r="G33" i="61"/>
  <c r="F33" i="61"/>
  <c r="E33" i="61"/>
  <c r="D33" i="61"/>
  <c r="C33" i="61"/>
  <c r="W32" i="61"/>
  <c r="V32" i="61"/>
  <c r="U32" i="61"/>
  <c r="T32" i="61"/>
  <c r="S32" i="61"/>
  <c r="R32" i="61"/>
  <c r="Q32" i="61"/>
  <c r="O32" i="61"/>
  <c r="N32" i="61"/>
  <c r="M32" i="61"/>
  <c r="K32" i="61"/>
  <c r="J32" i="61"/>
  <c r="I32" i="61"/>
  <c r="H32" i="61"/>
  <c r="G32" i="61"/>
  <c r="F32" i="61"/>
  <c r="E32" i="61"/>
  <c r="D32" i="61"/>
  <c r="C32" i="61"/>
  <c r="Y32" i="61" s="1"/>
  <c r="V31" i="61"/>
  <c r="U31" i="61"/>
  <c r="T31" i="61"/>
  <c r="S31" i="61"/>
  <c r="R31" i="61"/>
  <c r="Q31" i="61"/>
  <c r="O31" i="61"/>
  <c r="N31" i="61"/>
  <c r="M31" i="61"/>
  <c r="K31" i="61"/>
  <c r="J31" i="61"/>
  <c r="I31" i="61"/>
  <c r="H31" i="61"/>
  <c r="G31" i="61"/>
  <c r="F31" i="61"/>
  <c r="D31" i="61"/>
  <c r="D33" i="60"/>
  <c r="E33" i="60"/>
  <c r="F33" i="60"/>
  <c r="G33" i="60"/>
  <c r="H33" i="60"/>
  <c r="I33" i="60"/>
  <c r="J33" i="60"/>
  <c r="K33" i="60"/>
  <c r="M33" i="60"/>
  <c r="N33" i="60"/>
  <c r="O33" i="60"/>
  <c r="Q33" i="60"/>
  <c r="R33" i="60"/>
  <c r="S33" i="60"/>
  <c r="T33" i="60"/>
  <c r="U33" i="60"/>
  <c r="V33" i="60"/>
  <c r="W33" i="60"/>
  <c r="Y33" i="60"/>
  <c r="C33" i="60"/>
  <c r="Q31" i="60"/>
  <c r="R31" i="60"/>
  <c r="S31" i="60"/>
  <c r="T31" i="60"/>
  <c r="U31" i="60"/>
  <c r="V31" i="60"/>
  <c r="Q32" i="60"/>
  <c r="R32" i="60"/>
  <c r="S32" i="60"/>
  <c r="T32" i="60"/>
  <c r="U32" i="60"/>
  <c r="V32" i="60"/>
  <c r="W32" i="60"/>
  <c r="Q34" i="60"/>
  <c r="R34" i="60"/>
  <c r="S34" i="60"/>
  <c r="T34" i="60"/>
  <c r="U34" i="60"/>
  <c r="V34" i="60"/>
  <c r="W34" i="60"/>
  <c r="Q35" i="60"/>
  <c r="R35" i="60"/>
  <c r="S35" i="60"/>
  <c r="T35" i="60"/>
  <c r="U35" i="60"/>
  <c r="V35" i="60"/>
  <c r="W35" i="60"/>
  <c r="Q36" i="60"/>
  <c r="R36" i="60"/>
  <c r="S36" i="60"/>
  <c r="T36" i="60"/>
  <c r="U36" i="60"/>
  <c r="V36" i="60"/>
  <c r="W36" i="60"/>
  <c r="Q37" i="60"/>
  <c r="R37" i="60"/>
  <c r="S37" i="60"/>
  <c r="T37" i="60"/>
  <c r="U37" i="60"/>
  <c r="V37" i="60"/>
  <c r="W37" i="60"/>
  <c r="Q39" i="60"/>
  <c r="R39" i="60"/>
  <c r="S39" i="60"/>
  <c r="T39" i="60"/>
  <c r="U39" i="60"/>
  <c r="V39" i="60"/>
  <c r="W39" i="60"/>
  <c r="M32" i="60"/>
  <c r="N32" i="60"/>
  <c r="O32" i="60"/>
  <c r="M34" i="60"/>
  <c r="N34" i="60"/>
  <c r="O34" i="60"/>
  <c r="M35" i="60"/>
  <c r="N35" i="60"/>
  <c r="O35" i="60"/>
  <c r="M36" i="60"/>
  <c r="N36" i="60"/>
  <c r="O36" i="60"/>
  <c r="M37" i="60"/>
  <c r="N37" i="60"/>
  <c r="O37" i="60"/>
  <c r="M39" i="60"/>
  <c r="N39" i="60"/>
  <c r="O39" i="60"/>
  <c r="M31" i="60"/>
  <c r="N31" i="60"/>
  <c r="O31" i="60"/>
  <c r="C32" i="60"/>
  <c r="D32" i="60"/>
  <c r="E32" i="60"/>
  <c r="F32" i="60"/>
  <c r="G32" i="60"/>
  <c r="H32" i="60"/>
  <c r="I32" i="60"/>
  <c r="J32" i="60"/>
  <c r="K32" i="60"/>
  <c r="C34" i="60"/>
  <c r="D34" i="60"/>
  <c r="E34" i="60"/>
  <c r="F34" i="60"/>
  <c r="G34" i="60"/>
  <c r="H34" i="60"/>
  <c r="I34" i="60"/>
  <c r="J34" i="60"/>
  <c r="K34" i="60"/>
  <c r="C35" i="60"/>
  <c r="D35" i="60"/>
  <c r="E35" i="60"/>
  <c r="F35" i="60"/>
  <c r="G35" i="60"/>
  <c r="H35" i="60"/>
  <c r="I35" i="60"/>
  <c r="J35" i="60"/>
  <c r="K35" i="60"/>
  <c r="C36" i="60"/>
  <c r="D36" i="60"/>
  <c r="E36" i="60"/>
  <c r="F36" i="60"/>
  <c r="G36" i="60"/>
  <c r="H36" i="60"/>
  <c r="I36" i="60"/>
  <c r="J36" i="60"/>
  <c r="K36" i="60"/>
  <c r="C37" i="60"/>
  <c r="D37" i="60"/>
  <c r="E37" i="60"/>
  <c r="F37" i="60"/>
  <c r="G37" i="60"/>
  <c r="H37" i="60"/>
  <c r="I37" i="60"/>
  <c r="J37" i="60"/>
  <c r="K37" i="60"/>
  <c r="C39" i="60"/>
  <c r="D39" i="60"/>
  <c r="E39" i="60"/>
  <c r="F39" i="60"/>
  <c r="G39" i="60"/>
  <c r="H39" i="60"/>
  <c r="I39" i="60"/>
  <c r="J39" i="60"/>
  <c r="K39" i="60"/>
  <c r="D31" i="60"/>
  <c r="F31" i="60"/>
  <c r="G31" i="60"/>
  <c r="H31" i="60"/>
  <c r="I31" i="60"/>
  <c r="J31" i="60"/>
  <c r="K31" i="60"/>
  <c r="Y35" i="60"/>
  <c r="D9" i="60"/>
  <c r="E9" i="60"/>
  <c r="J9" i="60"/>
  <c r="K9" i="60"/>
  <c r="M9" i="60"/>
  <c r="C8" i="60"/>
  <c r="D8" i="60"/>
  <c r="E8" i="60"/>
  <c r="F8" i="60"/>
  <c r="I8" i="60"/>
  <c r="C5" i="60"/>
  <c r="D5" i="60"/>
  <c r="E5" i="60"/>
  <c r="C4" i="60"/>
  <c r="E4" i="60"/>
  <c r="N5" i="60"/>
  <c r="O5" i="60"/>
  <c r="D4" i="60"/>
  <c r="C9" i="60"/>
  <c r="I6" i="57"/>
  <c r="R6" i="57"/>
  <c r="T6" i="57"/>
  <c r="D12" i="57"/>
  <c r="D5" i="57"/>
  <c r="D4" i="57"/>
  <c r="F4" i="57"/>
  <c r="I4" i="57"/>
  <c r="J4" i="57"/>
  <c r="K4" i="57"/>
  <c r="M4" i="57"/>
  <c r="O4" i="57"/>
  <c r="Q4" i="57"/>
  <c r="R4" i="57"/>
  <c r="S4" i="57"/>
  <c r="T4" i="57"/>
  <c r="U4" i="57"/>
  <c r="V4" i="57"/>
  <c r="F5" i="57"/>
  <c r="G5" i="57"/>
  <c r="V5" i="57"/>
  <c r="U5" i="57"/>
  <c r="S5" i="57"/>
  <c r="R5" i="57"/>
  <c r="I5" i="57"/>
  <c r="H5" i="57"/>
  <c r="Y36" i="58" l="1"/>
  <c r="Y35" i="58"/>
  <c r="Y34" i="58"/>
  <c r="Y32" i="58"/>
  <c r="Y39" i="60"/>
  <c r="Y36" i="60"/>
  <c r="Y34" i="60"/>
  <c r="Y32" i="60"/>
  <c r="Y37" i="60"/>
  <c r="D18" i="9" l="1"/>
  <c r="D65" i="73" l="1"/>
  <c r="E65" i="73"/>
  <c r="C65" i="73"/>
  <c r="D17" i="4"/>
  <c r="D21" i="4"/>
  <c r="E25" i="14"/>
  <c r="E25" i="6"/>
  <c r="D25" i="6"/>
  <c r="D25" i="23" l="1"/>
  <c r="E25" i="23" s="1"/>
  <c r="F25" i="23" s="1"/>
  <c r="G25" i="23" s="1"/>
  <c r="H25" i="23" s="1"/>
  <c r="I25" i="23" s="1"/>
  <c r="J25" i="23" s="1"/>
  <c r="K25" i="23" s="1"/>
  <c r="L25" i="23" s="1"/>
  <c r="D25" i="24"/>
  <c r="E25" i="24" s="1"/>
  <c r="F25" i="24" s="1"/>
  <c r="G25" i="24" s="1"/>
  <c r="H25" i="24" s="1"/>
  <c r="I25" i="24" s="1"/>
  <c r="J25" i="24" s="1"/>
  <c r="K25" i="24" s="1"/>
  <c r="L25" i="24" s="1"/>
  <c r="D25" i="21"/>
  <c r="E25" i="21" s="1"/>
  <c r="F25" i="21" s="1"/>
  <c r="G25" i="21" s="1"/>
  <c r="H25" i="21" s="1"/>
  <c r="I25" i="21" s="1"/>
  <c r="J25" i="21" s="1"/>
  <c r="K25" i="21" s="1"/>
  <c r="L25" i="21" s="1"/>
  <c r="D25" i="20"/>
  <c r="E25" i="20" s="1"/>
  <c r="F25" i="20" s="1"/>
  <c r="G25" i="20" s="1"/>
  <c r="H25" i="20" s="1"/>
  <c r="I25" i="20" s="1"/>
  <c r="J25" i="20" s="1"/>
  <c r="K25" i="20" s="1"/>
  <c r="L25" i="20" s="1"/>
  <c r="D25" i="19"/>
  <c r="E25" i="19" s="1"/>
  <c r="F25" i="19" s="1"/>
  <c r="G25" i="19" s="1"/>
  <c r="H25" i="19" s="1"/>
  <c r="I25" i="19" s="1"/>
  <c r="J25" i="19" s="1"/>
  <c r="K25" i="19" s="1"/>
  <c r="L25" i="19" s="1"/>
  <c r="D25" i="18"/>
  <c r="E25" i="18" s="1"/>
  <c r="F25" i="18" s="1"/>
  <c r="G25" i="18" s="1"/>
  <c r="H25" i="18" s="1"/>
  <c r="I25" i="18" s="1"/>
  <c r="J25" i="18" s="1"/>
  <c r="K25" i="18" s="1"/>
  <c r="L25" i="18" s="1"/>
  <c r="D25" i="17"/>
  <c r="E25" i="17" s="1"/>
  <c r="F25" i="17" s="1"/>
  <c r="G25" i="17" s="1"/>
  <c r="H25" i="17" s="1"/>
  <c r="I25" i="17" s="1"/>
  <c r="J25" i="17" s="1"/>
  <c r="K25" i="17" s="1"/>
  <c r="L25" i="17" s="1"/>
  <c r="F25" i="14"/>
  <c r="G25" i="14" s="1"/>
  <c r="H25" i="14" s="1"/>
  <c r="I25" i="14" s="1"/>
  <c r="J25" i="14" s="1"/>
  <c r="K25" i="14" s="1"/>
  <c r="L25" i="14" s="1"/>
  <c r="D25" i="15"/>
  <c r="E25" i="15" s="1"/>
  <c r="F25" i="15" s="1"/>
  <c r="G25" i="15" s="1"/>
  <c r="H25" i="15" s="1"/>
  <c r="I25" i="15" s="1"/>
  <c r="J25" i="15" s="1"/>
  <c r="K25" i="15" s="1"/>
  <c r="L25" i="15" s="1"/>
  <c r="D25" i="16"/>
  <c r="E25" i="16" s="1"/>
  <c r="F25" i="16" s="1"/>
  <c r="G25" i="16" s="1"/>
  <c r="H25" i="16" s="1"/>
  <c r="I25" i="16" s="1"/>
  <c r="J25" i="16" s="1"/>
  <c r="K25" i="16" s="1"/>
  <c r="L25" i="16" s="1"/>
  <c r="D25" i="13"/>
  <c r="E25" i="13" s="1"/>
  <c r="F25" i="13" s="1"/>
  <c r="G25" i="13" s="1"/>
  <c r="H25" i="13" s="1"/>
  <c r="I25" i="13" s="1"/>
  <c r="J25" i="13" s="1"/>
  <c r="K25" i="13" s="1"/>
  <c r="L25" i="13" s="1"/>
  <c r="E25" i="12"/>
  <c r="F25" i="12" s="1"/>
  <c r="G25" i="12" s="1"/>
  <c r="H25" i="12" s="1"/>
  <c r="I25" i="12" s="1"/>
  <c r="J25" i="12" s="1"/>
  <c r="K25" i="12" s="1"/>
  <c r="L25" i="12" s="1"/>
  <c r="D25" i="12"/>
  <c r="D25" i="22"/>
  <c r="E25" i="22" s="1"/>
  <c r="F25" i="22" s="1"/>
  <c r="G25" i="22" s="1"/>
  <c r="H25" i="22" s="1"/>
  <c r="I25" i="22" s="1"/>
  <c r="J25" i="22" s="1"/>
  <c r="K25" i="22" s="1"/>
  <c r="L25" i="22" s="1"/>
  <c r="D25" i="11"/>
  <c r="E25" i="11" s="1"/>
  <c r="F25" i="11" s="1"/>
  <c r="G25" i="11" s="1"/>
  <c r="H25" i="11" s="1"/>
  <c r="I25" i="11" s="1"/>
  <c r="J25" i="11" s="1"/>
  <c r="K25" i="11" s="1"/>
  <c r="L25" i="11" s="1"/>
  <c r="D25" i="7"/>
  <c r="E25" i="7" s="1"/>
  <c r="F25" i="7" s="1"/>
  <c r="G25" i="7" s="1"/>
  <c r="H25" i="7" s="1"/>
  <c r="I25" i="7" s="1"/>
  <c r="J25" i="7" s="1"/>
  <c r="K25" i="7" s="1"/>
  <c r="L25" i="7" s="1"/>
  <c r="D25" i="8"/>
  <c r="E25" i="8" s="1"/>
  <c r="F25" i="8" s="1"/>
  <c r="G25" i="8" s="1"/>
  <c r="H25" i="8" s="1"/>
  <c r="I25" i="8" s="1"/>
  <c r="J25" i="8" s="1"/>
  <c r="K25" i="8" s="1"/>
  <c r="L25" i="8" s="1"/>
  <c r="F25" i="6"/>
  <c r="G25" i="6" s="1"/>
  <c r="H25" i="6" s="1"/>
  <c r="I25" i="6" s="1"/>
  <c r="J25" i="6" s="1"/>
  <c r="K25" i="6" s="1"/>
  <c r="L25" i="6" s="1"/>
  <c r="D25" i="9"/>
  <c r="E25" i="9" s="1"/>
  <c r="F25" i="9" s="1"/>
  <c r="G25" i="9" s="1"/>
  <c r="H25" i="9" s="1"/>
  <c r="I25" i="9" s="1"/>
  <c r="J25" i="9" s="1"/>
  <c r="K25" i="9" s="1"/>
  <c r="L25" i="9" s="1"/>
  <c r="D25" i="4"/>
  <c r="E25" i="4"/>
  <c r="F25" i="4" s="1"/>
  <c r="G25" i="4" s="1"/>
  <c r="H25" i="4" s="1"/>
  <c r="I25" i="4" s="1"/>
  <c r="J25" i="4" s="1"/>
  <c r="K25" i="4" s="1"/>
  <c r="L25" i="4" s="1"/>
  <c r="C29" i="73"/>
  <c r="W57" i="73" l="1"/>
  <c r="V57" i="73"/>
  <c r="U57" i="73"/>
  <c r="T57" i="73"/>
  <c r="S57" i="73"/>
  <c r="R57" i="73"/>
  <c r="Q57" i="73"/>
  <c r="O57" i="73"/>
  <c r="N57" i="73"/>
  <c r="M57" i="73"/>
  <c r="K57" i="73"/>
  <c r="J57" i="73"/>
  <c r="I57" i="73"/>
  <c r="H57" i="73"/>
  <c r="G57" i="73"/>
  <c r="F57" i="73"/>
  <c r="E57" i="73"/>
  <c r="D57" i="73"/>
  <c r="C57" i="73"/>
  <c r="W56" i="73"/>
  <c r="V56" i="73"/>
  <c r="U56" i="73"/>
  <c r="T56" i="73"/>
  <c r="S56" i="73"/>
  <c r="R56" i="73"/>
  <c r="Q56" i="73"/>
  <c r="O56" i="73"/>
  <c r="N56" i="73"/>
  <c r="M56" i="73"/>
  <c r="K56" i="73"/>
  <c r="J56" i="73"/>
  <c r="I56" i="73"/>
  <c r="H56" i="73"/>
  <c r="G56" i="73"/>
  <c r="F56" i="73"/>
  <c r="E56" i="73"/>
  <c r="D56" i="73"/>
  <c r="C56" i="73"/>
  <c r="W55" i="73"/>
  <c r="V55" i="73"/>
  <c r="U55" i="73"/>
  <c r="T55" i="73"/>
  <c r="S55" i="73"/>
  <c r="R55" i="73"/>
  <c r="Q55" i="73"/>
  <c r="O55" i="73"/>
  <c r="N55" i="73"/>
  <c r="M55" i="73"/>
  <c r="K55" i="73"/>
  <c r="J55" i="73"/>
  <c r="I55" i="73"/>
  <c r="H55" i="73"/>
  <c r="G55" i="73"/>
  <c r="F55" i="73"/>
  <c r="E55" i="73"/>
  <c r="D55" i="73"/>
  <c r="C55" i="73"/>
  <c r="W54" i="73"/>
  <c r="V54" i="73"/>
  <c r="U54" i="73"/>
  <c r="T54" i="73"/>
  <c r="S54" i="73"/>
  <c r="R54" i="73"/>
  <c r="O54" i="73"/>
  <c r="N54" i="73"/>
  <c r="M54" i="73"/>
  <c r="K54" i="73"/>
  <c r="J54" i="73"/>
  <c r="I54" i="73"/>
  <c r="H54" i="73"/>
  <c r="G54" i="73"/>
  <c r="F54" i="73"/>
  <c r="E54" i="73"/>
  <c r="D54" i="73"/>
  <c r="C48" i="73"/>
  <c r="C54" i="73" s="1"/>
  <c r="Q48" i="73"/>
  <c r="Q54" i="73" s="1"/>
  <c r="P54" i="73" l="1"/>
  <c r="L56" i="73"/>
  <c r="Y56" i="73" s="1"/>
  <c r="X56" i="73"/>
  <c r="X54" i="73"/>
  <c r="X55" i="73"/>
  <c r="L54" i="73"/>
  <c r="Y54" i="73" s="1"/>
  <c r="P56" i="73"/>
  <c r="P57" i="73"/>
  <c r="L55" i="73"/>
  <c r="P55" i="73"/>
  <c r="L57" i="73"/>
  <c r="X57" i="73"/>
  <c r="Y57" i="73" l="1"/>
  <c r="Y55" i="73"/>
  <c r="W38" i="73"/>
  <c r="V38" i="73"/>
  <c r="U38" i="73"/>
  <c r="T38" i="73"/>
  <c r="S38" i="73"/>
  <c r="R38" i="73"/>
  <c r="Q38" i="73"/>
  <c r="W37" i="73"/>
  <c r="V37" i="73"/>
  <c r="U37" i="73"/>
  <c r="T37" i="73"/>
  <c r="S37" i="73"/>
  <c r="R37" i="73"/>
  <c r="Q37" i="73"/>
  <c r="W36" i="73"/>
  <c r="V36" i="73"/>
  <c r="U36" i="73"/>
  <c r="T36" i="73"/>
  <c r="S36" i="73"/>
  <c r="R36" i="73"/>
  <c r="Q36" i="73"/>
  <c r="W35" i="73"/>
  <c r="V35" i="73"/>
  <c r="U35" i="73"/>
  <c r="T35" i="73"/>
  <c r="S35" i="73"/>
  <c r="R35" i="73"/>
  <c r="Q35" i="73"/>
  <c r="O38" i="73"/>
  <c r="N38" i="73"/>
  <c r="M38" i="73"/>
  <c r="O37" i="73"/>
  <c r="N37" i="73"/>
  <c r="M37" i="73"/>
  <c r="O36" i="73"/>
  <c r="N36" i="73"/>
  <c r="M36" i="73"/>
  <c r="O35" i="73"/>
  <c r="N35" i="73"/>
  <c r="M35" i="73"/>
  <c r="K38" i="73"/>
  <c r="K64" i="73" s="1"/>
  <c r="J38" i="73"/>
  <c r="J64" i="73" s="1"/>
  <c r="I38" i="73"/>
  <c r="I64" i="73" s="1"/>
  <c r="H38" i="73"/>
  <c r="H64" i="73" s="1"/>
  <c r="G38" i="73"/>
  <c r="G64" i="73" s="1"/>
  <c r="F38" i="73"/>
  <c r="F64" i="73" s="1"/>
  <c r="E38" i="73"/>
  <c r="E64" i="73" s="1"/>
  <c r="D38" i="73"/>
  <c r="K37" i="73"/>
  <c r="K63" i="73" s="1"/>
  <c r="J37" i="73"/>
  <c r="J63" i="73" s="1"/>
  <c r="I37" i="73"/>
  <c r="I63" i="73" s="1"/>
  <c r="H37" i="73"/>
  <c r="H63" i="73" s="1"/>
  <c r="G37" i="73"/>
  <c r="G63" i="73" s="1"/>
  <c r="F37" i="73"/>
  <c r="F63" i="73" s="1"/>
  <c r="E37" i="73"/>
  <c r="E63" i="73" s="1"/>
  <c r="D37" i="73"/>
  <c r="K36" i="73"/>
  <c r="J36" i="73"/>
  <c r="I36" i="73"/>
  <c r="H36" i="73"/>
  <c r="G36" i="73"/>
  <c r="F36" i="73"/>
  <c r="E36" i="73"/>
  <c r="D36" i="73"/>
  <c r="C38" i="73"/>
  <c r="C37" i="73"/>
  <c r="C36" i="73"/>
  <c r="K35" i="73"/>
  <c r="J35" i="73"/>
  <c r="I35" i="73"/>
  <c r="H35" i="73"/>
  <c r="G35" i="73"/>
  <c r="F35" i="73"/>
  <c r="E35" i="73"/>
  <c r="D35" i="73"/>
  <c r="P35" i="73"/>
  <c r="O19" i="73"/>
  <c r="O64" i="73" s="1"/>
  <c r="N19" i="73"/>
  <c r="N64" i="73" s="1"/>
  <c r="O18" i="73"/>
  <c r="N18" i="73"/>
  <c r="O17" i="73"/>
  <c r="O62" i="73" s="1"/>
  <c r="N17" i="73"/>
  <c r="N62" i="73" s="1"/>
  <c r="W19" i="73"/>
  <c r="W64" i="73" s="1"/>
  <c r="V19" i="73"/>
  <c r="V64" i="73" s="1"/>
  <c r="U19" i="73"/>
  <c r="T19" i="73"/>
  <c r="S19" i="73"/>
  <c r="S64" i="73" s="1"/>
  <c r="R19" i="73"/>
  <c r="R64" i="73" s="1"/>
  <c r="Q19" i="73"/>
  <c r="Q64" i="73" s="1"/>
  <c r="W18" i="73"/>
  <c r="W63" i="73" s="1"/>
  <c r="V18" i="73"/>
  <c r="U18" i="73"/>
  <c r="T18" i="73"/>
  <c r="T63" i="73" s="1"/>
  <c r="S18" i="73"/>
  <c r="S63" i="73" s="1"/>
  <c r="R18" i="73"/>
  <c r="Q18" i="73"/>
  <c r="Q63" i="73" s="1"/>
  <c r="W17" i="73"/>
  <c r="V17" i="73"/>
  <c r="U17" i="73"/>
  <c r="U62" i="73" s="1"/>
  <c r="T17" i="73"/>
  <c r="T62" i="73" s="1"/>
  <c r="S17" i="73"/>
  <c r="S62" i="73" s="1"/>
  <c r="R17" i="73"/>
  <c r="Q17" i="73"/>
  <c r="W16" i="73"/>
  <c r="V16" i="73"/>
  <c r="V61" i="73" s="1"/>
  <c r="U16" i="73"/>
  <c r="U61" i="73" s="1"/>
  <c r="T16" i="73"/>
  <c r="T61" i="73" s="1"/>
  <c r="S16" i="73"/>
  <c r="S61" i="73" s="1"/>
  <c r="R16" i="73"/>
  <c r="Q16" i="73"/>
  <c r="M19" i="73"/>
  <c r="M64" i="73" s="1"/>
  <c r="M18" i="73"/>
  <c r="M63" i="73" s="1"/>
  <c r="M17" i="73"/>
  <c r="M62" i="73" s="1"/>
  <c r="O16" i="73"/>
  <c r="N16" i="73"/>
  <c r="M16" i="73"/>
  <c r="D19" i="73"/>
  <c r="D64" i="73" s="1"/>
  <c r="D18" i="73"/>
  <c r="D63" i="73" s="1"/>
  <c r="K17" i="73"/>
  <c r="J17" i="73"/>
  <c r="I17" i="73"/>
  <c r="I62" i="73" s="1"/>
  <c r="H17" i="73"/>
  <c r="H62" i="73" s="1"/>
  <c r="G17" i="73"/>
  <c r="G62" i="73" s="1"/>
  <c r="F17" i="73"/>
  <c r="F62" i="73" s="1"/>
  <c r="E17" i="73"/>
  <c r="D17" i="73"/>
  <c r="K16" i="73"/>
  <c r="J16" i="73"/>
  <c r="I16" i="73"/>
  <c r="H16" i="73"/>
  <c r="H61" i="73" s="1"/>
  <c r="G16" i="73"/>
  <c r="G61" i="73" s="1"/>
  <c r="F16" i="73"/>
  <c r="F61" i="73" s="1"/>
  <c r="E16" i="73"/>
  <c r="D16" i="73"/>
  <c r="C19" i="73"/>
  <c r="C18" i="73"/>
  <c r="C17" i="73"/>
  <c r="C62" i="73" s="1"/>
  <c r="C16" i="73"/>
  <c r="X51" i="73"/>
  <c r="P51" i="73"/>
  <c r="L51" i="73"/>
  <c r="X50" i="73"/>
  <c r="P50" i="73"/>
  <c r="L50" i="73"/>
  <c r="X49" i="73"/>
  <c r="P49" i="73"/>
  <c r="L49" i="73"/>
  <c r="X48" i="73"/>
  <c r="P48" i="73"/>
  <c r="L48" i="73"/>
  <c r="X32" i="73"/>
  <c r="P32" i="73"/>
  <c r="L32" i="73"/>
  <c r="X31" i="73"/>
  <c r="P31" i="73"/>
  <c r="L31" i="73"/>
  <c r="X30" i="73"/>
  <c r="P30" i="73"/>
  <c r="L30" i="73"/>
  <c r="X29" i="73"/>
  <c r="P29" i="73"/>
  <c r="L29" i="73"/>
  <c r="X13" i="73"/>
  <c r="P13" i="73"/>
  <c r="L13" i="73"/>
  <c r="X12" i="73"/>
  <c r="P12" i="73"/>
  <c r="L12" i="73"/>
  <c r="X11" i="73"/>
  <c r="P11" i="73"/>
  <c r="L11" i="73"/>
  <c r="X10" i="73"/>
  <c r="P10" i="73"/>
  <c r="L10" i="73"/>
  <c r="X44" i="73"/>
  <c r="P44" i="73"/>
  <c r="L44" i="73"/>
  <c r="X45" i="73"/>
  <c r="P45" i="73"/>
  <c r="L45" i="73"/>
  <c r="X6" i="73"/>
  <c r="P6" i="73"/>
  <c r="L6" i="73"/>
  <c r="X7" i="73"/>
  <c r="P7" i="73"/>
  <c r="L7" i="73"/>
  <c r="X43" i="73"/>
  <c r="X26" i="73"/>
  <c r="X25" i="73"/>
  <c r="X24" i="73"/>
  <c r="X23" i="73"/>
  <c r="X5" i="73"/>
  <c r="X4" i="73"/>
  <c r="P43" i="73"/>
  <c r="P42" i="73"/>
  <c r="P26" i="73"/>
  <c r="P25" i="73"/>
  <c r="P24" i="73"/>
  <c r="P23" i="73"/>
  <c r="P5" i="73"/>
  <c r="P4" i="73"/>
  <c r="L43" i="73"/>
  <c r="L26" i="73"/>
  <c r="L25" i="73"/>
  <c r="L24" i="73"/>
  <c r="L5" i="73"/>
  <c r="L4" i="73"/>
  <c r="L42" i="73"/>
  <c r="L23" i="73"/>
  <c r="X42" i="73"/>
  <c r="R63" i="73" l="1"/>
  <c r="R62" i="73"/>
  <c r="O63" i="73"/>
  <c r="O61" i="73"/>
  <c r="E61" i="73"/>
  <c r="K61" i="73"/>
  <c r="I61" i="73"/>
  <c r="D61" i="73"/>
  <c r="J61" i="73"/>
  <c r="M61" i="73"/>
  <c r="Q61" i="73"/>
  <c r="W61" i="73"/>
  <c r="V62" i="73"/>
  <c r="U63" i="73"/>
  <c r="T64" i="73"/>
  <c r="N63" i="73"/>
  <c r="N61" i="73"/>
  <c r="P65" i="73" s="1"/>
  <c r="R61" i="73"/>
  <c r="Q62" i="73"/>
  <c r="W62" i="73"/>
  <c r="V63" i="73"/>
  <c r="U64" i="73"/>
  <c r="D62" i="73"/>
  <c r="J62" i="73"/>
  <c r="P36" i="73"/>
  <c r="P38" i="73"/>
  <c r="L18" i="73"/>
  <c r="C63" i="73"/>
  <c r="L19" i="73"/>
  <c r="C64" i="73"/>
  <c r="E62" i="73"/>
  <c r="K62" i="73"/>
  <c r="X36" i="73"/>
  <c r="X37" i="73"/>
  <c r="X38" i="73"/>
  <c r="C35" i="73"/>
  <c r="C61" i="73" s="1"/>
  <c r="L38" i="73"/>
  <c r="P37" i="73"/>
  <c r="X35" i="73"/>
  <c r="L36" i="73"/>
  <c r="L37" i="73"/>
  <c r="L35" i="73"/>
  <c r="P17" i="73"/>
  <c r="P18" i="73"/>
  <c r="X19" i="73"/>
  <c r="P19" i="73"/>
  <c r="Y49" i="73"/>
  <c r="Y51" i="73"/>
  <c r="Y32" i="73"/>
  <c r="Y29" i="73"/>
  <c r="Y48" i="73"/>
  <c r="Y50" i="73"/>
  <c r="X18" i="73"/>
  <c r="P16" i="73"/>
  <c r="X16" i="73"/>
  <c r="L16" i="73"/>
  <c r="L17" i="73"/>
  <c r="X17" i="73"/>
  <c r="Y31" i="73"/>
  <c r="Y30" i="73"/>
  <c r="Y10" i="73"/>
  <c r="Y13" i="73"/>
  <c r="Y44" i="73"/>
  <c r="Y11" i="73"/>
  <c r="Y12" i="73"/>
  <c r="Y45" i="73"/>
  <c r="Y6" i="73"/>
  <c r="Y7" i="73"/>
  <c r="Y23" i="73"/>
  <c r="Y24" i="73"/>
  <c r="X65" i="73" l="1"/>
  <c r="L65" i="73"/>
  <c r="Y36" i="73"/>
  <c r="Y38" i="73"/>
  <c r="Y35" i="73"/>
  <c r="Y37" i="73"/>
  <c r="Y17" i="73"/>
  <c r="Y19" i="73"/>
  <c r="Y16" i="73"/>
  <c r="Y18" i="73"/>
  <c r="Y65" i="73" l="1"/>
  <c r="X64" i="73"/>
  <c r="P64" i="73"/>
  <c r="L64" i="73"/>
  <c r="X63" i="73"/>
  <c r="P63" i="73"/>
  <c r="L63" i="73"/>
  <c r="X62" i="73"/>
  <c r="P62" i="73"/>
  <c r="L62" i="73"/>
  <c r="X61" i="73"/>
  <c r="P61" i="73"/>
  <c r="L61" i="73"/>
  <c r="Y64" i="73" l="1"/>
  <c r="Y43" i="73"/>
  <c r="Y63" i="73"/>
  <c r="Y61" i="73"/>
  <c r="Y62" i="73"/>
  <c r="Y42" i="73"/>
  <c r="Y25" i="73" l="1"/>
  <c r="Y4" i="73"/>
  <c r="Y26" i="73"/>
  <c r="Y5" i="73"/>
  <c r="G18" i="8" l="1"/>
  <c r="L18" i="7"/>
  <c r="G18" i="7"/>
  <c r="E18" i="7"/>
  <c r="K18" i="7"/>
  <c r="J18" i="7"/>
  <c r="I18" i="7"/>
  <c r="H18" i="7"/>
  <c r="F18" i="7"/>
  <c r="D18" i="7"/>
  <c r="D18" i="4" l="1"/>
  <c r="D18" i="6"/>
  <c r="L18" i="6"/>
  <c r="J18" i="6"/>
  <c r="H18" i="6"/>
  <c r="F18" i="6"/>
  <c r="E18" i="6"/>
  <c r="K18" i="6"/>
  <c r="L18" i="4"/>
  <c r="J18" i="4"/>
  <c r="F18" i="4"/>
  <c r="K18" i="4"/>
  <c r="I18" i="4"/>
  <c r="G18" i="4"/>
  <c r="E18" i="4"/>
  <c r="G7" i="8" l="1"/>
  <c r="I19" i="22"/>
  <c r="L19" i="7"/>
  <c r="G19" i="8"/>
  <c r="F8" i="16"/>
  <c r="E8" i="16"/>
  <c r="J40" i="52" l="1"/>
  <c r="L12" i="16" l="1"/>
  <c r="L11" i="16"/>
  <c r="K12" i="16"/>
  <c r="K11" i="16"/>
  <c r="J7" i="16"/>
  <c r="J6" i="16"/>
  <c r="K6" i="16" s="1"/>
  <c r="L6" i="16" s="1"/>
  <c r="H6" i="16"/>
  <c r="I6" i="16"/>
  <c r="H7" i="16"/>
  <c r="I7" i="16" s="1"/>
  <c r="H11" i="16"/>
  <c r="I11" i="16"/>
  <c r="H12" i="16"/>
  <c r="I12" i="16"/>
  <c r="G11" i="16"/>
  <c r="G12" i="16"/>
  <c r="G6" i="16"/>
  <c r="G7" i="16"/>
  <c r="F6" i="16"/>
  <c r="F11" i="16"/>
  <c r="F12" i="16"/>
  <c r="F7" i="16"/>
  <c r="H19" i="13"/>
  <c r="G19" i="12"/>
  <c r="L19" i="9"/>
  <c r="K19" i="9"/>
  <c r="F19" i="9"/>
  <c r="G17" i="8" l="1"/>
  <c r="L22" i="35" l="1"/>
  <c r="L8" i="15" l="1"/>
  <c r="K8" i="15"/>
  <c r="J8" i="15"/>
  <c r="I8" i="15"/>
  <c r="H8" i="15"/>
  <c r="G8" i="15"/>
  <c r="F8" i="15"/>
  <c r="E8" i="15"/>
  <c r="L8" i="14"/>
  <c r="K8" i="14"/>
  <c r="J8" i="14"/>
  <c r="I8" i="14"/>
  <c r="H8" i="14"/>
  <c r="G8" i="14"/>
  <c r="F8" i="14"/>
  <c r="E8" i="14"/>
  <c r="L8" i="17"/>
  <c r="K8" i="17"/>
  <c r="J8" i="17"/>
  <c r="I8" i="17"/>
  <c r="H8" i="17"/>
  <c r="G8" i="17"/>
  <c r="F8" i="17"/>
  <c r="E8" i="17"/>
  <c r="L8" i="18"/>
  <c r="K8" i="18"/>
  <c r="J8" i="18"/>
  <c r="I8" i="18"/>
  <c r="H8" i="18"/>
  <c r="G8" i="18"/>
  <c r="F8" i="18"/>
  <c r="E8" i="18"/>
  <c r="L8" i="19"/>
  <c r="K8" i="19"/>
  <c r="J8" i="19"/>
  <c r="I8" i="19"/>
  <c r="H8" i="19"/>
  <c r="G8" i="19"/>
  <c r="F8" i="19"/>
  <c r="E8" i="19"/>
  <c r="L8" i="20"/>
  <c r="K8" i="20"/>
  <c r="J8" i="20"/>
  <c r="I8" i="20"/>
  <c r="H8" i="20"/>
  <c r="G8" i="20"/>
  <c r="F8" i="20"/>
  <c r="E8" i="20"/>
  <c r="L8" i="21"/>
  <c r="K8" i="21"/>
  <c r="J8" i="21"/>
  <c r="I8" i="21"/>
  <c r="H8" i="21"/>
  <c r="G8" i="21"/>
  <c r="F8" i="21"/>
  <c r="E8" i="21"/>
  <c r="L8" i="24"/>
  <c r="K8" i="24"/>
  <c r="J8" i="24"/>
  <c r="I8" i="24"/>
  <c r="H8" i="24"/>
  <c r="G8" i="24"/>
  <c r="F8" i="24"/>
  <c r="E8" i="24"/>
  <c r="L8" i="23"/>
  <c r="K8" i="23"/>
  <c r="J8" i="23"/>
  <c r="I8" i="23"/>
  <c r="H8" i="23"/>
  <c r="G8" i="23"/>
  <c r="F8" i="23"/>
  <c r="E8" i="23"/>
  <c r="D8" i="16"/>
  <c r="D8" i="15"/>
  <c r="D8" i="14"/>
  <c r="D8" i="17"/>
  <c r="D8" i="18"/>
  <c r="D8" i="19"/>
  <c r="D8" i="20"/>
  <c r="D8" i="21"/>
  <c r="D8" i="24"/>
  <c r="D8" i="23"/>
  <c r="P26" i="67" l="1"/>
  <c r="P25" i="67"/>
  <c r="P24" i="67"/>
  <c r="P23" i="67"/>
  <c r="P22" i="67"/>
  <c r="P21" i="67"/>
  <c r="P20" i="67"/>
  <c r="P19" i="67"/>
  <c r="P18" i="67"/>
  <c r="P17" i="67"/>
  <c r="P16" i="67"/>
  <c r="P15" i="67"/>
  <c r="P14" i="67"/>
  <c r="P13" i="67"/>
  <c r="P12" i="67"/>
  <c r="P11" i="67"/>
  <c r="P10" i="67"/>
  <c r="P9" i="67"/>
  <c r="P8" i="67"/>
  <c r="P7" i="67"/>
  <c r="P6" i="67"/>
  <c r="P5" i="67"/>
  <c r="H18" i="4" l="1"/>
  <c r="L18" i="9"/>
  <c r="K18" i="9"/>
  <c r="I18" i="9"/>
  <c r="H18" i="9"/>
  <c r="L18" i="12"/>
  <c r="K18" i="12"/>
  <c r="I18" i="12"/>
  <c r="H18" i="12"/>
  <c r="F18" i="12"/>
  <c r="E18" i="12"/>
  <c r="G18" i="12"/>
  <c r="D18" i="22"/>
  <c r="I18" i="22"/>
  <c r="L10" i="9" l="1"/>
  <c r="K10" i="9"/>
  <c r="J10" i="9"/>
  <c r="I10" i="9"/>
  <c r="H10" i="9"/>
  <c r="G10" i="9"/>
  <c r="F10" i="9"/>
  <c r="E10" i="9"/>
  <c r="D10" i="9"/>
  <c r="L36" i="9"/>
  <c r="K36" i="9"/>
  <c r="J36" i="9"/>
  <c r="I36" i="9"/>
  <c r="H36" i="9"/>
  <c r="G36" i="9"/>
  <c r="F36" i="9"/>
  <c r="E36" i="9"/>
  <c r="D36" i="9"/>
  <c r="I7" i="9"/>
  <c r="H7" i="9"/>
  <c r="F7" i="9"/>
  <c r="E7" i="9"/>
  <c r="C26" i="35" l="1"/>
  <c r="W26" i="71"/>
  <c r="W53" i="71" s="1"/>
  <c r="V26" i="71"/>
  <c r="V53" i="71" s="1"/>
  <c r="U26" i="71"/>
  <c r="U53" i="71" s="1"/>
  <c r="T26" i="71"/>
  <c r="T53" i="71" s="1"/>
  <c r="S26" i="71"/>
  <c r="S53" i="71" s="1"/>
  <c r="R26" i="71"/>
  <c r="R53" i="71" s="1"/>
  <c r="Q26" i="71"/>
  <c r="Q53" i="71" s="1"/>
  <c r="O26" i="71"/>
  <c r="O53" i="71" s="1"/>
  <c r="N26" i="71"/>
  <c r="N53" i="71" s="1"/>
  <c r="M26" i="71"/>
  <c r="M53" i="71" s="1"/>
  <c r="K26" i="71"/>
  <c r="K53" i="71" s="1"/>
  <c r="J26" i="71"/>
  <c r="J53" i="71" s="1"/>
  <c r="I26" i="71"/>
  <c r="I53" i="71" s="1"/>
  <c r="H26" i="71"/>
  <c r="H53" i="71" s="1"/>
  <c r="G26" i="71"/>
  <c r="G53" i="71" s="1"/>
  <c r="F26" i="71"/>
  <c r="F53" i="71" s="1"/>
  <c r="E26" i="71"/>
  <c r="D26" i="71"/>
  <c r="C26" i="71"/>
  <c r="W26" i="70"/>
  <c r="W53" i="70" s="1"/>
  <c r="V26" i="70"/>
  <c r="V53" i="70" s="1"/>
  <c r="U26" i="70"/>
  <c r="U53" i="70" s="1"/>
  <c r="T26" i="70"/>
  <c r="T53" i="70" s="1"/>
  <c r="S26" i="70"/>
  <c r="S53" i="70" s="1"/>
  <c r="R26" i="70"/>
  <c r="R53" i="70" s="1"/>
  <c r="Q26" i="70"/>
  <c r="Q53" i="70" s="1"/>
  <c r="O26" i="70"/>
  <c r="O53" i="70" s="1"/>
  <c r="N26" i="70"/>
  <c r="N53" i="70" s="1"/>
  <c r="M26" i="70"/>
  <c r="M53" i="70" s="1"/>
  <c r="K26" i="70"/>
  <c r="K53" i="70" s="1"/>
  <c r="J26" i="70"/>
  <c r="J53" i="70" s="1"/>
  <c r="I26" i="70"/>
  <c r="I53" i="70" s="1"/>
  <c r="H26" i="70"/>
  <c r="H53" i="70" s="1"/>
  <c r="G26" i="70"/>
  <c r="G53" i="70" s="1"/>
  <c r="F26" i="70"/>
  <c r="F53" i="70" s="1"/>
  <c r="E26" i="70"/>
  <c r="D26" i="70"/>
  <c r="C26" i="70"/>
  <c r="W26" i="64"/>
  <c r="W53" i="64" s="1"/>
  <c r="V26" i="64"/>
  <c r="V53" i="64" s="1"/>
  <c r="U26" i="64"/>
  <c r="U53" i="64" s="1"/>
  <c r="T26" i="64"/>
  <c r="T53" i="64" s="1"/>
  <c r="S26" i="64"/>
  <c r="S53" i="64" s="1"/>
  <c r="R26" i="64"/>
  <c r="R53" i="64" s="1"/>
  <c r="Q26" i="64"/>
  <c r="Q53" i="64" s="1"/>
  <c r="O26" i="64"/>
  <c r="O53" i="64" s="1"/>
  <c r="N26" i="64"/>
  <c r="N53" i="64" s="1"/>
  <c r="M26" i="64"/>
  <c r="M53" i="64" s="1"/>
  <c r="K26" i="64"/>
  <c r="K53" i="64" s="1"/>
  <c r="J26" i="64"/>
  <c r="J53" i="64" s="1"/>
  <c r="I26" i="64"/>
  <c r="I53" i="64" s="1"/>
  <c r="H26" i="64"/>
  <c r="H53" i="64" s="1"/>
  <c r="G26" i="64"/>
  <c r="G53" i="64" s="1"/>
  <c r="F26" i="64"/>
  <c r="F53" i="64" s="1"/>
  <c r="E26" i="64"/>
  <c r="D26" i="64"/>
  <c r="C26" i="64"/>
  <c r="W26" i="63"/>
  <c r="W53" i="63" s="1"/>
  <c r="V26" i="63"/>
  <c r="V53" i="63" s="1"/>
  <c r="U26" i="63"/>
  <c r="U53" i="63" s="1"/>
  <c r="T26" i="63"/>
  <c r="T53" i="63" s="1"/>
  <c r="S26" i="63"/>
  <c r="S53" i="63" s="1"/>
  <c r="R26" i="63"/>
  <c r="R53" i="63" s="1"/>
  <c r="Q26" i="63"/>
  <c r="Q53" i="63" s="1"/>
  <c r="O26" i="63"/>
  <c r="N26" i="63"/>
  <c r="N53" i="63" s="1"/>
  <c r="M26" i="63"/>
  <c r="M53" i="63" s="1"/>
  <c r="K26" i="63"/>
  <c r="K53" i="63" s="1"/>
  <c r="J26" i="63"/>
  <c r="J53" i="63" s="1"/>
  <c r="I26" i="63"/>
  <c r="I53" i="63" s="1"/>
  <c r="H26" i="63"/>
  <c r="H53" i="63" s="1"/>
  <c r="G26" i="63"/>
  <c r="G53" i="63" s="1"/>
  <c r="F26" i="63"/>
  <c r="F53" i="63" s="1"/>
  <c r="E26" i="63"/>
  <c r="D26" i="63"/>
  <c r="C26" i="63"/>
  <c r="W26" i="62"/>
  <c r="W53" i="62" s="1"/>
  <c r="V26" i="62"/>
  <c r="V53" i="62" s="1"/>
  <c r="U26" i="62"/>
  <c r="U53" i="62" s="1"/>
  <c r="T26" i="62"/>
  <c r="T53" i="62" s="1"/>
  <c r="S26" i="62"/>
  <c r="S53" i="62" s="1"/>
  <c r="R26" i="62"/>
  <c r="R53" i="62" s="1"/>
  <c r="Q26" i="62"/>
  <c r="Q53" i="62" s="1"/>
  <c r="O26" i="62"/>
  <c r="O53" i="62" s="1"/>
  <c r="N26" i="62"/>
  <c r="N53" i="62" s="1"/>
  <c r="M26" i="62"/>
  <c r="M53" i="62" s="1"/>
  <c r="K26" i="62"/>
  <c r="K53" i="62" s="1"/>
  <c r="J26" i="62"/>
  <c r="J53" i="62" s="1"/>
  <c r="I26" i="62"/>
  <c r="I53" i="62" s="1"/>
  <c r="H26" i="62"/>
  <c r="H53" i="62" s="1"/>
  <c r="G26" i="62"/>
  <c r="G53" i="62" s="1"/>
  <c r="F26" i="62"/>
  <c r="F53" i="62" s="1"/>
  <c r="E26" i="62"/>
  <c r="D26" i="62"/>
  <c r="C26" i="62"/>
  <c r="W26" i="61"/>
  <c r="W53" i="61" s="1"/>
  <c r="V26" i="61"/>
  <c r="V53" i="61" s="1"/>
  <c r="U26" i="61"/>
  <c r="U53" i="61" s="1"/>
  <c r="T26" i="61"/>
  <c r="T53" i="61" s="1"/>
  <c r="S26" i="61"/>
  <c r="S53" i="61" s="1"/>
  <c r="R26" i="61"/>
  <c r="R53" i="61" s="1"/>
  <c r="Q26" i="61"/>
  <c r="Q53" i="61" s="1"/>
  <c r="O26" i="61"/>
  <c r="O53" i="61" s="1"/>
  <c r="N26" i="61"/>
  <c r="N53" i="61" s="1"/>
  <c r="M26" i="61"/>
  <c r="M53" i="61" s="1"/>
  <c r="K26" i="61"/>
  <c r="K53" i="61" s="1"/>
  <c r="J26" i="61"/>
  <c r="J53" i="61" s="1"/>
  <c r="I26" i="61"/>
  <c r="I53" i="61" s="1"/>
  <c r="H26" i="61"/>
  <c r="H53" i="61" s="1"/>
  <c r="G26" i="61"/>
  <c r="G53" i="61" s="1"/>
  <c r="F26" i="61"/>
  <c r="F53" i="61" s="1"/>
  <c r="E26" i="61"/>
  <c r="D26" i="61"/>
  <c r="C26" i="61"/>
  <c r="W26" i="60"/>
  <c r="W53" i="60" s="1"/>
  <c r="V26" i="60"/>
  <c r="V53" i="60" s="1"/>
  <c r="U26" i="60"/>
  <c r="U53" i="60" s="1"/>
  <c r="T26" i="60"/>
  <c r="T53" i="60" s="1"/>
  <c r="S26" i="60"/>
  <c r="S53" i="60" s="1"/>
  <c r="R26" i="60"/>
  <c r="R53" i="60" s="1"/>
  <c r="Q26" i="60"/>
  <c r="Q53" i="60" s="1"/>
  <c r="O26" i="60"/>
  <c r="O53" i="60" s="1"/>
  <c r="N26" i="60"/>
  <c r="N53" i="60" s="1"/>
  <c r="M26" i="60"/>
  <c r="K26" i="60"/>
  <c r="K53" i="60" s="1"/>
  <c r="J26" i="60"/>
  <c r="J53" i="60" s="1"/>
  <c r="I26" i="60"/>
  <c r="I53" i="60" s="1"/>
  <c r="H26" i="60"/>
  <c r="H53" i="60" s="1"/>
  <c r="G26" i="60"/>
  <c r="G53" i="60" s="1"/>
  <c r="F26" i="60"/>
  <c r="F53" i="60" s="1"/>
  <c r="E26" i="60"/>
  <c r="D26" i="60"/>
  <c r="C26" i="60"/>
  <c r="W26" i="59"/>
  <c r="W53" i="59" s="1"/>
  <c r="V26" i="59"/>
  <c r="V53" i="59" s="1"/>
  <c r="U26" i="59"/>
  <c r="U53" i="59" s="1"/>
  <c r="T26" i="59"/>
  <c r="T53" i="59" s="1"/>
  <c r="S26" i="59"/>
  <c r="S53" i="59" s="1"/>
  <c r="R26" i="59"/>
  <c r="R53" i="59" s="1"/>
  <c r="Q26" i="59"/>
  <c r="Q53" i="59" s="1"/>
  <c r="O26" i="59"/>
  <c r="O53" i="59" s="1"/>
  <c r="N26" i="59"/>
  <c r="N53" i="59" s="1"/>
  <c r="M26" i="59"/>
  <c r="M53" i="59" s="1"/>
  <c r="K26" i="59"/>
  <c r="K53" i="59" s="1"/>
  <c r="J26" i="59"/>
  <c r="J53" i="59" s="1"/>
  <c r="I26" i="59"/>
  <c r="I53" i="59" s="1"/>
  <c r="H26" i="59"/>
  <c r="H53" i="59" s="1"/>
  <c r="G26" i="59"/>
  <c r="G53" i="59" s="1"/>
  <c r="F26" i="59"/>
  <c r="F53" i="59" s="1"/>
  <c r="E26" i="59"/>
  <c r="D26" i="59"/>
  <c r="C26" i="59"/>
  <c r="W26" i="58"/>
  <c r="W53" i="58" s="1"/>
  <c r="V26" i="58"/>
  <c r="V53" i="58" s="1"/>
  <c r="U26" i="58"/>
  <c r="U53" i="58" s="1"/>
  <c r="T26" i="58"/>
  <c r="T53" i="58" s="1"/>
  <c r="S26" i="58"/>
  <c r="S53" i="58" s="1"/>
  <c r="Q26" i="58"/>
  <c r="Q53" i="58" s="1"/>
  <c r="R26" i="58"/>
  <c r="R53" i="58" s="1"/>
  <c r="O26" i="58"/>
  <c r="N26" i="58"/>
  <c r="M26" i="58"/>
  <c r="M53" i="58" s="1"/>
  <c r="K26" i="58"/>
  <c r="K53" i="58" s="1"/>
  <c r="J26" i="58"/>
  <c r="J53" i="58" s="1"/>
  <c r="I26" i="58"/>
  <c r="I53" i="58" s="1"/>
  <c r="H26" i="58"/>
  <c r="H53" i="58" s="1"/>
  <c r="G26" i="58"/>
  <c r="G53" i="58" s="1"/>
  <c r="F26" i="58"/>
  <c r="F53" i="58" s="1"/>
  <c r="E26" i="58"/>
  <c r="D26" i="58"/>
  <c r="C26" i="58"/>
  <c r="W26" i="57"/>
  <c r="V26" i="57"/>
  <c r="U26" i="57"/>
  <c r="T26" i="57"/>
  <c r="S26" i="57"/>
  <c r="R26" i="57"/>
  <c r="Q26" i="57"/>
  <c r="O26" i="57"/>
  <c r="N26" i="57"/>
  <c r="M26" i="57"/>
  <c r="K26" i="57"/>
  <c r="J26" i="57"/>
  <c r="I26" i="57"/>
  <c r="H26" i="57"/>
  <c r="G26" i="57"/>
  <c r="F26" i="57"/>
  <c r="E26" i="57"/>
  <c r="X26" i="57"/>
  <c r="L26" i="57"/>
  <c r="D26" i="57"/>
  <c r="C26" i="57"/>
  <c r="W25" i="62"/>
  <c r="V25" i="62"/>
  <c r="U25" i="62"/>
  <c r="T25" i="62"/>
  <c r="S25" i="62"/>
  <c r="R25" i="62"/>
  <c r="N25" i="62"/>
  <c r="W25" i="63"/>
  <c r="V25" i="63"/>
  <c r="U25" i="63"/>
  <c r="T25" i="63"/>
  <c r="S25" i="63"/>
  <c r="R25" i="63"/>
  <c r="N25" i="63"/>
  <c r="W25" i="64"/>
  <c r="V25" i="64"/>
  <c r="U25" i="64"/>
  <c r="T25" i="64"/>
  <c r="S25" i="64"/>
  <c r="R25" i="64"/>
  <c r="N25" i="64"/>
  <c r="W25" i="70"/>
  <c r="V25" i="70"/>
  <c r="U25" i="70"/>
  <c r="T25" i="70"/>
  <c r="S25" i="70"/>
  <c r="R25" i="70"/>
  <c r="N25" i="70"/>
  <c r="W25" i="71"/>
  <c r="V25" i="71"/>
  <c r="U25" i="71"/>
  <c r="T25" i="71"/>
  <c r="S25" i="71"/>
  <c r="R25" i="71"/>
  <c r="N25" i="71"/>
  <c r="W25" i="58"/>
  <c r="V25" i="58"/>
  <c r="U25" i="58"/>
  <c r="T25" i="58"/>
  <c r="S25" i="58"/>
  <c r="R25" i="58"/>
  <c r="N25" i="58"/>
  <c r="P26" i="62"/>
  <c r="P53" i="62" s="1"/>
  <c r="P26" i="57"/>
  <c r="C25" i="23"/>
  <c r="C25" i="24"/>
  <c r="C25" i="21"/>
  <c r="C25" i="20"/>
  <c r="C25" i="19"/>
  <c r="C25" i="18"/>
  <c r="C25" i="17"/>
  <c r="C25" i="14"/>
  <c r="C25" i="15"/>
  <c r="C25" i="16"/>
  <c r="C25" i="13"/>
  <c r="C25" i="12"/>
  <c r="C25" i="22"/>
  <c r="C25" i="11"/>
  <c r="C25" i="7"/>
  <c r="C25" i="8"/>
  <c r="C25" i="6"/>
  <c r="C25" i="4"/>
  <c r="C25" i="9"/>
  <c r="P26" i="58" l="1"/>
  <c r="N53" i="58"/>
  <c r="P26" i="63"/>
  <c r="P53" i="63" s="1"/>
  <c r="O53" i="63"/>
  <c r="P26" i="61"/>
  <c r="P26" i="60"/>
  <c r="M53" i="60"/>
  <c r="P26" i="70"/>
  <c r="P53" i="70" s="1"/>
  <c r="X26" i="64"/>
  <c r="P26" i="71"/>
  <c r="P53" i="71" s="1"/>
  <c r="P26" i="64"/>
  <c r="P53" i="64" s="1"/>
  <c r="L26" i="63"/>
  <c r="L53" i="63" s="1"/>
  <c r="L26" i="71"/>
  <c r="L53" i="71" s="1"/>
  <c r="X26" i="60"/>
  <c r="X26" i="59"/>
  <c r="X26" i="70"/>
  <c r="X26" i="61"/>
  <c r="Y26" i="61" s="1"/>
  <c r="G26" i="35" s="1"/>
  <c r="X26" i="58"/>
  <c r="X26" i="63"/>
  <c r="Y26" i="63" s="1"/>
  <c r="I26" i="35" s="1"/>
  <c r="X26" i="62"/>
  <c r="X26" i="71"/>
  <c r="L26" i="61"/>
  <c r="L26" i="60"/>
  <c r="L26" i="64"/>
  <c r="L53" i="64" s="1"/>
  <c r="L26" i="59"/>
  <c r="L26" i="62"/>
  <c r="L53" i="62" s="1"/>
  <c r="L26" i="58"/>
  <c r="L26" i="70"/>
  <c r="L53" i="70" s="1"/>
  <c r="P26" i="59"/>
  <c r="Y26" i="57"/>
  <c r="Y26" i="64" l="1"/>
  <c r="J26" i="35" s="1"/>
  <c r="Y26" i="60"/>
  <c r="F26" i="35" s="1"/>
  <c r="Y26" i="70"/>
  <c r="K26" i="35" s="1"/>
  <c r="Y26" i="71"/>
  <c r="L26" i="35" s="1"/>
  <c r="Y26" i="62"/>
  <c r="H26" i="35" s="1"/>
  <c r="Y26" i="58"/>
  <c r="D26" i="35" s="1"/>
  <c r="Y26" i="59"/>
  <c r="E26" i="35" s="1"/>
  <c r="M26" i="35" l="1"/>
  <c r="I12" i="20"/>
  <c r="I11" i="8"/>
  <c r="K11" i="14"/>
  <c r="L11" i="23"/>
  <c r="F11" i="23"/>
  <c r="E12" i="23"/>
  <c r="E11" i="17"/>
  <c r="E11" i="23"/>
  <c r="D12" i="23"/>
  <c r="K12" i="23" s="1"/>
  <c r="D11" i="23"/>
  <c r="K11" i="23" s="1"/>
  <c r="D12" i="24"/>
  <c r="J12" i="24" s="1"/>
  <c r="D11" i="24"/>
  <c r="J11" i="24" s="1"/>
  <c r="D12" i="21"/>
  <c r="I12" i="21" s="1"/>
  <c r="D11" i="21"/>
  <c r="I11" i="21" s="1"/>
  <c r="D12" i="20"/>
  <c r="H12" i="20" s="1"/>
  <c r="D11" i="20"/>
  <c r="H11" i="20" s="1"/>
  <c r="D12" i="19"/>
  <c r="G12" i="19" s="1"/>
  <c r="D11" i="19"/>
  <c r="G11" i="19" s="1"/>
  <c r="D12" i="18"/>
  <c r="L12" i="18" s="1"/>
  <c r="D11" i="18"/>
  <c r="L11" i="18" s="1"/>
  <c r="D12" i="17"/>
  <c r="K12" i="17" s="1"/>
  <c r="D11" i="17"/>
  <c r="K11" i="17" s="1"/>
  <c r="D12" i="14"/>
  <c r="J12" i="14" s="1"/>
  <c r="D11" i="14"/>
  <c r="J11" i="14" s="1"/>
  <c r="D12" i="15"/>
  <c r="I12" i="15" s="1"/>
  <c r="D11" i="15"/>
  <c r="I11" i="15" s="1"/>
  <c r="D12" i="16"/>
  <c r="D11" i="16"/>
  <c r="D12" i="13"/>
  <c r="G12" i="13" s="1"/>
  <c r="D11" i="13"/>
  <c r="G11" i="13" s="1"/>
  <c r="D12" i="12"/>
  <c r="L12" i="12" s="1"/>
  <c r="D11" i="12"/>
  <c r="L11" i="12" s="1"/>
  <c r="D12" i="22"/>
  <c r="K12" i="22" s="1"/>
  <c r="D11" i="22"/>
  <c r="K11" i="22" s="1"/>
  <c r="D12" i="11"/>
  <c r="J12" i="11" s="1"/>
  <c r="D11" i="11"/>
  <c r="J11" i="11" s="1"/>
  <c r="D12" i="7"/>
  <c r="I12" i="7" s="1"/>
  <c r="D11" i="7"/>
  <c r="I11" i="7" s="1"/>
  <c r="D12" i="8"/>
  <c r="H12" i="8" s="1"/>
  <c r="D11" i="8"/>
  <c r="H11" i="8" s="1"/>
  <c r="D12" i="6"/>
  <c r="G12" i="6" s="1"/>
  <c r="D11" i="6"/>
  <c r="G11" i="6" s="1"/>
  <c r="D12" i="4"/>
  <c r="L12" i="4" s="1"/>
  <c r="D11" i="4"/>
  <c r="L11" i="4" s="1"/>
  <c r="D12" i="9"/>
  <c r="L12" i="9" s="1"/>
  <c r="D11" i="9"/>
  <c r="G11" i="9" s="1"/>
  <c r="L7" i="9"/>
  <c r="K7" i="9"/>
  <c r="L11" i="17" l="1"/>
  <c r="K11" i="11"/>
  <c r="J12" i="21"/>
  <c r="K12" i="14"/>
  <c r="L12" i="22"/>
  <c r="J12" i="15"/>
  <c r="K12" i="11"/>
  <c r="E11" i="22"/>
  <c r="K11" i="24"/>
  <c r="H11" i="6"/>
  <c r="H12" i="19"/>
  <c r="J12" i="7"/>
  <c r="I11" i="20"/>
  <c r="H11" i="13"/>
  <c r="F12" i="23"/>
  <c r="G12" i="18"/>
  <c r="H12" i="13"/>
  <c r="I12" i="8"/>
  <c r="E12" i="17"/>
  <c r="H11" i="19"/>
  <c r="F11" i="22"/>
  <c r="L12" i="23"/>
  <c r="F12" i="17"/>
  <c r="G12" i="12"/>
  <c r="H12" i="6"/>
  <c r="E12" i="22"/>
  <c r="F11" i="17"/>
  <c r="L11" i="22"/>
  <c r="K12" i="24"/>
  <c r="L12" i="17"/>
  <c r="F12" i="22"/>
  <c r="G12" i="4"/>
  <c r="J11" i="15"/>
  <c r="E11" i="24"/>
  <c r="E11" i="14"/>
  <c r="E11" i="11"/>
  <c r="E12" i="24"/>
  <c r="E12" i="14"/>
  <c r="E12" i="11"/>
  <c r="G11" i="23"/>
  <c r="F11" i="24"/>
  <c r="L11" i="24"/>
  <c r="K11" i="21"/>
  <c r="J11" i="20"/>
  <c r="I11" i="19"/>
  <c r="H11" i="18"/>
  <c r="G11" i="17"/>
  <c r="F11" i="14"/>
  <c r="L11" i="14"/>
  <c r="K11" i="15"/>
  <c r="J11" i="16"/>
  <c r="I11" i="13"/>
  <c r="H11" i="12"/>
  <c r="G11" i="22"/>
  <c r="F11" i="11"/>
  <c r="L11" i="11"/>
  <c r="K11" i="7"/>
  <c r="J11" i="8"/>
  <c r="I11" i="6"/>
  <c r="H11" i="4"/>
  <c r="G12" i="23"/>
  <c r="F12" i="24"/>
  <c r="L12" i="24"/>
  <c r="K12" i="21"/>
  <c r="J12" i="20"/>
  <c r="I12" i="19"/>
  <c r="H12" i="18"/>
  <c r="G12" i="17"/>
  <c r="F12" i="14"/>
  <c r="L12" i="14"/>
  <c r="K12" i="15"/>
  <c r="J12" i="16"/>
  <c r="I12" i="13"/>
  <c r="H12" i="12"/>
  <c r="G12" i="22"/>
  <c r="F12" i="11"/>
  <c r="L12" i="11"/>
  <c r="K12" i="7"/>
  <c r="J12" i="8"/>
  <c r="I12" i="6"/>
  <c r="H12" i="4"/>
  <c r="E11" i="21"/>
  <c r="E11" i="15"/>
  <c r="E11" i="7"/>
  <c r="E12" i="21"/>
  <c r="E12" i="15"/>
  <c r="E12" i="7"/>
  <c r="H11" i="23"/>
  <c r="G11" i="24"/>
  <c r="F11" i="21"/>
  <c r="L11" i="21"/>
  <c r="K11" i="20"/>
  <c r="J11" i="19"/>
  <c r="I11" i="18"/>
  <c r="H11" i="17"/>
  <c r="G11" i="14"/>
  <c r="F11" i="15"/>
  <c r="L11" i="15"/>
  <c r="J11" i="13"/>
  <c r="I11" i="12"/>
  <c r="H11" i="22"/>
  <c r="G11" i="11"/>
  <c r="F11" i="7"/>
  <c r="L11" i="7"/>
  <c r="K11" i="8"/>
  <c r="J11" i="6"/>
  <c r="I11" i="4"/>
  <c r="H12" i="23"/>
  <c r="G12" i="24"/>
  <c r="F12" i="21"/>
  <c r="L12" i="21"/>
  <c r="K12" i="20"/>
  <c r="J12" i="19"/>
  <c r="I12" i="18"/>
  <c r="H12" i="17"/>
  <c r="G12" i="14"/>
  <c r="F12" i="15"/>
  <c r="L12" i="15"/>
  <c r="J12" i="13"/>
  <c r="I12" i="12"/>
  <c r="H12" i="22"/>
  <c r="G12" i="11"/>
  <c r="F12" i="7"/>
  <c r="L12" i="7"/>
  <c r="K12" i="8"/>
  <c r="J12" i="6"/>
  <c r="I12" i="4"/>
  <c r="G11" i="12"/>
  <c r="J11" i="7"/>
  <c r="E11" i="20"/>
  <c r="E11" i="16"/>
  <c r="E11" i="8"/>
  <c r="E12" i="20"/>
  <c r="E12" i="16"/>
  <c r="E12" i="8"/>
  <c r="I11" i="23"/>
  <c r="H11" i="24"/>
  <c r="G11" i="21"/>
  <c r="F11" i="20"/>
  <c r="L11" i="20"/>
  <c r="K11" i="19"/>
  <c r="J11" i="18"/>
  <c r="I11" i="17"/>
  <c r="H11" i="14"/>
  <c r="G11" i="15"/>
  <c r="K11" i="13"/>
  <c r="J11" i="12"/>
  <c r="I11" i="22"/>
  <c r="H11" i="11"/>
  <c r="G11" i="7"/>
  <c r="F11" i="8"/>
  <c r="L11" i="8"/>
  <c r="K11" i="6"/>
  <c r="J11" i="4"/>
  <c r="I12" i="23"/>
  <c r="H12" i="24"/>
  <c r="G12" i="21"/>
  <c r="F12" i="20"/>
  <c r="L12" i="20"/>
  <c r="K12" i="19"/>
  <c r="J12" i="18"/>
  <c r="I12" i="17"/>
  <c r="H12" i="14"/>
  <c r="G12" i="15"/>
  <c r="K12" i="13"/>
  <c r="J12" i="12"/>
  <c r="I12" i="22"/>
  <c r="H12" i="11"/>
  <c r="G12" i="7"/>
  <c r="F12" i="8"/>
  <c r="L12" i="8"/>
  <c r="K12" i="6"/>
  <c r="J12" i="4"/>
  <c r="J11" i="21"/>
  <c r="E11" i="19"/>
  <c r="E11" i="13"/>
  <c r="E11" i="6"/>
  <c r="E12" i="19"/>
  <c r="E12" i="13"/>
  <c r="E12" i="6"/>
  <c r="J11" i="23"/>
  <c r="I11" i="24"/>
  <c r="H11" i="21"/>
  <c r="G11" i="20"/>
  <c r="F11" i="19"/>
  <c r="L11" i="19"/>
  <c r="K11" i="18"/>
  <c r="J11" i="17"/>
  <c r="I11" i="14"/>
  <c r="H11" i="15"/>
  <c r="F11" i="13"/>
  <c r="L11" i="13"/>
  <c r="K11" i="12"/>
  <c r="J11" i="22"/>
  <c r="I11" i="11"/>
  <c r="H11" i="7"/>
  <c r="G11" i="8"/>
  <c r="F11" i="6"/>
  <c r="L11" i="6"/>
  <c r="K11" i="4"/>
  <c r="J12" i="23"/>
  <c r="I12" i="24"/>
  <c r="H12" i="21"/>
  <c r="G12" i="20"/>
  <c r="F12" i="19"/>
  <c r="L12" i="19"/>
  <c r="K12" i="18"/>
  <c r="J12" i="17"/>
  <c r="I12" i="14"/>
  <c r="H12" i="15"/>
  <c r="F12" i="13"/>
  <c r="L12" i="13"/>
  <c r="K12" i="12"/>
  <c r="J12" i="22"/>
  <c r="I12" i="11"/>
  <c r="H12" i="7"/>
  <c r="G12" i="8"/>
  <c r="F12" i="6"/>
  <c r="L12" i="6"/>
  <c r="K12" i="4"/>
  <c r="G11" i="18"/>
  <c r="G11" i="4"/>
  <c r="E11" i="18"/>
  <c r="E11" i="12"/>
  <c r="E11" i="4"/>
  <c r="E12" i="18"/>
  <c r="E12" i="12"/>
  <c r="E12" i="4"/>
  <c r="F11" i="18"/>
  <c r="F11" i="12"/>
  <c r="F11" i="4"/>
  <c r="F12" i="18"/>
  <c r="F12" i="12"/>
  <c r="F12" i="4"/>
  <c r="H11" i="9"/>
  <c r="G12" i="9"/>
  <c r="I11" i="9"/>
  <c r="H12" i="9"/>
  <c r="E11" i="9"/>
  <c r="J11" i="9"/>
  <c r="I12" i="9"/>
  <c r="E12" i="9"/>
  <c r="K11" i="9"/>
  <c r="J12" i="9"/>
  <c r="F11" i="9"/>
  <c r="L11" i="9"/>
  <c r="K12" i="9"/>
  <c r="F12" i="9"/>
  <c r="J18" i="9"/>
  <c r="G21" i="6"/>
  <c r="J21" i="4"/>
  <c r="L21" i="4"/>
  <c r="K21" i="4"/>
  <c r="I21" i="4"/>
  <c r="H21" i="4"/>
  <c r="G21" i="4"/>
  <c r="F21" i="4"/>
  <c r="E21" i="4"/>
  <c r="J7" i="9" l="1"/>
  <c r="G7" i="9"/>
  <c r="L22" i="9"/>
  <c r="K22" i="9"/>
  <c r="F22" i="9"/>
  <c r="E22" i="9"/>
  <c r="L21" i="9" l="1"/>
  <c r="K21" i="9"/>
  <c r="J21" i="9"/>
  <c r="I21" i="9"/>
  <c r="H21" i="9"/>
  <c r="G21" i="9"/>
  <c r="F21" i="9"/>
  <c r="E21" i="9"/>
  <c r="D21" i="9"/>
  <c r="L17" i="9"/>
  <c r="K17" i="9"/>
  <c r="J17" i="9"/>
  <c r="I17" i="9"/>
  <c r="H17" i="9"/>
  <c r="G17" i="9"/>
  <c r="F17" i="9"/>
  <c r="E17" i="9"/>
  <c r="D17" i="9"/>
  <c r="N39" i="35" l="1"/>
  <c r="N37" i="35"/>
  <c r="N36" i="35"/>
  <c r="N35" i="35"/>
  <c r="N34" i="35"/>
  <c r="N33" i="35"/>
  <c r="L38" i="35"/>
  <c r="K38" i="35"/>
  <c r="J38" i="35"/>
  <c r="I38" i="35"/>
  <c r="H38" i="35"/>
  <c r="G38" i="35"/>
  <c r="F38" i="35"/>
  <c r="E38" i="35"/>
  <c r="D38" i="35"/>
  <c r="C38" i="35"/>
  <c r="W23" i="71" l="1"/>
  <c r="V23" i="71"/>
  <c r="U23" i="71"/>
  <c r="T23" i="71"/>
  <c r="S23" i="71"/>
  <c r="R23" i="71"/>
  <c r="Q23" i="71"/>
  <c r="W22" i="71"/>
  <c r="V22" i="71"/>
  <c r="U22" i="71"/>
  <c r="T22" i="71"/>
  <c r="S22" i="71"/>
  <c r="R22" i="71"/>
  <c r="Q22" i="71"/>
  <c r="W21" i="71"/>
  <c r="V21" i="71"/>
  <c r="U21" i="71"/>
  <c r="T21" i="71"/>
  <c r="S21" i="71"/>
  <c r="R21" i="71"/>
  <c r="Q21" i="71"/>
  <c r="W20" i="71"/>
  <c r="V20" i="71"/>
  <c r="U20" i="71"/>
  <c r="T20" i="71"/>
  <c r="S20" i="71"/>
  <c r="R20" i="71"/>
  <c r="O23" i="71"/>
  <c r="N23" i="71"/>
  <c r="M23" i="71"/>
  <c r="O22" i="71"/>
  <c r="N22" i="71"/>
  <c r="N21" i="71"/>
  <c r="O20" i="71"/>
  <c r="M20" i="71"/>
  <c r="K23" i="71"/>
  <c r="J23" i="71"/>
  <c r="H23" i="71"/>
  <c r="G23" i="71"/>
  <c r="F23" i="71"/>
  <c r="E23" i="71"/>
  <c r="D23" i="71"/>
  <c r="C23" i="71"/>
  <c r="K22" i="71"/>
  <c r="J22" i="71"/>
  <c r="H22" i="71"/>
  <c r="G22" i="71"/>
  <c r="F22" i="71"/>
  <c r="C22" i="71"/>
  <c r="C21" i="71"/>
  <c r="K20" i="71"/>
  <c r="J20" i="71"/>
  <c r="I20" i="71"/>
  <c r="H20" i="71"/>
  <c r="G20" i="71"/>
  <c r="F20" i="71"/>
  <c r="D20" i="71"/>
  <c r="W19" i="71"/>
  <c r="V19" i="71"/>
  <c r="U19" i="71"/>
  <c r="T19" i="71"/>
  <c r="S19" i="71"/>
  <c r="R19" i="71"/>
  <c r="Q19" i="71"/>
  <c r="O19" i="71"/>
  <c r="N19" i="71"/>
  <c r="M19" i="71"/>
  <c r="K19" i="71"/>
  <c r="J19" i="71"/>
  <c r="H19" i="71"/>
  <c r="G19" i="71"/>
  <c r="F19" i="71"/>
  <c r="D19" i="71"/>
  <c r="C19" i="71"/>
  <c r="W16" i="71"/>
  <c r="V16" i="71"/>
  <c r="U16" i="71"/>
  <c r="T16" i="71"/>
  <c r="S16" i="71"/>
  <c r="R16" i="71"/>
  <c r="Q16" i="71"/>
  <c r="W15" i="71"/>
  <c r="V15" i="71"/>
  <c r="U15" i="71"/>
  <c r="T15" i="71"/>
  <c r="S15" i="71"/>
  <c r="R15" i="71"/>
  <c r="Q15" i="71"/>
  <c r="N16" i="71"/>
  <c r="O15" i="71"/>
  <c r="N15" i="71"/>
  <c r="M15" i="71"/>
  <c r="K17" i="71"/>
  <c r="G17" i="71"/>
  <c r="C16" i="71"/>
  <c r="K15" i="71"/>
  <c r="J15" i="71"/>
  <c r="I15" i="71"/>
  <c r="H15" i="71"/>
  <c r="G15" i="71"/>
  <c r="E15" i="71"/>
  <c r="D15" i="71"/>
  <c r="C15" i="71"/>
  <c r="W14" i="71"/>
  <c r="V14" i="71"/>
  <c r="U14" i="71"/>
  <c r="T14" i="71"/>
  <c r="S14" i="71"/>
  <c r="R14" i="71"/>
  <c r="Q14" i="71"/>
  <c r="O14" i="71"/>
  <c r="N14" i="71"/>
  <c r="M14" i="71"/>
  <c r="K14" i="71"/>
  <c r="J14" i="71"/>
  <c r="I14" i="71"/>
  <c r="H14" i="71"/>
  <c r="F14" i="71"/>
  <c r="E14" i="71"/>
  <c r="D14" i="71"/>
  <c r="C14" i="71"/>
  <c r="W10" i="71"/>
  <c r="V10" i="71"/>
  <c r="U10" i="71"/>
  <c r="T10" i="71"/>
  <c r="S10" i="71"/>
  <c r="R10" i="71"/>
  <c r="Q10" i="71"/>
  <c r="W9" i="71"/>
  <c r="V9" i="71"/>
  <c r="U9" i="71"/>
  <c r="T9" i="71"/>
  <c r="S9" i="71"/>
  <c r="R9" i="71"/>
  <c r="Q9" i="71"/>
  <c r="O10" i="71"/>
  <c r="N10" i="71"/>
  <c r="O9" i="71"/>
  <c r="N9" i="71"/>
  <c r="M10" i="71"/>
  <c r="M9" i="71"/>
  <c r="K10" i="71"/>
  <c r="K9" i="71"/>
  <c r="J10" i="71"/>
  <c r="J9" i="71"/>
  <c r="I10" i="71"/>
  <c r="I9" i="71"/>
  <c r="H10" i="71"/>
  <c r="H9" i="71"/>
  <c r="G10" i="71"/>
  <c r="G9" i="71"/>
  <c r="F10" i="71"/>
  <c r="F9" i="71"/>
  <c r="E10" i="71"/>
  <c r="E9" i="71"/>
  <c r="D10" i="71"/>
  <c r="D9" i="71"/>
  <c r="C10" i="71"/>
  <c r="C9" i="71"/>
  <c r="C5" i="71"/>
  <c r="J24" i="9"/>
  <c r="W10" i="59" l="1"/>
  <c r="V10" i="59"/>
  <c r="U10" i="59"/>
  <c r="T10" i="59"/>
  <c r="S10" i="59"/>
  <c r="R10" i="59"/>
  <c r="Q10" i="59"/>
  <c r="W10" i="60"/>
  <c r="V10" i="60"/>
  <c r="U10" i="60"/>
  <c r="T10" i="60"/>
  <c r="S10" i="60"/>
  <c r="R10" i="60"/>
  <c r="Q10" i="60"/>
  <c r="W10" i="61"/>
  <c r="V10" i="61"/>
  <c r="U10" i="61"/>
  <c r="T10" i="61"/>
  <c r="S10" i="61"/>
  <c r="R10" i="61"/>
  <c r="Q10" i="61"/>
  <c r="W10" i="62"/>
  <c r="V10" i="62"/>
  <c r="U10" i="62"/>
  <c r="T10" i="62"/>
  <c r="S10" i="62"/>
  <c r="R10" i="62"/>
  <c r="Q10" i="62"/>
  <c r="W10" i="63"/>
  <c r="V10" i="63"/>
  <c r="U10" i="63"/>
  <c r="T10" i="63"/>
  <c r="S10" i="63"/>
  <c r="R10" i="63"/>
  <c r="Q10" i="63"/>
  <c r="W10" i="64"/>
  <c r="V10" i="64"/>
  <c r="U10" i="64"/>
  <c r="T10" i="64"/>
  <c r="S10" i="64"/>
  <c r="R10" i="64"/>
  <c r="Q10" i="64"/>
  <c r="W10" i="70"/>
  <c r="V10" i="70"/>
  <c r="U10" i="70"/>
  <c r="T10" i="70"/>
  <c r="S10" i="70"/>
  <c r="R10" i="70"/>
  <c r="Q10" i="70"/>
  <c r="W10" i="58"/>
  <c r="V10" i="58"/>
  <c r="U10" i="58"/>
  <c r="T10" i="58"/>
  <c r="S10" i="58"/>
  <c r="R10" i="58"/>
  <c r="Q10" i="58"/>
  <c r="W9" i="59"/>
  <c r="V9" i="59"/>
  <c r="U9" i="59"/>
  <c r="T9" i="59"/>
  <c r="S9" i="59"/>
  <c r="R9" i="59"/>
  <c r="Q9" i="59"/>
  <c r="W9" i="60"/>
  <c r="V9" i="60"/>
  <c r="U9" i="60"/>
  <c r="T9" i="60"/>
  <c r="S9" i="60"/>
  <c r="R9" i="60"/>
  <c r="Q9" i="60"/>
  <c r="W9" i="61"/>
  <c r="V9" i="61"/>
  <c r="U9" i="61"/>
  <c r="T9" i="61"/>
  <c r="S9" i="61"/>
  <c r="R9" i="61"/>
  <c r="Q9" i="61"/>
  <c r="W9" i="62"/>
  <c r="V9" i="62"/>
  <c r="U9" i="62"/>
  <c r="T9" i="62"/>
  <c r="S9" i="62"/>
  <c r="R9" i="62"/>
  <c r="Q9" i="62"/>
  <c r="W9" i="63"/>
  <c r="V9" i="63"/>
  <c r="U9" i="63"/>
  <c r="T9" i="63"/>
  <c r="S9" i="63"/>
  <c r="R9" i="63"/>
  <c r="Q9" i="63"/>
  <c r="W9" i="64"/>
  <c r="V9" i="64"/>
  <c r="U9" i="64"/>
  <c r="T9" i="64"/>
  <c r="S9" i="64"/>
  <c r="R9" i="64"/>
  <c r="Q9" i="64"/>
  <c r="W9" i="70"/>
  <c r="V9" i="70"/>
  <c r="U9" i="70"/>
  <c r="T9" i="70"/>
  <c r="S9" i="70"/>
  <c r="R9" i="70"/>
  <c r="Q9" i="70"/>
  <c r="X9" i="71"/>
  <c r="W9" i="58"/>
  <c r="V9" i="58"/>
  <c r="U9" i="58"/>
  <c r="T9" i="58"/>
  <c r="S9" i="58"/>
  <c r="R9" i="58"/>
  <c r="Q9" i="58"/>
  <c r="O10" i="59"/>
  <c r="N10" i="59"/>
  <c r="M10" i="59"/>
  <c r="O10" i="60"/>
  <c r="N10" i="60"/>
  <c r="M10" i="60"/>
  <c r="O10" i="61"/>
  <c r="N10" i="61"/>
  <c r="M10" i="61"/>
  <c r="O10" i="62"/>
  <c r="N10" i="62"/>
  <c r="M10" i="62"/>
  <c r="O10" i="63"/>
  <c r="N10" i="63"/>
  <c r="M10" i="63"/>
  <c r="O10" i="64"/>
  <c r="N10" i="64"/>
  <c r="M10" i="64"/>
  <c r="O10" i="70"/>
  <c r="N10" i="70"/>
  <c r="M10" i="70"/>
  <c r="O10" i="58"/>
  <c r="N10" i="58"/>
  <c r="M10" i="58"/>
  <c r="O9" i="59"/>
  <c r="P9" i="59" s="1"/>
  <c r="N9" i="59"/>
  <c r="M9" i="59"/>
  <c r="O9" i="60"/>
  <c r="N9" i="60"/>
  <c r="O9" i="61"/>
  <c r="N9" i="61"/>
  <c r="M9" i="61"/>
  <c r="O9" i="62"/>
  <c r="N9" i="62"/>
  <c r="M9" i="62"/>
  <c r="O9" i="63"/>
  <c r="N9" i="63"/>
  <c r="M9" i="63"/>
  <c r="O9" i="64"/>
  <c r="N9" i="64"/>
  <c r="M9" i="64"/>
  <c r="O9" i="70"/>
  <c r="N9" i="70"/>
  <c r="M9" i="70"/>
  <c r="O9" i="58"/>
  <c r="M9" i="58"/>
  <c r="K10" i="59"/>
  <c r="J10" i="59"/>
  <c r="I10" i="59"/>
  <c r="H10" i="59"/>
  <c r="G10" i="59"/>
  <c r="F10" i="59"/>
  <c r="E10" i="59"/>
  <c r="D10" i="59"/>
  <c r="C10" i="59"/>
  <c r="K10" i="60"/>
  <c r="J10" i="60"/>
  <c r="I10" i="60"/>
  <c r="H10" i="60"/>
  <c r="G10" i="60"/>
  <c r="F10" i="60"/>
  <c r="E10" i="60"/>
  <c r="D10" i="60"/>
  <c r="C10" i="60"/>
  <c r="K10" i="61"/>
  <c r="J10" i="61"/>
  <c r="I10" i="61"/>
  <c r="H10" i="61"/>
  <c r="G10" i="61"/>
  <c r="F10" i="61"/>
  <c r="E10" i="61"/>
  <c r="D10" i="61"/>
  <c r="C10" i="61"/>
  <c r="K10" i="62"/>
  <c r="J10" i="62"/>
  <c r="I10" i="62"/>
  <c r="H10" i="62"/>
  <c r="G10" i="62"/>
  <c r="F10" i="62"/>
  <c r="E10" i="62"/>
  <c r="D10" i="62"/>
  <c r="C10" i="62"/>
  <c r="K10" i="63"/>
  <c r="J10" i="63"/>
  <c r="I10" i="63"/>
  <c r="H10" i="63"/>
  <c r="G10" i="63"/>
  <c r="F10" i="63"/>
  <c r="E10" i="63"/>
  <c r="D10" i="63"/>
  <c r="C10" i="63"/>
  <c r="K10" i="64"/>
  <c r="J10" i="64"/>
  <c r="I10" i="64"/>
  <c r="H10" i="64"/>
  <c r="G10" i="64"/>
  <c r="F10" i="64"/>
  <c r="E10" i="64"/>
  <c r="D10" i="64"/>
  <c r="C10" i="64"/>
  <c r="K10" i="70"/>
  <c r="J10" i="70"/>
  <c r="I10" i="70"/>
  <c r="H10" i="70"/>
  <c r="G10" i="70"/>
  <c r="F10" i="70"/>
  <c r="E10" i="70"/>
  <c r="D10" i="70"/>
  <c r="C10" i="70"/>
  <c r="K10" i="58"/>
  <c r="J10" i="58"/>
  <c r="I10" i="58"/>
  <c r="H10" i="58"/>
  <c r="G10" i="58"/>
  <c r="F10" i="58"/>
  <c r="E10" i="58"/>
  <c r="D10" i="58"/>
  <c r="C10" i="58"/>
  <c r="K9" i="59"/>
  <c r="J9" i="59"/>
  <c r="H9" i="59"/>
  <c r="G9" i="59"/>
  <c r="F9" i="59"/>
  <c r="E9" i="59"/>
  <c r="D9" i="59"/>
  <c r="C9" i="59"/>
  <c r="I9" i="60"/>
  <c r="H9" i="60"/>
  <c r="G9" i="60"/>
  <c r="F9" i="60"/>
  <c r="K9" i="61"/>
  <c r="J9" i="61"/>
  <c r="I9" i="61"/>
  <c r="H9" i="61"/>
  <c r="G9" i="61"/>
  <c r="F9" i="61"/>
  <c r="E9" i="61"/>
  <c r="D9" i="61"/>
  <c r="C9" i="61"/>
  <c r="K9" i="62"/>
  <c r="J9" i="62"/>
  <c r="I9" i="62"/>
  <c r="H9" i="62"/>
  <c r="G9" i="62"/>
  <c r="F9" i="62"/>
  <c r="E9" i="62"/>
  <c r="D9" i="62"/>
  <c r="C9" i="62"/>
  <c r="K9" i="63"/>
  <c r="J9" i="63"/>
  <c r="I9" i="63"/>
  <c r="H9" i="63"/>
  <c r="G9" i="63"/>
  <c r="F9" i="63"/>
  <c r="E9" i="63"/>
  <c r="D9" i="63"/>
  <c r="C9" i="63"/>
  <c r="K9" i="64"/>
  <c r="J9" i="64"/>
  <c r="I9" i="64"/>
  <c r="H9" i="64"/>
  <c r="G9" i="64"/>
  <c r="F9" i="64"/>
  <c r="E9" i="64"/>
  <c r="D9" i="64"/>
  <c r="C9" i="64"/>
  <c r="K9" i="70"/>
  <c r="J9" i="70"/>
  <c r="I9" i="70"/>
  <c r="H9" i="70"/>
  <c r="G9" i="70"/>
  <c r="F9" i="70"/>
  <c r="E9" i="70"/>
  <c r="D9" i="70"/>
  <c r="C9" i="70"/>
  <c r="L9" i="71"/>
  <c r="H9" i="58"/>
  <c r="P10" i="70"/>
  <c r="P9" i="60" l="1"/>
  <c r="L9" i="60"/>
  <c r="P9" i="62"/>
  <c r="X9" i="60"/>
  <c r="X9" i="58"/>
  <c r="P9" i="58"/>
  <c r="L9" i="58"/>
  <c r="L9" i="62"/>
  <c r="X10" i="60"/>
  <c r="L9" i="70"/>
  <c r="X9" i="70"/>
  <c r="X10" i="71"/>
  <c r="P10" i="63"/>
  <c r="P10" i="62"/>
  <c r="P9" i="71"/>
  <c r="Y9" i="71" s="1"/>
  <c r="L9" i="35" s="1"/>
  <c r="M48" i="35" s="1"/>
  <c r="L9" i="64"/>
  <c r="X9" i="64"/>
  <c r="P9" i="63"/>
  <c r="L9" i="61"/>
  <c r="P10" i="61"/>
  <c r="L9" i="63"/>
  <c r="X9" i="63"/>
  <c r="P9" i="61"/>
  <c r="L10" i="71"/>
  <c r="P10" i="60"/>
  <c r="P9" i="70"/>
  <c r="L9" i="59"/>
  <c r="X9" i="59"/>
  <c r="P9" i="64"/>
  <c r="X9" i="62"/>
  <c r="Y9" i="62" s="1"/>
  <c r="H9" i="35" s="1"/>
  <c r="I48" i="35" s="1"/>
  <c r="X9" i="61"/>
  <c r="P10" i="71"/>
  <c r="X10" i="70"/>
  <c r="L10" i="64"/>
  <c r="X10" i="64"/>
  <c r="L10" i="61"/>
  <c r="P10" i="58"/>
  <c r="L10" i="70"/>
  <c r="L10" i="62"/>
  <c r="L10" i="60"/>
  <c r="X10" i="59"/>
  <c r="L10" i="58"/>
  <c r="X10" i="58"/>
  <c r="L10" i="63"/>
  <c r="L10" i="59"/>
  <c r="P10" i="64"/>
  <c r="X10" i="62"/>
  <c r="X10" i="63"/>
  <c r="X10" i="61"/>
  <c r="P10" i="59"/>
  <c r="Y9" i="60" l="1"/>
  <c r="F9" i="35" s="1"/>
  <c r="G48" i="35" s="1"/>
  <c r="Y10" i="70"/>
  <c r="K10" i="35" s="1"/>
  <c r="L49" i="35" s="1"/>
  <c r="Y9" i="61"/>
  <c r="G9" i="35" s="1"/>
  <c r="H48" i="35" s="1"/>
  <c r="Y9" i="59"/>
  <c r="E9" i="35" s="1"/>
  <c r="F48" i="35" s="1"/>
  <c r="Y9" i="58"/>
  <c r="D9" i="35" s="1"/>
  <c r="E48" i="35" s="1"/>
  <c r="Y10" i="71"/>
  <c r="L10" i="35" s="1"/>
  <c r="M49" i="35" s="1"/>
  <c r="Y10" i="64"/>
  <c r="J10" i="35" s="1"/>
  <c r="K49" i="35" s="1"/>
  <c r="Y10" i="58"/>
  <c r="D10" i="35" s="1"/>
  <c r="Y10" i="63"/>
  <c r="I10" i="35" s="1"/>
  <c r="J49" i="35" s="1"/>
  <c r="Y9" i="63"/>
  <c r="I9" i="35" s="1"/>
  <c r="J48" i="35" s="1"/>
  <c r="Y9" i="64"/>
  <c r="J9" i="35" s="1"/>
  <c r="K48" i="35" s="1"/>
  <c r="Y10" i="60"/>
  <c r="F10" i="35" s="1"/>
  <c r="G49" i="35" s="1"/>
  <c r="Y9" i="70"/>
  <c r="K9" i="35" s="1"/>
  <c r="L48" i="35" s="1"/>
  <c r="Y10" i="59"/>
  <c r="E10" i="35" s="1"/>
  <c r="F49" i="35" s="1"/>
  <c r="Y10" i="62"/>
  <c r="H10" i="35" s="1"/>
  <c r="I49" i="35" s="1"/>
  <c r="Y10" i="61"/>
  <c r="G10" i="35" s="1"/>
  <c r="H49" i="35" s="1"/>
  <c r="E49" i="35" l="1"/>
  <c r="L21" i="16" l="1"/>
  <c r="M21" i="71" s="1"/>
  <c r="K21" i="16"/>
  <c r="J21" i="16"/>
  <c r="I21" i="16"/>
  <c r="H21" i="16"/>
  <c r="G21" i="16"/>
  <c r="F21" i="16"/>
  <c r="E21" i="16"/>
  <c r="D21" i="16"/>
  <c r="L17" i="16"/>
  <c r="M16" i="71" s="1"/>
  <c r="K17" i="16"/>
  <c r="J17" i="16"/>
  <c r="I17" i="16"/>
  <c r="H17" i="16"/>
  <c r="G17" i="16"/>
  <c r="F17" i="16"/>
  <c r="E17" i="16"/>
  <c r="D17" i="16"/>
  <c r="L21" i="13" l="1"/>
  <c r="K21" i="71" s="1"/>
  <c r="K21" i="13"/>
  <c r="J21" i="13"/>
  <c r="I21" i="13"/>
  <c r="H21" i="13"/>
  <c r="G21" i="13"/>
  <c r="F21" i="13"/>
  <c r="E21" i="13"/>
  <c r="D21" i="13"/>
  <c r="L17" i="13"/>
  <c r="K16" i="71" s="1"/>
  <c r="K17" i="13"/>
  <c r="J17" i="13"/>
  <c r="I17" i="13"/>
  <c r="H17" i="13"/>
  <c r="G17" i="13"/>
  <c r="F17" i="13"/>
  <c r="E17" i="13"/>
  <c r="D17" i="13"/>
  <c r="L21" i="12"/>
  <c r="J21" i="71" s="1"/>
  <c r="K21" i="12"/>
  <c r="J21" i="12"/>
  <c r="I21" i="12"/>
  <c r="H21" i="12"/>
  <c r="G21" i="12"/>
  <c r="F21" i="12"/>
  <c r="E21" i="12"/>
  <c r="D21" i="12"/>
  <c r="L17" i="12"/>
  <c r="J16" i="71" s="1"/>
  <c r="K17" i="12"/>
  <c r="J17" i="12"/>
  <c r="I17" i="12"/>
  <c r="H17" i="12"/>
  <c r="G17" i="12"/>
  <c r="F17" i="12"/>
  <c r="E17" i="12"/>
  <c r="D17" i="12"/>
  <c r="L21" i="22"/>
  <c r="I21" i="71" s="1"/>
  <c r="K21" i="22"/>
  <c r="J21" i="22"/>
  <c r="I21" i="22"/>
  <c r="H21" i="22"/>
  <c r="G21" i="22"/>
  <c r="F21" i="22"/>
  <c r="E21" i="22"/>
  <c r="D21" i="22"/>
  <c r="L17" i="22"/>
  <c r="I16" i="71" s="1"/>
  <c r="K17" i="22"/>
  <c r="J17" i="22"/>
  <c r="I17" i="22"/>
  <c r="H17" i="22"/>
  <c r="G17" i="22"/>
  <c r="F17" i="22"/>
  <c r="E17" i="22"/>
  <c r="D17" i="22"/>
  <c r="L21" i="11"/>
  <c r="H21" i="71" s="1"/>
  <c r="K21" i="11"/>
  <c r="J21" i="11"/>
  <c r="I21" i="11"/>
  <c r="H21" i="11"/>
  <c r="G21" i="11"/>
  <c r="F21" i="11"/>
  <c r="E21" i="11"/>
  <c r="D21" i="11"/>
  <c r="L17" i="11"/>
  <c r="H16" i="71" s="1"/>
  <c r="K17" i="11"/>
  <c r="J17" i="11"/>
  <c r="I17" i="11"/>
  <c r="H17" i="11"/>
  <c r="G17" i="11"/>
  <c r="F17" i="11"/>
  <c r="E17" i="11"/>
  <c r="D17" i="11"/>
  <c r="L21" i="7"/>
  <c r="G21" i="71" s="1"/>
  <c r="K21" i="7"/>
  <c r="J21" i="7"/>
  <c r="I21" i="7"/>
  <c r="H21" i="7"/>
  <c r="G21" i="7"/>
  <c r="F21" i="7"/>
  <c r="E21" i="7"/>
  <c r="D21" i="7"/>
  <c r="L17" i="7"/>
  <c r="G16" i="71" s="1"/>
  <c r="K17" i="7"/>
  <c r="J17" i="7"/>
  <c r="I17" i="7"/>
  <c r="H17" i="7"/>
  <c r="G17" i="7"/>
  <c r="F17" i="7"/>
  <c r="E17" i="7"/>
  <c r="D17" i="7"/>
  <c r="L21" i="8"/>
  <c r="F21" i="71" s="1"/>
  <c r="K21" i="8"/>
  <c r="J21" i="8"/>
  <c r="I21" i="8"/>
  <c r="H21" i="8"/>
  <c r="G21" i="8"/>
  <c r="F21" i="8"/>
  <c r="E21" i="8"/>
  <c r="D21" i="8"/>
  <c r="L17" i="8"/>
  <c r="F16" i="71" s="1"/>
  <c r="K17" i="8"/>
  <c r="J17" i="8"/>
  <c r="I17" i="8"/>
  <c r="H17" i="8"/>
  <c r="F17" i="8"/>
  <c r="E17" i="8"/>
  <c r="D17" i="8"/>
  <c r="L21" i="6"/>
  <c r="E21" i="71" s="1"/>
  <c r="K21" i="6"/>
  <c r="J21" i="6"/>
  <c r="I21" i="6"/>
  <c r="H21" i="6"/>
  <c r="F21" i="6"/>
  <c r="E21" i="6"/>
  <c r="D21" i="6"/>
  <c r="L17" i="6"/>
  <c r="E16" i="71" s="1"/>
  <c r="K17" i="6"/>
  <c r="J17" i="6"/>
  <c r="I17" i="6"/>
  <c r="H17" i="6"/>
  <c r="G17" i="6"/>
  <c r="F17" i="6"/>
  <c r="E17" i="6"/>
  <c r="D17" i="6"/>
  <c r="D21" i="71" l="1"/>
  <c r="L17" i="4"/>
  <c r="D16" i="71" s="1"/>
  <c r="K17" i="4"/>
  <c r="J17" i="4"/>
  <c r="I17" i="4"/>
  <c r="H17" i="4"/>
  <c r="G17" i="4"/>
  <c r="F17" i="4"/>
  <c r="E17" i="4"/>
  <c r="D24" i="4" l="1"/>
  <c r="L21" i="14"/>
  <c r="O21" i="71" s="1"/>
  <c r="K21" i="14"/>
  <c r="J21" i="14"/>
  <c r="I21" i="14"/>
  <c r="H21" i="14"/>
  <c r="G21" i="14"/>
  <c r="F21" i="14"/>
  <c r="E21" i="14"/>
  <c r="L17" i="14"/>
  <c r="O16" i="71" s="1"/>
  <c r="K17" i="14"/>
  <c r="J17" i="14"/>
  <c r="I17" i="14"/>
  <c r="H17" i="14"/>
  <c r="G17" i="14"/>
  <c r="F17" i="14"/>
  <c r="E17" i="14"/>
  <c r="D21" i="14"/>
  <c r="D17" i="14"/>
  <c r="H23" i="14" l="1"/>
  <c r="K18" i="14"/>
  <c r="L18" i="23" l="1"/>
  <c r="W17" i="71" s="1"/>
  <c r="K18" i="23"/>
  <c r="J18" i="23"/>
  <c r="I18" i="23"/>
  <c r="H18" i="23"/>
  <c r="G18" i="23"/>
  <c r="F18" i="23"/>
  <c r="E18" i="23"/>
  <c r="D18" i="23"/>
  <c r="L18" i="24"/>
  <c r="V17" i="71" s="1"/>
  <c r="K18" i="24"/>
  <c r="J18" i="24"/>
  <c r="I18" i="24"/>
  <c r="H18" i="24"/>
  <c r="G18" i="24"/>
  <c r="F18" i="24"/>
  <c r="E18" i="24"/>
  <c r="D18" i="24"/>
  <c r="L18" i="21"/>
  <c r="U17" i="71" s="1"/>
  <c r="K18" i="21"/>
  <c r="J18" i="21"/>
  <c r="I18" i="21"/>
  <c r="H18" i="21"/>
  <c r="G18" i="21"/>
  <c r="F18" i="21"/>
  <c r="E18" i="21"/>
  <c r="D18" i="21"/>
  <c r="L18" i="20"/>
  <c r="T17" i="71" s="1"/>
  <c r="K18" i="20"/>
  <c r="J18" i="20"/>
  <c r="I18" i="20"/>
  <c r="H18" i="20"/>
  <c r="G18" i="20"/>
  <c r="F18" i="20"/>
  <c r="E18" i="20"/>
  <c r="D18" i="20"/>
  <c r="L18" i="19"/>
  <c r="S17" i="71" s="1"/>
  <c r="K18" i="19"/>
  <c r="J18" i="19"/>
  <c r="I18" i="19"/>
  <c r="H18" i="19"/>
  <c r="G18" i="19"/>
  <c r="F18" i="19"/>
  <c r="E18" i="19"/>
  <c r="D18" i="19"/>
  <c r="L18" i="18"/>
  <c r="R17" i="71" s="1"/>
  <c r="K18" i="18"/>
  <c r="J18" i="18"/>
  <c r="I18" i="18"/>
  <c r="H18" i="18"/>
  <c r="G18" i="18"/>
  <c r="F18" i="18"/>
  <c r="E18" i="18"/>
  <c r="D18" i="18"/>
  <c r="L18" i="17"/>
  <c r="Q17" i="71" s="1"/>
  <c r="K18" i="17"/>
  <c r="J18" i="17"/>
  <c r="I18" i="17"/>
  <c r="H18" i="17"/>
  <c r="G18" i="17"/>
  <c r="F18" i="17"/>
  <c r="E18" i="17"/>
  <c r="D18" i="17"/>
  <c r="K7" i="14"/>
  <c r="D29" i="15"/>
  <c r="K10" i="4"/>
  <c r="I10" i="4"/>
  <c r="G10" i="4"/>
  <c r="E10" i="4"/>
  <c r="L7" i="13"/>
  <c r="K5" i="71" s="1"/>
  <c r="J7" i="13"/>
  <c r="I7" i="13"/>
  <c r="G7" i="13"/>
  <c r="F7" i="13"/>
  <c r="D7" i="13"/>
  <c r="K7" i="13"/>
  <c r="E7" i="13"/>
  <c r="K7" i="12"/>
  <c r="I7" i="12"/>
  <c r="H7" i="12"/>
  <c r="F7" i="12"/>
  <c r="E7" i="12"/>
  <c r="D7" i="4"/>
  <c r="D7" i="22"/>
  <c r="H7" i="11"/>
  <c r="L7" i="11"/>
  <c r="H5" i="71" s="1"/>
  <c r="K7" i="11"/>
  <c r="J7" i="11"/>
  <c r="I7" i="11"/>
  <c r="G7" i="11"/>
  <c r="F7" i="11"/>
  <c r="E7" i="11"/>
  <c r="D7" i="11"/>
  <c r="L7" i="7" l="1"/>
  <c r="G5" i="71" s="1"/>
  <c r="E7" i="7"/>
  <c r="G7" i="7"/>
  <c r="K7" i="7"/>
  <c r="J7" i="7"/>
  <c r="I7" i="7"/>
  <c r="H7" i="7"/>
  <c r="F7" i="7"/>
  <c r="D7" i="7"/>
  <c r="J7" i="8"/>
  <c r="E7" i="8"/>
  <c r="K7" i="8" l="1"/>
  <c r="I7" i="8"/>
  <c r="H7" i="8"/>
  <c r="F7" i="8"/>
  <c r="D7" i="8"/>
  <c r="I10" i="6" l="1"/>
  <c r="G10" i="6"/>
  <c r="L10" i="6"/>
  <c r="E8" i="71" s="1"/>
  <c r="J10" i="6"/>
  <c r="H10" i="6"/>
  <c r="F10" i="6"/>
  <c r="D10" i="6"/>
  <c r="L7" i="6"/>
  <c r="E5" i="71" s="1"/>
  <c r="J7" i="6"/>
  <c r="H7" i="6"/>
  <c r="F7" i="6"/>
  <c r="D7" i="6"/>
  <c r="H7" i="4"/>
  <c r="L7" i="4"/>
  <c r="D5" i="71" s="1"/>
  <c r="J7" i="4"/>
  <c r="F7" i="4"/>
  <c r="K7" i="4"/>
  <c r="I7" i="4"/>
  <c r="G7" i="4"/>
  <c r="E7" i="4"/>
  <c r="L40" i="35" l="1"/>
  <c r="I6" i="19"/>
  <c r="Q24" i="71"/>
  <c r="C8" i="23"/>
  <c r="C8" i="24"/>
  <c r="C6" i="24"/>
  <c r="K6" i="24" s="1"/>
  <c r="C8" i="21"/>
  <c r="C6" i="21"/>
  <c r="I6" i="21" s="1"/>
  <c r="C8" i="20"/>
  <c r="C6" i="20"/>
  <c r="L6" i="20" s="1"/>
  <c r="T4" i="71" s="1"/>
  <c r="C8" i="19"/>
  <c r="C6" i="19"/>
  <c r="H6" i="19" s="1"/>
  <c r="C8" i="18"/>
  <c r="C6" i="18"/>
  <c r="L6" i="18" s="1"/>
  <c r="R4" i="71" s="1"/>
  <c r="C8" i="17"/>
  <c r="C6" i="17"/>
  <c r="C8" i="14"/>
  <c r="C6" i="14"/>
  <c r="G6" i="14" s="1"/>
  <c r="C8" i="15"/>
  <c r="C6" i="15"/>
  <c r="C8" i="16"/>
  <c r="C6" i="16"/>
  <c r="M4" i="71" s="1"/>
  <c r="C6" i="13"/>
  <c r="K6" i="13" s="1"/>
  <c r="C6" i="12"/>
  <c r="H6" i="12" s="1"/>
  <c r="C6" i="22"/>
  <c r="G6" i="22" s="1"/>
  <c r="C6" i="11"/>
  <c r="K6" i="11" s="1"/>
  <c r="C6" i="7"/>
  <c r="L6" i="7" s="1"/>
  <c r="G4" i="71" s="1"/>
  <c r="C6" i="8"/>
  <c r="I6" i="8" s="1"/>
  <c r="C6" i="6"/>
  <c r="L6" i="6" s="1"/>
  <c r="E4" i="71" s="1"/>
  <c r="C6" i="4"/>
  <c r="F6" i="4" s="1"/>
  <c r="C6" i="9"/>
  <c r="G6" i="9" s="1"/>
  <c r="L22" i="4"/>
  <c r="D22" i="71" s="1"/>
  <c r="L22" i="6"/>
  <c r="E22" i="71" s="1"/>
  <c r="E19" i="71"/>
  <c r="E17" i="71"/>
  <c r="L18" i="8"/>
  <c r="F17" i="71" s="1"/>
  <c r="L18" i="11"/>
  <c r="H17" i="71" s="1"/>
  <c r="L22" i="22"/>
  <c r="I22" i="71" s="1"/>
  <c r="I19" i="71"/>
  <c r="I17" i="71"/>
  <c r="J17" i="71"/>
  <c r="L18" i="16"/>
  <c r="M17" i="71" s="1"/>
  <c r="M18" i="71" s="1"/>
  <c r="L20" i="15"/>
  <c r="N20" i="71" s="1"/>
  <c r="L24" i="18"/>
  <c r="L24" i="20"/>
  <c r="L24" i="21"/>
  <c r="L24" i="24"/>
  <c r="L35" i="9"/>
  <c r="L20" i="9"/>
  <c r="C20" i="71" s="1"/>
  <c r="L13" i="9"/>
  <c r="C12" i="71" s="1"/>
  <c r="E23" i="69"/>
  <c r="E67" i="69" s="1"/>
  <c r="Z44" i="69"/>
  <c r="R44" i="69"/>
  <c r="N44" i="69"/>
  <c r="Z40" i="69"/>
  <c r="Z31" i="69"/>
  <c r="R31" i="69"/>
  <c r="N31" i="69"/>
  <c r="Z32" i="69"/>
  <c r="R32" i="69"/>
  <c r="N32" i="69"/>
  <c r="H6" i="13" l="1"/>
  <c r="J6" i="22"/>
  <c r="L6" i="11"/>
  <c r="H4" i="71" s="1"/>
  <c r="G6" i="6"/>
  <c r="D6" i="14"/>
  <c r="J6" i="14"/>
  <c r="G6" i="19"/>
  <c r="H6" i="18"/>
  <c r="D6" i="11"/>
  <c r="J6" i="13"/>
  <c r="L6" i="22"/>
  <c r="I4" i="71" s="1"/>
  <c r="E6" i="7"/>
  <c r="J6" i="6"/>
  <c r="K6" i="14"/>
  <c r="I6" i="18"/>
  <c r="D6" i="7"/>
  <c r="L6" i="13"/>
  <c r="K4" i="71" s="1"/>
  <c r="F6" i="11"/>
  <c r="H6" i="7"/>
  <c r="D6" i="19"/>
  <c r="J6" i="19"/>
  <c r="K6" i="18"/>
  <c r="D6" i="4"/>
  <c r="F6" i="22"/>
  <c r="G6" i="11"/>
  <c r="J6" i="7"/>
  <c r="H6" i="4"/>
  <c r="G6" i="21"/>
  <c r="K6" i="19"/>
  <c r="F6" i="13"/>
  <c r="H6" i="22"/>
  <c r="H6" i="11"/>
  <c r="K6" i="7"/>
  <c r="K6" i="4"/>
  <c r="E6" i="18"/>
  <c r="G6" i="13"/>
  <c r="I6" i="22"/>
  <c r="J6" i="11"/>
  <c r="L6" i="4"/>
  <c r="D4" i="71" s="1"/>
  <c r="E6" i="19"/>
  <c r="G6" i="18"/>
  <c r="L6" i="15"/>
  <c r="N4" i="71" s="1"/>
  <c r="F6" i="15"/>
  <c r="D6" i="15"/>
  <c r="J6" i="15"/>
  <c r="J6" i="17"/>
  <c r="I6" i="17"/>
  <c r="H6" i="17"/>
  <c r="S6" i="71"/>
  <c r="E6" i="12"/>
  <c r="K6" i="15"/>
  <c r="G6" i="8"/>
  <c r="K6" i="8"/>
  <c r="E6" i="8"/>
  <c r="F6" i="12"/>
  <c r="J6" i="8"/>
  <c r="D6" i="17"/>
  <c r="L6" i="8"/>
  <c r="F4" i="71" s="1"/>
  <c r="E6" i="4"/>
  <c r="E6" i="15"/>
  <c r="D6" i="24"/>
  <c r="K6" i="17"/>
  <c r="K6" i="20"/>
  <c r="I6" i="12"/>
  <c r="G6" i="12"/>
  <c r="F6" i="17"/>
  <c r="G6" i="17"/>
  <c r="G6" i="20"/>
  <c r="D6" i="12"/>
  <c r="K6" i="6"/>
  <c r="E6" i="6"/>
  <c r="I6" i="6"/>
  <c r="D6" i="6"/>
  <c r="D6" i="16"/>
  <c r="H6" i="14"/>
  <c r="L6" i="14"/>
  <c r="O4" i="71" s="1"/>
  <c r="F6" i="14"/>
  <c r="L6" i="21"/>
  <c r="U4" i="71" s="1"/>
  <c r="F6" i="21"/>
  <c r="K6" i="21"/>
  <c r="E6" i="21"/>
  <c r="J6" i="21"/>
  <c r="J6" i="12"/>
  <c r="F6" i="6"/>
  <c r="E6" i="16"/>
  <c r="E6" i="14"/>
  <c r="G6" i="15"/>
  <c r="D6" i="21"/>
  <c r="L6" i="17"/>
  <c r="Q4" i="71" s="1"/>
  <c r="H6" i="21"/>
  <c r="J6" i="20"/>
  <c r="I6" i="20"/>
  <c r="H6" i="20"/>
  <c r="D6" i="20"/>
  <c r="H6" i="24"/>
  <c r="G6" i="24"/>
  <c r="L6" i="24"/>
  <c r="V4" i="71" s="1"/>
  <c r="F6" i="24"/>
  <c r="J6" i="24"/>
  <c r="F6" i="20"/>
  <c r="K6" i="12"/>
  <c r="F6" i="8"/>
  <c r="H6" i="15"/>
  <c r="E6" i="24"/>
  <c r="I6" i="4"/>
  <c r="G6" i="4"/>
  <c r="I6" i="7"/>
  <c r="G6" i="7"/>
  <c r="O6" i="71"/>
  <c r="D6" i="8"/>
  <c r="L6" i="12"/>
  <c r="J4" i="71" s="1"/>
  <c r="F6" i="7"/>
  <c r="H6" i="8"/>
  <c r="H6" i="6"/>
  <c r="J6" i="4"/>
  <c r="I6" i="14"/>
  <c r="I6" i="15"/>
  <c r="E6" i="17"/>
  <c r="I6" i="24"/>
  <c r="E6" i="20"/>
  <c r="N6" i="71"/>
  <c r="T6" i="71"/>
  <c r="D6" i="13"/>
  <c r="I6" i="13"/>
  <c r="E6" i="22"/>
  <c r="K6" i="22"/>
  <c r="I6" i="11"/>
  <c r="F6" i="19"/>
  <c r="L6" i="19"/>
  <c r="S4" i="71" s="1"/>
  <c r="J6" i="18"/>
  <c r="D6" i="22"/>
  <c r="E6" i="13"/>
  <c r="E6" i="11"/>
  <c r="D6" i="18"/>
  <c r="F6" i="18"/>
  <c r="D6" i="9"/>
  <c r="H6" i="9"/>
  <c r="I6" i="9"/>
  <c r="J6" i="9"/>
  <c r="E6" i="9"/>
  <c r="K6" i="9"/>
  <c r="F6" i="9"/>
  <c r="L6" i="9"/>
  <c r="C4" i="71" s="1"/>
  <c r="C24" i="71"/>
  <c r="P15" i="71"/>
  <c r="U24" i="71"/>
  <c r="P19" i="71"/>
  <c r="V24" i="71"/>
  <c r="P23" i="71"/>
  <c r="P20" i="71"/>
  <c r="R24" i="71"/>
  <c r="S24" i="71"/>
  <c r="L24" i="13"/>
  <c r="V18" i="71"/>
  <c r="U18" i="71"/>
  <c r="R18" i="71"/>
  <c r="W24" i="71"/>
  <c r="T18" i="71"/>
  <c r="T24" i="71"/>
  <c r="X22" i="71"/>
  <c r="X23" i="71"/>
  <c r="X19" i="71"/>
  <c r="X15" i="71"/>
  <c r="L22" i="71"/>
  <c r="L19" i="71"/>
  <c r="N24" i="71"/>
  <c r="P14" i="71"/>
  <c r="X16" i="71"/>
  <c r="X21" i="71"/>
  <c r="X14" i="71"/>
  <c r="L24" i="12"/>
  <c r="L9" i="9"/>
  <c r="C7" i="71" s="1"/>
  <c r="L24" i="11"/>
  <c r="AA44" i="69"/>
  <c r="AA31" i="69"/>
  <c r="AA32" i="69"/>
  <c r="X24" i="71" l="1"/>
  <c r="Y19" i="71"/>
  <c r="L19" i="35" s="1"/>
  <c r="P4" i="71"/>
  <c r="D10" i="69" l="1"/>
  <c r="D9" i="69"/>
  <c r="V19" i="52" l="1"/>
  <c r="Y23" i="69" l="1"/>
  <c r="Y67" i="69" s="1"/>
  <c r="X23" i="69"/>
  <c r="X67" i="69" s="1"/>
  <c r="W23" i="69"/>
  <c r="W67" i="69" s="1"/>
  <c r="V23" i="69"/>
  <c r="V67" i="69" s="1"/>
  <c r="U23" i="69"/>
  <c r="U67" i="69" s="1"/>
  <c r="T23" i="69"/>
  <c r="T67" i="69" s="1"/>
  <c r="S23" i="69"/>
  <c r="S67" i="69" s="1"/>
  <c r="Q23" i="69"/>
  <c r="Q67" i="69" s="1"/>
  <c r="P23" i="69"/>
  <c r="P67" i="69" s="1"/>
  <c r="O23" i="69"/>
  <c r="O67" i="69" s="1"/>
  <c r="M23" i="69"/>
  <c r="M67" i="69" s="1"/>
  <c r="L23" i="69"/>
  <c r="L67" i="69" s="1"/>
  <c r="K23" i="69"/>
  <c r="K67" i="69" s="1"/>
  <c r="J23" i="69"/>
  <c r="J67" i="69" s="1"/>
  <c r="I23" i="69"/>
  <c r="I67" i="69" s="1"/>
  <c r="H23" i="69"/>
  <c r="H67" i="69" s="1"/>
  <c r="G23" i="69"/>
  <c r="G67" i="69" s="1"/>
  <c r="F23" i="69"/>
  <c r="F67" i="69" s="1"/>
  <c r="D23" i="69"/>
  <c r="R23" i="69" l="1"/>
  <c r="N23" i="69"/>
  <c r="Z23" i="69"/>
  <c r="AA23" i="69" l="1"/>
  <c r="D54" i="52"/>
  <c r="D53" i="52"/>
  <c r="D52" i="52"/>
  <c r="D51" i="52"/>
  <c r="Y48" i="52"/>
  <c r="X48" i="52"/>
  <c r="W48" i="52"/>
  <c r="V48" i="52"/>
  <c r="U48" i="52"/>
  <c r="T48" i="52"/>
  <c r="S48" i="52"/>
  <c r="Q48" i="52"/>
  <c r="P48" i="52"/>
  <c r="O48" i="52"/>
  <c r="M48" i="52"/>
  <c r="L48" i="52"/>
  <c r="K48" i="52"/>
  <c r="J48" i="52"/>
  <c r="I48" i="52"/>
  <c r="H48" i="52"/>
  <c r="G48" i="52"/>
  <c r="F48" i="52"/>
  <c r="E48" i="52"/>
  <c r="D48" i="52"/>
  <c r="O9" i="52" l="1"/>
  <c r="P7" i="52"/>
  <c r="P42" i="52" s="1"/>
  <c r="K19" i="52"/>
  <c r="W10" i="52" l="1"/>
  <c r="K10" i="52"/>
  <c r="F10" i="52"/>
  <c r="Y13" i="52"/>
  <c r="X13" i="52"/>
  <c r="W13" i="52"/>
  <c r="V13" i="52"/>
  <c r="U13" i="52"/>
  <c r="T13" i="52"/>
  <c r="S13" i="52"/>
  <c r="Q13" i="52"/>
  <c r="P13" i="52"/>
  <c r="O13" i="52"/>
  <c r="M13" i="52"/>
  <c r="L13" i="52"/>
  <c r="K13" i="52"/>
  <c r="J13" i="52"/>
  <c r="I13" i="52"/>
  <c r="H13" i="52"/>
  <c r="G13" i="52"/>
  <c r="F13" i="52"/>
  <c r="E13" i="52"/>
  <c r="Z22" i="52" l="1"/>
  <c r="R22" i="52"/>
  <c r="N22" i="52"/>
  <c r="Z19" i="52"/>
  <c r="R19" i="52"/>
  <c r="N19" i="52"/>
  <c r="Z20" i="52"/>
  <c r="R20" i="52"/>
  <c r="N20" i="52"/>
  <c r="Z21" i="52"/>
  <c r="R21" i="52"/>
  <c r="N21" i="52"/>
  <c r="AA22" i="52" l="1"/>
  <c r="AB22" i="52" s="1"/>
  <c r="AA19" i="52"/>
  <c r="AB19" i="52" s="1"/>
  <c r="AA20" i="52"/>
  <c r="AB20" i="52" s="1"/>
  <c r="AA21" i="52"/>
  <c r="AB21" i="52" s="1"/>
  <c r="D7" i="9" l="1"/>
  <c r="D35" i="9" l="1"/>
  <c r="E35" i="9"/>
  <c r="F35" i="9"/>
  <c r="G35" i="9"/>
  <c r="H35" i="9"/>
  <c r="I35" i="9"/>
  <c r="J35" i="9"/>
  <c r="K35" i="9"/>
  <c r="W23" i="70" l="1"/>
  <c r="V23" i="70"/>
  <c r="U23" i="70"/>
  <c r="T23" i="70"/>
  <c r="S23" i="70"/>
  <c r="R23" i="70"/>
  <c r="Q23" i="70"/>
  <c r="O23" i="70"/>
  <c r="N23" i="70"/>
  <c r="M23" i="70"/>
  <c r="K23" i="70"/>
  <c r="J23" i="70"/>
  <c r="H23" i="70"/>
  <c r="G23" i="70"/>
  <c r="F23" i="70"/>
  <c r="E23" i="70"/>
  <c r="D23" i="70"/>
  <c r="C23" i="70"/>
  <c r="W22" i="70"/>
  <c r="V22" i="70"/>
  <c r="U22" i="70"/>
  <c r="T22" i="70"/>
  <c r="S22" i="70"/>
  <c r="R22" i="70"/>
  <c r="Q22" i="70"/>
  <c r="O22" i="70"/>
  <c r="N22" i="70"/>
  <c r="K22" i="70"/>
  <c r="J22" i="70"/>
  <c r="H22" i="70"/>
  <c r="G22" i="70"/>
  <c r="F22" i="70"/>
  <c r="C22" i="70"/>
  <c r="W21" i="70"/>
  <c r="V21" i="70"/>
  <c r="V24" i="70" s="1"/>
  <c r="U21" i="70"/>
  <c r="U24" i="70" s="1"/>
  <c r="T21" i="70"/>
  <c r="S21" i="70"/>
  <c r="R21" i="70"/>
  <c r="Q21" i="70"/>
  <c r="N21" i="70"/>
  <c r="M21" i="70"/>
  <c r="C21" i="70"/>
  <c r="W20" i="70"/>
  <c r="V20" i="70"/>
  <c r="U20" i="70"/>
  <c r="T20" i="70"/>
  <c r="S20" i="70"/>
  <c r="R20" i="70"/>
  <c r="O20" i="70"/>
  <c r="M20" i="70"/>
  <c r="K20" i="70"/>
  <c r="J20" i="70"/>
  <c r="I20" i="70"/>
  <c r="H20" i="70"/>
  <c r="G20" i="70"/>
  <c r="F20" i="70"/>
  <c r="D20" i="70"/>
  <c r="W19" i="70"/>
  <c r="V19" i="70"/>
  <c r="U19" i="70"/>
  <c r="T19" i="70"/>
  <c r="S19" i="70"/>
  <c r="R19" i="70"/>
  <c r="Q19" i="70"/>
  <c r="O19" i="70"/>
  <c r="N19" i="70"/>
  <c r="M19" i="70"/>
  <c r="K19" i="70"/>
  <c r="J19" i="70"/>
  <c r="H19" i="70"/>
  <c r="G19" i="70"/>
  <c r="F19" i="70"/>
  <c r="D19" i="70"/>
  <c r="C19" i="70"/>
  <c r="K17" i="70"/>
  <c r="G17" i="70"/>
  <c r="E17" i="70"/>
  <c r="W16" i="70"/>
  <c r="V16" i="70"/>
  <c r="U16" i="70"/>
  <c r="T16" i="70"/>
  <c r="S16" i="70"/>
  <c r="R16" i="70"/>
  <c r="Q16" i="70"/>
  <c r="N16" i="70"/>
  <c r="M16" i="70"/>
  <c r="W15" i="70"/>
  <c r="V15" i="70"/>
  <c r="U15" i="70"/>
  <c r="T15" i="70"/>
  <c r="S15" i="70"/>
  <c r="R15" i="70"/>
  <c r="Q15" i="70"/>
  <c r="O15" i="70"/>
  <c r="N15" i="70"/>
  <c r="M15" i="70"/>
  <c r="K15" i="70"/>
  <c r="J15" i="70"/>
  <c r="I15" i="70"/>
  <c r="H15" i="70"/>
  <c r="G15" i="70"/>
  <c r="E15" i="70"/>
  <c r="D15" i="70"/>
  <c r="C15" i="70"/>
  <c r="W14" i="70"/>
  <c r="V14" i="70"/>
  <c r="U14" i="70"/>
  <c r="T14" i="70"/>
  <c r="S14" i="70"/>
  <c r="R14" i="70"/>
  <c r="Q14" i="70"/>
  <c r="O14" i="70"/>
  <c r="N14" i="70"/>
  <c r="M14" i="70"/>
  <c r="K14" i="70"/>
  <c r="J14" i="70"/>
  <c r="I14" i="70"/>
  <c r="H14" i="70"/>
  <c r="F14" i="70"/>
  <c r="E14" i="70"/>
  <c r="D14" i="70"/>
  <c r="C14" i="70"/>
  <c r="D8" i="70"/>
  <c r="M4" i="70"/>
  <c r="K4" i="70"/>
  <c r="J4" i="70"/>
  <c r="I4" i="70"/>
  <c r="G4" i="70"/>
  <c r="V17" i="70"/>
  <c r="U17" i="70"/>
  <c r="K24" i="20"/>
  <c r="K24" i="18"/>
  <c r="O17" i="70"/>
  <c r="H18" i="15"/>
  <c r="I20" i="15"/>
  <c r="J20" i="15"/>
  <c r="K20" i="15"/>
  <c r="N20" i="70" s="1"/>
  <c r="P23" i="70" l="1"/>
  <c r="P20" i="70"/>
  <c r="P16" i="71"/>
  <c r="O21" i="70"/>
  <c r="P21" i="70" s="1"/>
  <c r="Q17" i="70"/>
  <c r="Q18" i="70" s="1"/>
  <c r="U18" i="70"/>
  <c r="P15" i="70"/>
  <c r="F18" i="15"/>
  <c r="K24" i="14"/>
  <c r="S24" i="70"/>
  <c r="X15" i="70"/>
  <c r="X19" i="70"/>
  <c r="X21" i="70"/>
  <c r="Q24" i="70"/>
  <c r="W24" i="70"/>
  <c r="O16" i="70"/>
  <c r="V18" i="70"/>
  <c r="P19" i="70"/>
  <c r="X22" i="70"/>
  <c r="L18" i="15"/>
  <c r="K18" i="15"/>
  <c r="E18" i="15"/>
  <c r="X23" i="70"/>
  <c r="D18" i="15"/>
  <c r="K24" i="24"/>
  <c r="R17" i="70"/>
  <c r="R18" i="70" s="1"/>
  <c r="J18" i="15"/>
  <c r="I18" i="15"/>
  <c r="T17" i="70"/>
  <c r="T18" i="70" s="1"/>
  <c r="G18" i="15"/>
  <c r="C24" i="70"/>
  <c r="T24" i="70"/>
  <c r="X16" i="70"/>
  <c r="P14" i="70"/>
  <c r="X14" i="70"/>
  <c r="N24" i="70"/>
  <c r="R24" i="70"/>
  <c r="L24" i="15" l="1"/>
  <c r="N17" i="71"/>
  <c r="O24" i="70"/>
  <c r="O24" i="71"/>
  <c r="P21" i="71"/>
  <c r="Q18" i="71"/>
  <c r="N17" i="70"/>
  <c r="N18" i="70" s="1"/>
  <c r="P16" i="70"/>
  <c r="O18" i="70"/>
  <c r="X24" i="70"/>
  <c r="O25" i="70" l="1"/>
  <c r="N18" i="71"/>
  <c r="K24" i="15"/>
  <c r="F22" i="16"/>
  <c r="G22" i="16" s="1"/>
  <c r="H22" i="16" s="1"/>
  <c r="I22" i="16" s="1"/>
  <c r="J22" i="16" s="1"/>
  <c r="K22" i="16" s="1"/>
  <c r="K18" i="16"/>
  <c r="K22" i="22"/>
  <c r="I22" i="70" s="1"/>
  <c r="I19" i="70"/>
  <c r="I17" i="70"/>
  <c r="J18" i="16"/>
  <c r="D42" i="22"/>
  <c r="D39" i="22"/>
  <c r="D36" i="22"/>
  <c r="D33" i="22"/>
  <c r="H29" i="22"/>
  <c r="D29" i="22"/>
  <c r="H18" i="11"/>
  <c r="D18" i="11"/>
  <c r="K18" i="11"/>
  <c r="H17" i="70" s="1"/>
  <c r="D42" i="13"/>
  <c r="D39" i="13"/>
  <c r="D36" i="13"/>
  <c r="D33" i="13"/>
  <c r="H29" i="13"/>
  <c r="H7" i="13" s="1"/>
  <c r="J17" i="70"/>
  <c r="J18" i="12"/>
  <c r="H29" i="12"/>
  <c r="H16" i="70" l="1"/>
  <c r="H18" i="71"/>
  <c r="I16" i="70"/>
  <c r="I18" i="70" s="1"/>
  <c r="I18" i="71"/>
  <c r="I21" i="70"/>
  <c r="H21" i="70"/>
  <c r="H24" i="70" s="1"/>
  <c r="H25" i="70" s="1"/>
  <c r="H24" i="71"/>
  <c r="H18" i="70"/>
  <c r="J24" i="16"/>
  <c r="L22" i="16"/>
  <c r="M22" i="70"/>
  <c r="K24" i="16"/>
  <c r="M17" i="70"/>
  <c r="K24" i="11"/>
  <c r="H25" i="71" l="1"/>
  <c r="L24" i="16"/>
  <c r="M22" i="71"/>
  <c r="P17" i="70"/>
  <c r="M18" i="70"/>
  <c r="M24" i="70"/>
  <c r="P22" i="70"/>
  <c r="F22" i="12"/>
  <c r="D42" i="12"/>
  <c r="D39" i="12"/>
  <c r="D36" i="12"/>
  <c r="D33" i="12"/>
  <c r="G7" i="12" s="1"/>
  <c r="D29" i="12"/>
  <c r="P24" i="70" l="1"/>
  <c r="M25" i="70"/>
  <c r="D7" i="12"/>
  <c r="J7" i="12"/>
  <c r="M24" i="71"/>
  <c r="M25" i="71" s="1"/>
  <c r="P22" i="71"/>
  <c r="Y22" i="71" s="1"/>
  <c r="K16" i="70"/>
  <c r="K18" i="70" s="1"/>
  <c r="K18" i="71"/>
  <c r="J16" i="70"/>
  <c r="J18" i="70" s="1"/>
  <c r="J18" i="71"/>
  <c r="J21" i="70"/>
  <c r="J24" i="70" s="1"/>
  <c r="J24" i="71"/>
  <c r="K21" i="70"/>
  <c r="K24" i="70" s="1"/>
  <c r="K25" i="70" s="1"/>
  <c r="K24" i="71"/>
  <c r="K25" i="71" s="1"/>
  <c r="P18" i="70"/>
  <c r="K24" i="12"/>
  <c r="K24" i="13"/>
  <c r="P25" i="70" l="1"/>
  <c r="J25" i="71"/>
  <c r="J25" i="70"/>
  <c r="P24" i="71"/>
  <c r="G5" i="70"/>
  <c r="E18" i="8"/>
  <c r="K18" i="8"/>
  <c r="F17" i="70" s="1"/>
  <c r="J18" i="8"/>
  <c r="H18" i="8"/>
  <c r="I18" i="8"/>
  <c r="F18" i="8"/>
  <c r="D18" i="8"/>
  <c r="F5" i="70"/>
  <c r="I22" i="6"/>
  <c r="G22" i="6"/>
  <c r="K22" i="6"/>
  <c r="E22" i="70" s="1"/>
  <c r="E22" i="6"/>
  <c r="K19" i="6"/>
  <c r="E19" i="70" s="1"/>
  <c r="L19" i="70" s="1"/>
  <c r="Y19" i="70" s="1"/>
  <c r="I18" i="6"/>
  <c r="G18" i="6"/>
  <c r="K22" i="4"/>
  <c r="D22" i="70" s="1"/>
  <c r="I22" i="4"/>
  <c r="G22" i="4"/>
  <c r="E22" i="4"/>
  <c r="J22" i="4"/>
  <c r="F22" i="4"/>
  <c r="D22" i="4"/>
  <c r="D5" i="70"/>
  <c r="K20" i="9"/>
  <c r="C20" i="70" s="1"/>
  <c r="D20" i="9"/>
  <c r="E20" i="9"/>
  <c r="E24" i="9" s="1"/>
  <c r="H20" i="9"/>
  <c r="I20" i="9"/>
  <c r="F20" i="9"/>
  <c r="F24" i="9" s="1"/>
  <c r="G18" i="9"/>
  <c r="G24" i="9" s="1"/>
  <c r="D9" i="9"/>
  <c r="E9" i="9"/>
  <c r="F9" i="9"/>
  <c r="G9" i="9"/>
  <c r="H9" i="9"/>
  <c r="I9" i="9"/>
  <c r="J9" i="9"/>
  <c r="K9" i="9"/>
  <c r="L24" i="4" l="1"/>
  <c r="D17" i="71"/>
  <c r="K19" i="35"/>
  <c r="F21" i="70"/>
  <c r="F24" i="70" s="1"/>
  <c r="F24" i="71"/>
  <c r="E21" i="70"/>
  <c r="E24" i="70" s="1"/>
  <c r="E24" i="71"/>
  <c r="G21" i="70"/>
  <c r="G24" i="70" s="1"/>
  <c r="G24" i="71"/>
  <c r="D16" i="70"/>
  <c r="D18" i="71"/>
  <c r="C16" i="70"/>
  <c r="D21" i="70"/>
  <c r="D24" i="70" s="1"/>
  <c r="G16" i="70"/>
  <c r="G18" i="70" s="1"/>
  <c r="G18" i="71"/>
  <c r="E16" i="70"/>
  <c r="E18" i="70" s="1"/>
  <c r="E18" i="71"/>
  <c r="F16" i="70"/>
  <c r="F18" i="70" s="1"/>
  <c r="F18" i="71"/>
  <c r="E4" i="70"/>
  <c r="L22" i="70"/>
  <c r="Y22" i="70" s="1"/>
  <c r="C7" i="70"/>
  <c r="K22" i="35" l="1"/>
  <c r="L16" i="70"/>
  <c r="Y16" i="70" s="1"/>
  <c r="L16" i="71"/>
  <c r="Y16" i="71" s="1"/>
  <c r="L16" i="35" s="1"/>
  <c r="D24" i="71"/>
  <c r="D25" i="71" s="1"/>
  <c r="L21" i="71"/>
  <c r="Y21" i="71" s="1"/>
  <c r="L21" i="35" s="1"/>
  <c r="L21" i="70"/>
  <c r="Y21" i="70" s="1"/>
  <c r="K21" i="35" l="1"/>
  <c r="K16" i="35"/>
  <c r="R36" i="69"/>
  <c r="R40" i="69"/>
  <c r="Z39" i="69"/>
  <c r="Z41" i="69"/>
  <c r="R39" i="69"/>
  <c r="R45" i="69"/>
  <c r="Z37" i="69"/>
  <c r="N45" i="69"/>
  <c r="N38" i="69"/>
  <c r="R43" i="69"/>
  <c r="Z45" i="69"/>
  <c r="N40" i="69"/>
  <c r="N43" i="69"/>
  <c r="N37" i="69"/>
  <c r="R42" i="69"/>
  <c r="R38" i="69"/>
  <c r="Z43" i="69"/>
  <c r="N42" i="69"/>
  <c r="R41" i="69"/>
  <c r="R37" i="69"/>
  <c r="Z42" i="69"/>
  <c r="Z38" i="69"/>
  <c r="N36" i="69"/>
  <c r="N41" i="69"/>
  <c r="Z36" i="69"/>
  <c r="N39" i="69"/>
  <c r="AA39" i="69" l="1"/>
  <c r="AA42" i="69"/>
  <c r="AA37" i="69"/>
  <c r="AA45" i="69"/>
  <c r="AA41" i="69"/>
  <c r="AA36" i="69"/>
  <c r="AA40" i="69"/>
  <c r="AA38" i="69"/>
  <c r="AA43" i="69"/>
  <c r="Z28" i="69"/>
  <c r="R28" i="69"/>
  <c r="N28" i="69"/>
  <c r="Y26" i="69"/>
  <c r="D15" i="69"/>
  <c r="D16" i="69"/>
  <c r="D17" i="69"/>
  <c r="D18" i="69"/>
  <c r="D19" i="69"/>
  <c r="D20" i="69"/>
  <c r="D21" i="69"/>
  <c r="D22" i="69"/>
  <c r="D14" i="69"/>
  <c r="R29" i="69" l="1"/>
  <c r="N30" i="69"/>
  <c r="Z30" i="69"/>
  <c r="R33" i="69"/>
  <c r="R27" i="69"/>
  <c r="R30" i="69"/>
  <c r="N29" i="69"/>
  <c r="Z29" i="69"/>
  <c r="Z33" i="69"/>
  <c r="N26" i="69"/>
  <c r="Z26" i="69"/>
  <c r="AA28" i="69"/>
  <c r="N33" i="69"/>
  <c r="R26" i="69"/>
  <c r="N27" i="69"/>
  <c r="Z27" i="69"/>
  <c r="T4" i="69"/>
  <c r="T48" i="69" s="1"/>
  <c r="U4" i="69"/>
  <c r="U48" i="69" s="1"/>
  <c r="V4" i="69"/>
  <c r="V48" i="69" s="1"/>
  <c r="W4" i="69"/>
  <c r="X4" i="69"/>
  <c r="X48" i="69" s="1"/>
  <c r="Y4" i="69"/>
  <c r="Y48" i="69" s="1"/>
  <c r="C6" i="23" s="1"/>
  <c r="W4" i="57" s="1"/>
  <c r="S4" i="69"/>
  <c r="S48" i="69" s="1"/>
  <c r="P4" i="69"/>
  <c r="P48" i="69" s="1"/>
  <c r="Q4" i="69"/>
  <c r="Q48" i="69" s="1"/>
  <c r="O4" i="69"/>
  <c r="E4" i="69"/>
  <c r="E48" i="69" s="1"/>
  <c r="F4" i="69"/>
  <c r="F48" i="69" s="1"/>
  <c r="G4" i="69"/>
  <c r="G48" i="69" s="1"/>
  <c r="H4" i="69"/>
  <c r="I4" i="69"/>
  <c r="I48" i="69" s="1"/>
  <c r="J4" i="69"/>
  <c r="J48" i="69" s="1"/>
  <c r="K4" i="69"/>
  <c r="K48" i="69" s="1"/>
  <c r="L4" i="69"/>
  <c r="L48" i="69" s="1"/>
  <c r="M4" i="69"/>
  <c r="M48" i="69" s="1"/>
  <c r="D4" i="69"/>
  <c r="D55" i="52"/>
  <c r="D11" i="69" s="1"/>
  <c r="D8" i="69"/>
  <c r="D7" i="69"/>
  <c r="N34" i="52"/>
  <c r="AA34" i="52" s="1"/>
  <c r="AB34" i="52" s="1"/>
  <c r="N35" i="52"/>
  <c r="AA35" i="52" s="1"/>
  <c r="AB35" i="52" s="1"/>
  <c r="N36" i="52"/>
  <c r="AA36" i="52" s="1"/>
  <c r="AB36" i="52" s="1"/>
  <c r="N37" i="52"/>
  <c r="AA37" i="52" s="1"/>
  <c r="AB37" i="52" s="1"/>
  <c r="N33" i="52"/>
  <c r="AA33" i="52" s="1"/>
  <c r="AB33" i="52" s="1"/>
  <c r="AB25" i="52"/>
  <c r="AB26" i="52"/>
  <c r="AB28" i="52"/>
  <c r="AB32" i="52"/>
  <c r="D12" i="52"/>
  <c r="Z15" i="52"/>
  <c r="R15" i="52"/>
  <c r="D49" i="52"/>
  <c r="D5" i="69" s="1"/>
  <c r="H6" i="23" l="1"/>
  <c r="G6" i="23"/>
  <c r="L6" i="23"/>
  <c r="F6" i="23"/>
  <c r="J6" i="23"/>
  <c r="K6" i="23"/>
  <c r="E6" i="23"/>
  <c r="I6" i="23"/>
  <c r="D6" i="23"/>
  <c r="AA26" i="69"/>
  <c r="AA33" i="69"/>
  <c r="AA27" i="69"/>
  <c r="AA30" i="69"/>
  <c r="AA29" i="69"/>
  <c r="D38" i="52"/>
  <c r="H4" i="70"/>
  <c r="R4" i="69"/>
  <c r="O48" i="69"/>
  <c r="Z4" i="69"/>
  <c r="W48" i="69"/>
  <c r="T4" i="70"/>
  <c r="N4" i="69"/>
  <c r="H48" i="69"/>
  <c r="N4" i="70"/>
  <c r="S4" i="70"/>
  <c r="O4" i="70"/>
  <c r="Q4" i="70"/>
  <c r="R4" i="70"/>
  <c r="V4" i="70"/>
  <c r="N14" i="52"/>
  <c r="AA14" i="52" s="1"/>
  <c r="AB14" i="52" s="1"/>
  <c r="R11" i="52"/>
  <c r="Z10" i="52"/>
  <c r="Z11" i="52"/>
  <c r="R10" i="52"/>
  <c r="W4" i="71" l="1"/>
  <c r="W31" i="71" s="1"/>
  <c r="Y31" i="71" s="1"/>
  <c r="Y40" i="71" s="1"/>
  <c r="X4" i="71"/>
  <c r="W4" i="70"/>
  <c r="W31" i="70" s="1"/>
  <c r="Y31" i="70" s="1"/>
  <c r="Y40" i="70" s="1"/>
  <c r="C4" i="70"/>
  <c r="P4" i="70"/>
  <c r="AA4" i="69"/>
  <c r="R48" i="69"/>
  <c r="N48" i="69"/>
  <c r="Z48" i="69"/>
  <c r="AA48" i="69" l="1"/>
  <c r="U4" i="70"/>
  <c r="P12" i="52"/>
  <c r="P50" i="52" s="1"/>
  <c r="P6" i="69" s="1"/>
  <c r="P50" i="69" s="1"/>
  <c r="D50" i="52"/>
  <c r="D6" i="69" s="1"/>
  <c r="Q8" i="52"/>
  <c r="Q9" i="52"/>
  <c r="T43" i="52"/>
  <c r="U43" i="52"/>
  <c r="V43" i="52"/>
  <c r="W43" i="52"/>
  <c r="X43" i="52"/>
  <c r="Y43" i="52"/>
  <c r="S43" i="52"/>
  <c r="P43" i="52"/>
  <c r="Q43" i="52"/>
  <c r="O43" i="52"/>
  <c r="F43" i="52"/>
  <c r="G43" i="52"/>
  <c r="H43" i="52"/>
  <c r="I43" i="52"/>
  <c r="J43" i="52"/>
  <c r="K43" i="52"/>
  <c r="L43" i="52"/>
  <c r="M43" i="52"/>
  <c r="E43" i="52"/>
  <c r="Z41" i="52"/>
  <c r="Z42" i="52"/>
  <c r="Z40" i="52"/>
  <c r="R41" i="52"/>
  <c r="R42" i="52"/>
  <c r="R40" i="52"/>
  <c r="N41" i="52"/>
  <c r="N42" i="52"/>
  <c r="N40" i="52"/>
  <c r="X4" i="70" l="1"/>
  <c r="N6" i="70"/>
  <c r="O12" i="52"/>
  <c r="O50" i="52" s="1"/>
  <c r="O6" i="69" s="1"/>
  <c r="O50" i="69" s="1"/>
  <c r="Q12" i="52"/>
  <c r="Q50" i="52" s="1"/>
  <c r="Q6" i="69" s="1"/>
  <c r="Z43" i="52"/>
  <c r="AA42" i="52"/>
  <c r="T8" i="52"/>
  <c r="T12" i="52" s="1"/>
  <c r="T50" i="52" s="1"/>
  <c r="T6" i="69" s="1"/>
  <c r="T50" i="69" s="1"/>
  <c r="R6" i="71" s="1"/>
  <c r="N43" i="52"/>
  <c r="I6" i="52" s="1"/>
  <c r="I12" i="52" s="1"/>
  <c r="I50" i="52" s="1"/>
  <c r="I6" i="69" s="1"/>
  <c r="I50" i="69" s="1"/>
  <c r="C8" i="7" s="1"/>
  <c r="R43" i="52"/>
  <c r="AA41" i="52"/>
  <c r="W8" i="52"/>
  <c r="W12" i="52" s="1"/>
  <c r="W50" i="52" s="1"/>
  <c r="W6" i="69" s="1"/>
  <c r="W50" i="69" s="1"/>
  <c r="U6" i="71" s="1"/>
  <c r="S8" i="52"/>
  <c r="S12" i="52" s="1"/>
  <c r="S50" i="52" s="1"/>
  <c r="S6" i="69" s="1"/>
  <c r="V8" i="52"/>
  <c r="V12" i="52" s="1"/>
  <c r="V50" i="52" s="1"/>
  <c r="V6" i="69" s="1"/>
  <c r="V50" i="69" s="1"/>
  <c r="AA40" i="52"/>
  <c r="Y8" i="52"/>
  <c r="Y12" i="52" s="1"/>
  <c r="Y50" i="52" s="1"/>
  <c r="Y6" i="69" s="1"/>
  <c r="Y50" i="69" s="1"/>
  <c r="W6" i="71" s="1"/>
  <c r="U8" i="52"/>
  <c r="U12" i="52" s="1"/>
  <c r="U50" i="52" s="1"/>
  <c r="U6" i="69" s="1"/>
  <c r="U50" i="69" s="1"/>
  <c r="X8" i="52"/>
  <c r="X12" i="52" s="1"/>
  <c r="X50" i="52" s="1"/>
  <c r="X6" i="69" s="1"/>
  <c r="X50" i="69" s="1"/>
  <c r="V6" i="71" s="1"/>
  <c r="K8" i="7" l="1"/>
  <c r="E8" i="7"/>
  <c r="F8" i="7"/>
  <c r="G8" i="16" s="1"/>
  <c r="H8" i="16" s="1"/>
  <c r="I8" i="16" s="1"/>
  <c r="J8" i="16" s="1"/>
  <c r="K8" i="16" s="1"/>
  <c r="L8" i="16" s="1"/>
  <c r="J8" i="7"/>
  <c r="D8" i="7"/>
  <c r="I8" i="7"/>
  <c r="H8" i="7"/>
  <c r="G8" i="7"/>
  <c r="L8" i="7"/>
  <c r="J6" i="52"/>
  <c r="J12" i="52" s="1"/>
  <c r="J50" i="52" s="1"/>
  <c r="J6" i="69" s="1"/>
  <c r="J50" i="69" s="1"/>
  <c r="C8" i="11" s="1"/>
  <c r="G6" i="71"/>
  <c r="L6" i="52"/>
  <c r="L12" i="52" s="1"/>
  <c r="L50" i="52" s="1"/>
  <c r="L6" i="69" s="1"/>
  <c r="L50" i="69" s="1"/>
  <c r="C8" i="12" s="1"/>
  <c r="M6" i="52"/>
  <c r="K6" i="52"/>
  <c r="K12" i="52" s="1"/>
  <c r="Q50" i="69"/>
  <c r="R6" i="69"/>
  <c r="Z6" i="69"/>
  <c r="S50" i="69"/>
  <c r="V6" i="70"/>
  <c r="U6" i="70"/>
  <c r="W6" i="70"/>
  <c r="S6" i="70"/>
  <c r="T6" i="70"/>
  <c r="R6" i="70"/>
  <c r="AA43" i="52"/>
  <c r="H6" i="52"/>
  <c r="H12" i="52" s="1"/>
  <c r="H50" i="52" s="1"/>
  <c r="H6" i="69" s="1"/>
  <c r="H50" i="69" s="1"/>
  <c r="C8" i="8" s="1"/>
  <c r="F6" i="52"/>
  <c r="F12" i="52" s="1"/>
  <c r="F50" i="52" s="1"/>
  <c r="F6" i="69" s="1"/>
  <c r="G6" i="52"/>
  <c r="G12" i="52" s="1"/>
  <c r="G50" i="52" s="1"/>
  <c r="G6" i="69" s="1"/>
  <c r="G50" i="69" s="1"/>
  <c r="C8" i="6" s="1"/>
  <c r="M12" i="52"/>
  <c r="M50" i="52" s="1"/>
  <c r="M6" i="69" s="1"/>
  <c r="M50" i="69" s="1"/>
  <c r="C8" i="13" s="1"/>
  <c r="E6" i="52"/>
  <c r="E12" i="52" s="1"/>
  <c r="E50" i="52" s="1"/>
  <c r="E6" i="69" s="1"/>
  <c r="E50" i="69" s="1"/>
  <c r="C8" i="9" s="1"/>
  <c r="I8" i="12" l="1"/>
  <c r="H8" i="12"/>
  <c r="G8" i="12"/>
  <c r="L8" i="12"/>
  <c r="J6" i="71" s="1"/>
  <c r="F8" i="12"/>
  <c r="K8" i="12"/>
  <c r="E8" i="12"/>
  <c r="D8" i="12"/>
  <c r="J8" i="12"/>
  <c r="K8" i="13"/>
  <c r="K6" i="70" s="1"/>
  <c r="E8" i="13"/>
  <c r="L8" i="13"/>
  <c r="J8" i="13"/>
  <c r="F8" i="13"/>
  <c r="I8" i="13"/>
  <c r="D8" i="13"/>
  <c r="H8" i="13"/>
  <c r="G8" i="13"/>
  <c r="H8" i="8"/>
  <c r="G8" i="8"/>
  <c r="L8" i="8"/>
  <c r="F6" i="71" s="1"/>
  <c r="F8" i="8"/>
  <c r="K8" i="8"/>
  <c r="E8" i="8"/>
  <c r="J8" i="8"/>
  <c r="D8" i="8"/>
  <c r="I8" i="8"/>
  <c r="K8" i="6"/>
  <c r="E6" i="70" s="1"/>
  <c r="E8" i="6"/>
  <c r="H8" i="6"/>
  <c r="F8" i="6"/>
  <c r="J8" i="6"/>
  <c r="D8" i="6"/>
  <c r="I8" i="6"/>
  <c r="L8" i="6"/>
  <c r="E6" i="71" s="1"/>
  <c r="G8" i="6"/>
  <c r="K8" i="9"/>
  <c r="E8" i="9"/>
  <c r="D8" i="9"/>
  <c r="J8" i="9"/>
  <c r="L8" i="9"/>
  <c r="I8" i="9"/>
  <c r="H8" i="9"/>
  <c r="G8" i="9"/>
  <c r="F8" i="9"/>
  <c r="L8" i="11"/>
  <c r="H6" i="71" s="1"/>
  <c r="F8" i="11"/>
  <c r="G8" i="11"/>
  <c r="K8" i="11"/>
  <c r="E8" i="11"/>
  <c r="J8" i="11"/>
  <c r="D8" i="11"/>
  <c r="I8" i="11"/>
  <c r="H8" i="11"/>
  <c r="K6" i="71"/>
  <c r="C6" i="71"/>
  <c r="H6" i="70"/>
  <c r="K50" i="52"/>
  <c r="K6" i="69" s="1"/>
  <c r="K50" i="69" s="1"/>
  <c r="C8" i="22" s="1"/>
  <c r="R50" i="69"/>
  <c r="Q6" i="71"/>
  <c r="Z50" i="69"/>
  <c r="F6" i="70"/>
  <c r="G6" i="70"/>
  <c r="F50" i="69"/>
  <c r="C8" i="4" s="1"/>
  <c r="H8" i="4" l="1"/>
  <c r="G8" i="4"/>
  <c r="K8" i="4"/>
  <c r="L8" i="4"/>
  <c r="D6" i="71" s="1"/>
  <c r="F8" i="4"/>
  <c r="E8" i="4"/>
  <c r="I8" i="4"/>
  <c r="J8" i="4"/>
  <c r="D8" i="4"/>
  <c r="H8" i="22"/>
  <c r="G8" i="22"/>
  <c r="L8" i="22"/>
  <c r="I6" i="71" s="1"/>
  <c r="F8" i="22"/>
  <c r="K8" i="22"/>
  <c r="E8" i="22"/>
  <c r="J8" i="22"/>
  <c r="D8" i="22"/>
  <c r="I8" i="22"/>
  <c r="X6" i="71"/>
  <c r="I6" i="70"/>
  <c r="J6" i="70"/>
  <c r="N6" i="69"/>
  <c r="AA6" i="69" s="1"/>
  <c r="O6" i="70"/>
  <c r="Q6" i="70"/>
  <c r="X6" i="70" s="1"/>
  <c r="N50" i="69"/>
  <c r="AA50" i="69" s="1"/>
  <c r="K13" i="9"/>
  <c r="C12" i="70" s="1"/>
  <c r="M6" i="71" l="1"/>
  <c r="D4" i="70"/>
  <c r="M6" i="70" l="1"/>
  <c r="P6" i="70" s="1"/>
  <c r="P6" i="71"/>
  <c r="L4" i="71"/>
  <c r="Y4" i="71" s="1"/>
  <c r="L4" i="35" s="1"/>
  <c r="M43" i="35" s="1"/>
  <c r="F4" i="70"/>
  <c r="L4" i="70" l="1"/>
  <c r="Y4" i="70" s="1"/>
  <c r="K4" i="35" s="1"/>
  <c r="L43" i="35" l="1"/>
  <c r="E19" i="6"/>
  <c r="K24" i="21" l="1"/>
  <c r="I18" i="16"/>
  <c r="H18" i="16"/>
  <c r="G18" i="16"/>
  <c r="F18" i="16"/>
  <c r="E18" i="16"/>
  <c r="D18" i="16"/>
  <c r="J18" i="11"/>
  <c r="I18" i="11"/>
  <c r="G18" i="11"/>
  <c r="F18" i="11"/>
  <c r="E18" i="11"/>
  <c r="D13" i="9"/>
  <c r="E13" i="9"/>
  <c r="F13" i="9"/>
  <c r="G13" i="9"/>
  <c r="H13" i="9"/>
  <c r="I13" i="9"/>
  <c r="J13" i="9"/>
  <c r="D6" i="70" l="1"/>
  <c r="W23" i="64" l="1"/>
  <c r="V23" i="64"/>
  <c r="U23" i="64"/>
  <c r="T23" i="64"/>
  <c r="S23" i="64"/>
  <c r="R23" i="64"/>
  <c r="Q23" i="64"/>
  <c r="O23" i="64"/>
  <c r="N23" i="64"/>
  <c r="M23" i="64"/>
  <c r="K23" i="64"/>
  <c r="J23" i="64"/>
  <c r="H23" i="64"/>
  <c r="G23" i="64"/>
  <c r="F23" i="64"/>
  <c r="E23" i="64"/>
  <c r="D23" i="64"/>
  <c r="C23" i="64"/>
  <c r="W22" i="64"/>
  <c r="V22" i="64"/>
  <c r="U22" i="64"/>
  <c r="T22" i="64"/>
  <c r="S22" i="64"/>
  <c r="R22" i="64"/>
  <c r="Q22" i="64"/>
  <c r="O22" i="64"/>
  <c r="N22" i="64"/>
  <c r="M22" i="64"/>
  <c r="K22" i="64"/>
  <c r="J22" i="64"/>
  <c r="I22" i="64"/>
  <c r="H22" i="64"/>
  <c r="G22" i="64"/>
  <c r="F22" i="64"/>
  <c r="E22" i="64"/>
  <c r="C22" i="64"/>
  <c r="W21" i="64"/>
  <c r="V21" i="64"/>
  <c r="U21" i="64"/>
  <c r="T21" i="64"/>
  <c r="S21" i="64"/>
  <c r="R21" i="64"/>
  <c r="Q21" i="64"/>
  <c r="Q24" i="64" s="1"/>
  <c r="O21" i="64"/>
  <c r="N21" i="64"/>
  <c r="M21" i="64"/>
  <c r="K21" i="64"/>
  <c r="J21" i="64"/>
  <c r="I21" i="64"/>
  <c r="H21" i="64"/>
  <c r="G21" i="64"/>
  <c r="F21" i="64"/>
  <c r="E21" i="64"/>
  <c r="D21" i="64"/>
  <c r="C21" i="64"/>
  <c r="W20" i="64"/>
  <c r="V20" i="64"/>
  <c r="U20" i="64"/>
  <c r="T20" i="64"/>
  <c r="S20" i="64"/>
  <c r="R20" i="64"/>
  <c r="O20" i="64"/>
  <c r="N20" i="64"/>
  <c r="M20" i="64"/>
  <c r="K20" i="64"/>
  <c r="J20" i="64"/>
  <c r="I20" i="64"/>
  <c r="H20" i="64"/>
  <c r="G20" i="64"/>
  <c r="F20" i="64"/>
  <c r="D20" i="64"/>
  <c r="C20" i="64"/>
  <c r="W19" i="64"/>
  <c r="V19" i="64"/>
  <c r="U19" i="64"/>
  <c r="T19" i="64"/>
  <c r="S19" i="64"/>
  <c r="R19" i="64"/>
  <c r="Q19" i="64"/>
  <c r="O19" i="64"/>
  <c r="N19" i="64"/>
  <c r="M19" i="64"/>
  <c r="K19" i="64"/>
  <c r="I19" i="64"/>
  <c r="H19" i="64"/>
  <c r="G19" i="64"/>
  <c r="F19" i="64"/>
  <c r="E19" i="64"/>
  <c r="D19" i="64"/>
  <c r="C19" i="64"/>
  <c r="V17" i="64"/>
  <c r="U17" i="64"/>
  <c r="T17" i="64"/>
  <c r="Q17" i="64"/>
  <c r="N17" i="64"/>
  <c r="M17" i="64"/>
  <c r="K17" i="64"/>
  <c r="J17" i="64"/>
  <c r="I17" i="64"/>
  <c r="H17" i="64"/>
  <c r="G17" i="64"/>
  <c r="F17" i="64"/>
  <c r="D17" i="64"/>
  <c r="W16" i="64"/>
  <c r="V16" i="64"/>
  <c r="U16" i="64"/>
  <c r="T16" i="64"/>
  <c r="S16" i="64"/>
  <c r="R16" i="64"/>
  <c r="Q16" i="64"/>
  <c r="O16" i="64"/>
  <c r="N16" i="64"/>
  <c r="M16" i="64"/>
  <c r="K16" i="64"/>
  <c r="J16" i="64"/>
  <c r="I16" i="64"/>
  <c r="H16" i="64"/>
  <c r="G16" i="64"/>
  <c r="F16" i="64"/>
  <c r="E16" i="64"/>
  <c r="D16" i="64"/>
  <c r="C16" i="64"/>
  <c r="W15" i="64"/>
  <c r="V15" i="64"/>
  <c r="U15" i="64"/>
  <c r="T15" i="64"/>
  <c r="S15" i="64"/>
  <c r="R15" i="64"/>
  <c r="Q15" i="64"/>
  <c r="O15" i="64"/>
  <c r="N15" i="64"/>
  <c r="M15" i="64"/>
  <c r="K15" i="64"/>
  <c r="J15" i="64"/>
  <c r="I15" i="64"/>
  <c r="H15" i="64"/>
  <c r="G15" i="64"/>
  <c r="E15" i="64"/>
  <c r="D15" i="64"/>
  <c r="C15" i="64"/>
  <c r="W14" i="64"/>
  <c r="V14" i="64"/>
  <c r="U14" i="64"/>
  <c r="T14" i="64"/>
  <c r="S14" i="64"/>
  <c r="R14" i="64"/>
  <c r="Q14" i="64"/>
  <c r="O14" i="64"/>
  <c r="N14" i="64"/>
  <c r="M14" i="64"/>
  <c r="K14" i="64"/>
  <c r="J14" i="64"/>
  <c r="I14" i="64"/>
  <c r="H14" i="64"/>
  <c r="F14" i="64"/>
  <c r="E14" i="64"/>
  <c r="D14" i="64"/>
  <c r="C14" i="64"/>
  <c r="C12" i="64"/>
  <c r="C7" i="64"/>
  <c r="V6" i="64"/>
  <c r="U6" i="64"/>
  <c r="T6" i="64"/>
  <c r="S6" i="64"/>
  <c r="R6" i="64"/>
  <c r="Q6" i="64"/>
  <c r="K6" i="64"/>
  <c r="J6" i="64"/>
  <c r="G5" i="64"/>
  <c r="E5" i="64"/>
  <c r="D5" i="64"/>
  <c r="C5" i="64"/>
  <c r="W4" i="64"/>
  <c r="W31" i="64" s="1"/>
  <c r="Y31" i="64" s="1"/>
  <c r="Y40" i="64" s="1"/>
  <c r="V4" i="64"/>
  <c r="U4" i="64"/>
  <c r="T4" i="64"/>
  <c r="S4" i="64"/>
  <c r="R4" i="64"/>
  <c r="Q4" i="64"/>
  <c r="O4" i="64"/>
  <c r="N4" i="64"/>
  <c r="M4" i="64"/>
  <c r="K4" i="64"/>
  <c r="J4" i="64"/>
  <c r="I4" i="64"/>
  <c r="H4" i="64"/>
  <c r="G4" i="64"/>
  <c r="F4" i="64"/>
  <c r="E4" i="64"/>
  <c r="D4" i="64"/>
  <c r="W23" i="63"/>
  <c r="V23" i="63"/>
  <c r="U23" i="63"/>
  <c r="T23" i="63"/>
  <c r="S23" i="63"/>
  <c r="R23" i="63"/>
  <c r="Q23" i="63"/>
  <c r="N23" i="63"/>
  <c r="M23" i="63"/>
  <c r="K23" i="63"/>
  <c r="J23" i="63"/>
  <c r="H23" i="63"/>
  <c r="F23" i="63"/>
  <c r="E23" i="63"/>
  <c r="D23" i="63"/>
  <c r="C23" i="63"/>
  <c r="W22" i="63"/>
  <c r="V22" i="63"/>
  <c r="U22" i="63"/>
  <c r="T22" i="63"/>
  <c r="S22" i="63"/>
  <c r="R22" i="63"/>
  <c r="Q22" i="63"/>
  <c r="O22" i="63"/>
  <c r="M22" i="63"/>
  <c r="H22" i="63"/>
  <c r="C22" i="63"/>
  <c r="W21" i="63"/>
  <c r="V21" i="63"/>
  <c r="U21" i="63"/>
  <c r="T21" i="63"/>
  <c r="S21" i="63"/>
  <c r="R21" i="63"/>
  <c r="Q21" i="63"/>
  <c r="O21" i="63"/>
  <c r="N21" i="63"/>
  <c r="M21" i="63"/>
  <c r="K21" i="63"/>
  <c r="J21" i="63"/>
  <c r="I21" i="63"/>
  <c r="H21" i="63"/>
  <c r="G21" i="63"/>
  <c r="F21" i="63"/>
  <c r="E21" i="63"/>
  <c r="D21" i="63"/>
  <c r="C21" i="63"/>
  <c r="W20" i="63"/>
  <c r="V20" i="63"/>
  <c r="U20" i="63"/>
  <c r="T20" i="63"/>
  <c r="S20" i="63"/>
  <c r="R20" i="63"/>
  <c r="N20" i="63"/>
  <c r="M20" i="63"/>
  <c r="K20" i="63"/>
  <c r="J20" i="63"/>
  <c r="I20" i="63"/>
  <c r="H20" i="63"/>
  <c r="F20" i="63"/>
  <c r="D20" i="63"/>
  <c r="C20" i="63"/>
  <c r="W19" i="63"/>
  <c r="V19" i="63"/>
  <c r="U19" i="63"/>
  <c r="T19" i="63"/>
  <c r="S19" i="63"/>
  <c r="R19" i="63"/>
  <c r="Q19" i="63"/>
  <c r="O19" i="63"/>
  <c r="N19" i="63"/>
  <c r="M19" i="63"/>
  <c r="K19" i="63"/>
  <c r="J19" i="63"/>
  <c r="I19" i="63"/>
  <c r="H19" i="63"/>
  <c r="G19" i="63"/>
  <c r="F19" i="63"/>
  <c r="E19" i="63"/>
  <c r="D19" i="63"/>
  <c r="C19" i="63"/>
  <c r="V17" i="63"/>
  <c r="U17" i="63"/>
  <c r="T17" i="63"/>
  <c r="Q17" i="63"/>
  <c r="N17" i="63"/>
  <c r="M17" i="63"/>
  <c r="K17" i="63"/>
  <c r="J17" i="63"/>
  <c r="I17" i="63"/>
  <c r="H17" i="63"/>
  <c r="G17" i="63"/>
  <c r="F17" i="63"/>
  <c r="W16" i="63"/>
  <c r="V16" i="63"/>
  <c r="U16" i="63"/>
  <c r="T16" i="63"/>
  <c r="S16" i="63"/>
  <c r="R16" i="63"/>
  <c r="Q16" i="63"/>
  <c r="O16" i="63"/>
  <c r="N16" i="63"/>
  <c r="M16" i="63"/>
  <c r="K16" i="63"/>
  <c r="J16" i="63"/>
  <c r="I16" i="63"/>
  <c r="H16" i="63"/>
  <c r="G16" i="63"/>
  <c r="F16" i="63"/>
  <c r="E16" i="63"/>
  <c r="D16" i="63"/>
  <c r="C16" i="63"/>
  <c r="W15" i="63"/>
  <c r="V15" i="63"/>
  <c r="U15" i="63"/>
  <c r="T15" i="63"/>
  <c r="S15" i="63"/>
  <c r="R15" i="63"/>
  <c r="Q15" i="63"/>
  <c r="O15" i="63"/>
  <c r="N15" i="63"/>
  <c r="M15" i="63"/>
  <c r="K15" i="63"/>
  <c r="J15" i="63"/>
  <c r="I15" i="63"/>
  <c r="H15" i="63"/>
  <c r="G15" i="63"/>
  <c r="E15" i="63"/>
  <c r="D15" i="63"/>
  <c r="C15" i="63"/>
  <c r="W14" i="63"/>
  <c r="V14" i="63"/>
  <c r="U14" i="63"/>
  <c r="T14" i="63"/>
  <c r="S14" i="63"/>
  <c r="R14" i="63"/>
  <c r="Q14" i="63"/>
  <c r="O14" i="63"/>
  <c r="N14" i="63"/>
  <c r="M14" i="63"/>
  <c r="K14" i="63"/>
  <c r="J14" i="63"/>
  <c r="I14" i="63"/>
  <c r="H14" i="63"/>
  <c r="F14" i="63"/>
  <c r="E14" i="63"/>
  <c r="D14" i="63"/>
  <c r="C14" i="63"/>
  <c r="C12" i="63"/>
  <c r="D8" i="63"/>
  <c r="C8" i="63"/>
  <c r="C7" i="63"/>
  <c r="V6" i="63"/>
  <c r="U6" i="63"/>
  <c r="T6" i="63"/>
  <c r="S6" i="63"/>
  <c r="R6" i="63"/>
  <c r="Q6" i="63"/>
  <c r="K6" i="63"/>
  <c r="J6" i="63"/>
  <c r="J5" i="63"/>
  <c r="G5" i="63"/>
  <c r="D5" i="63"/>
  <c r="W4" i="63"/>
  <c r="W31" i="63" s="1"/>
  <c r="Y31" i="63" s="1"/>
  <c r="Y40" i="63" s="1"/>
  <c r="V4" i="63"/>
  <c r="U4" i="63"/>
  <c r="T4" i="63"/>
  <c r="S4" i="63"/>
  <c r="R4" i="63"/>
  <c r="Q4" i="63"/>
  <c r="O4" i="63"/>
  <c r="N4" i="63"/>
  <c r="M4" i="63"/>
  <c r="K4" i="63"/>
  <c r="J4" i="63"/>
  <c r="I4" i="63"/>
  <c r="H4" i="63"/>
  <c r="G4" i="63"/>
  <c r="F4" i="63"/>
  <c r="E4" i="63"/>
  <c r="D4" i="63"/>
  <c r="C4" i="63"/>
  <c r="W23" i="62"/>
  <c r="V23" i="62"/>
  <c r="U23" i="62"/>
  <c r="T23" i="62"/>
  <c r="S23" i="62"/>
  <c r="R23" i="62"/>
  <c r="Q23" i="62"/>
  <c r="O23" i="62"/>
  <c r="N23" i="62"/>
  <c r="M23" i="62"/>
  <c r="K23" i="62"/>
  <c r="J23" i="62"/>
  <c r="H23" i="62"/>
  <c r="E23" i="62"/>
  <c r="D23" i="62"/>
  <c r="C23" i="62"/>
  <c r="W22" i="62"/>
  <c r="V22" i="62"/>
  <c r="U22" i="62"/>
  <c r="T22" i="62"/>
  <c r="S22" i="62"/>
  <c r="R22" i="62"/>
  <c r="Q22" i="62"/>
  <c r="O22" i="62"/>
  <c r="N22" i="62"/>
  <c r="M22" i="62"/>
  <c r="K22" i="62"/>
  <c r="J22" i="62"/>
  <c r="H22" i="62"/>
  <c r="E22" i="62"/>
  <c r="C22" i="62"/>
  <c r="W21" i="62"/>
  <c r="V21" i="62"/>
  <c r="U21" i="62"/>
  <c r="T21" i="62"/>
  <c r="S21" i="62"/>
  <c r="R21" i="62"/>
  <c r="Q21" i="62"/>
  <c r="O21" i="62"/>
  <c r="N21" i="62"/>
  <c r="M21" i="62"/>
  <c r="K21" i="62"/>
  <c r="J21" i="62"/>
  <c r="I21" i="62"/>
  <c r="H21" i="62"/>
  <c r="G21" i="62"/>
  <c r="F21" i="62"/>
  <c r="E21" i="62"/>
  <c r="D21" i="62"/>
  <c r="C21" i="62"/>
  <c r="W20" i="62"/>
  <c r="V20" i="62"/>
  <c r="U20" i="62"/>
  <c r="T20" i="62"/>
  <c r="S20" i="62"/>
  <c r="R20" i="62"/>
  <c r="M20" i="62"/>
  <c r="K20" i="62"/>
  <c r="J20" i="62"/>
  <c r="I20" i="62"/>
  <c r="H20" i="62"/>
  <c r="F20" i="62"/>
  <c r="D20" i="62"/>
  <c r="C20" i="62"/>
  <c r="W19" i="62"/>
  <c r="V19" i="62"/>
  <c r="U19" i="62"/>
  <c r="T19" i="62"/>
  <c r="S19" i="62"/>
  <c r="R19" i="62"/>
  <c r="Q19" i="62"/>
  <c r="O19" i="62"/>
  <c r="N19" i="62"/>
  <c r="M19" i="62"/>
  <c r="K19" i="62"/>
  <c r="J19" i="62"/>
  <c r="I19" i="62"/>
  <c r="H19" i="62"/>
  <c r="G19" i="62"/>
  <c r="F19" i="62"/>
  <c r="E19" i="62"/>
  <c r="C19" i="62"/>
  <c r="V17" i="62"/>
  <c r="U17" i="62"/>
  <c r="T17" i="62"/>
  <c r="Q17" i="62"/>
  <c r="N17" i="62"/>
  <c r="M17" i="62"/>
  <c r="K17" i="62"/>
  <c r="J17" i="62"/>
  <c r="I17" i="62"/>
  <c r="H17" i="62"/>
  <c r="G17" i="62"/>
  <c r="F17" i="62"/>
  <c r="D17" i="62"/>
  <c r="W16" i="62"/>
  <c r="V16" i="62"/>
  <c r="U16" i="62"/>
  <c r="T16" i="62"/>
  <c r="S16" i="62"/>
  <c r="R16" i="62"/>
  <c r="Q16" i="62"/>
  <c r="O16" i="62"/>
  <c r="N16" i="62"/>
  <c r="M16" i="62"/>
  <c r="K16" i="62"/>
  <c r="J16" i="62"/>
  <c r="I16" i="62"/>
  <c r="H16" i="62"/>
  <c r="G16" i="62"/>
  <c r="F16" i="62"/>
  <c r="E16" i="62"/>
  <c r="D16" i="62"/>
  <c r="C16" i="62"/>
  <c r="W15" i="62"/>
  <c r="V15" i="62"/>
  <c r="U15" i="62"/>
  <c r="T15" i="62"/>
  <c r="S15" i="62"/>
  <c r="R15" i="62"/>
  <c r="Q15" i="62"/>
  <c r="O15" i="62"/>
  <c r="N15" i="62"/>
  <c r="M15" i="62"/>
  <c r="K15" i="62"/>
  <c r="J15" i="62"/>
  <c r="I15" i="62"/>
  <c r="H15" i="62"/>
  <c r="G15" i="62"/>
  <c r="E15" i="62"/>
  <c r="D15" i="62"/>
  <c r="C15" i="62"/>
  <c r="W14" i="62"/>
  <c r="V14" i="62"/>
  <c r="U14" i="62"/>
  <c r="T14" i="62"/>
  <c r="S14" i="62"/>
  <c r="R14" i="62"/>
  <c r="Q14" i="62"/>
  <c r="O14" i="62"/>
  <c r="N14" i="62"/>
  <c r="M14" i="62"/>
  <c r="K14" i="62"/>
  <c r="J14" i="62"/>
  <c r="I14" i="62"/>
  <c r="H14" i="62"/>
  <c r="F14" i="62"/>
  <c r="E14" i="62"/>
  <c r="D14" i="62"/>
  <c r="C14" i="62"/>
  <c r="C12" i="62"/>
  <c r="C8" i="62"/>
  <c r="C7" i="62"/>
  <c r="V6" i="62"/>
  <c r="U6" i="62"/>
  <c r="T6" i="62"/>
  <c r="S6" i="62"/>
  <c r="R6" i="62"/>
  <c r="Q6" i="62"/>
  <c r="K6" i="62"/>
  <c r="J6" i="62"/>
  <c r="G5" i="62"/>
  <c r="F5" i="62"/>
  <c r="E5" i="62"/>
  <c r="D5" i="62"/>
  <c r="W4" i="62"/>
  <c r="W31" i="62" s="1"/>
  <c r="Y31" i="62" s="1"/>
  <c r="Y40" i="62" s="1"/>
  <c r="V4" i="62"/>
  <c r="U4" i="62"/>
  <c r="T4" i="62"/>
  <c r="S4" i="62"/>
  <c r="R4" i="62"/>
  <c r="Q4" i="62"/>
  <c r="O4" i="62"/>
  <c r="N4" i="62"/>
  <c r="M4" i="62"/>
  <c r="K4" i="62"/>
  <c r="J4" i="62"/>
  <c r="I4" i="62"/>
  <c r="H4" i="62"/>
  <c r="G4" i="62"/>
  <c r="F4" i="62"/>
  <c r="E4" i="62"/>
  <c r="D4" i="62"/>
  <c r="C4" i="62"/>
  <c r="W23" i="61"/>
  <c r="V23" i="61"/>
  <c r="U23" i="61"/>
  <c r="T23" i="61"/>
  <c r="S23" i="61"/>
  <c r="R23" i="61"/>
  <c r="Q23" i="61"/>
  <c r="N23" i="61"/>
  <c r="M23" i="61"/>
  <c r="H23" i="61"/>
  <c r="F23" i="61"/>
  <c r="E23" i="61"/>
  <c r="D23" i="61"/>
  <c r="C23" i="61"/>
  <c r="W22" i="61"/>
  <c r="V22" i="61"/>
  <c r="U22" i="61"/>
  <c r="T22" i="61"/>
  <c r="S22" i="61"/>
  <c r="R22" i="61"/>
  <c r="Q22" i="61"/>
  <c r="O22" i="61"/>
  <c r="N22" i="61"/>
  <c r="M22" i="61"/>
  <c r="H22" i="61"/>
  <c r="C22" i="61"/>
  <c r="W21" i="61"/>
  <c r="V21" i="61"/>
  <c r="U21" i="61"/>
  <c r="T21" i="61"/>
  <c r="S21" i="61"/>
  <c r="R21" i="61"/>
  <c r="Q21" i="61"/>
  <c r="O21" i="61"/>
  <c r="N21" i="61"/>
  <c r="M21" i="61"/>
  <c r="K21" i="61"/>
  <c r="J21" i="61"/>
  <c r="I21" i="61"/>
  <c r="H21" i="61"/>
  <c r="G21" i="61"/>
  <c r="F21" i="61"/>
  <c r="E21" i="61"/>
  <c r="D21" i="61"/>
  <c r="C21" i="61"/>
  <c r="W20" i="61"/>
  <c r="V20" i="61"/>
  <c r="U20" i="61"/>
  <c r="T20" i="61"/>
  <c r="S20" i="61"/>
  <c r="R20" i="61"/>
  <c r="M20" i="61"/>
  <c r="K20" i="61"/>
  <c r="J20" i="61"/>
  <c r="I20" i="61"/>
  <c r="H20" i="61"/>
  <c r="F20" i="61"/>
  <c r="D20" i="61"/>
  <c r="C20" i="61"/>
  <c r="W19" i="61"/>
  <c r="V19" i="61"/>
  <c r="U19" i="61"/>
  <c r="T19" i="61"/>
  <c r="S19" i="61"/>
  <c r="R19" i="61"/>
  <c r="Q19" i="61"/>
  <c r="O19" i="61"/>
  <c r="N19" i="61"/>
  <c r="M19" i="61"/>
  <c r="K19" i="61"/>
  <c r="J19" i="61"/>
  <c r="I19" i="61"/>
  <c r="H19" i="61"/>
  <c r="G19" i="61"/>
  <c r="F19" i="61"/>
  <c r="E19" i="61"/>
  <c r="D19" i="61"/>
  <c r="C19" i="61"/>
  <c r="W16" i="61"/>
  <c r="V16" i="61"/>
  <c r="U16" i="61"/>
  <c r="T16" i="61"/>
  <c r="S16" i="61"/>
  <c r="R16" i="61"/>
  <c r="Q16" i="61"/>
  <c r="O16" i="61"/>
  <c r="N16" i="61"/>
  <c r="M16" i="61"/>
  <c r="K16" i="61"/>
  <c r="J16" i="61"/>
  <c r="I16" i="61"/>
  <c r="H16" i="61"/>
  <c r="G16" i="61"/>
  <c r="F16" i="61"/>
  <c r="E16" i="61"/>
  <c r="D16" i="61"/>
  <c r="C16" i="61"/>
  <c r="W15" i="61"/>
  <c r="V15" i="61"/>
  <c r="U15" i="61"/>
  <c r="T15" i="61"/>
  <c r="S15" i="61"/>
  <c r="R15" i="61"/>
  <c r="Q15" i="61"/>
  <c r="O15" i="61"/>
  <c r="N15" i="61"/>
  <c r="M15" i="61"/>
  <c r="K15" i="61"/>
  <c r="J15" i="61"/>
  <c r="I15" i="61"/>
  <c r="H15" i="61"/>
  <c r="G15" i="61"/>
  <c r="E15" i="61"/>
  <c r="D15" i="61"/>
  <c r="C15" i="61"/>
  <c r="W14" i="61"/>
  <c r="V14" i="61"/>
  <c r="U14" i="61"/>
  <c r="T14" i="61"/>
  <c r="S14" i="61"/>
  <c r="R14" i="61"/>
  <c r="Q14" i="61"/>
  <c r="O14" i="61"/>
  <c r="N14" i="61"/>
  <c r="M14" i="61"/>
  <c r="K14" i="61"/>
  <c r="J14" i="61"/>
  <c r="I14" i="61"/>
  <c r="H14" i="61"/>
  <c r="F14" i="61"/>
  <c r="E14" i="61"/>
  <c r="D14" i="61"/>
  <c r="C14" i="61"/>
  <c r="C12" i="61"/>
  <c r="D8" i="61"/>
  <c r="C8" i="61"/>
  <c r="C7" i="61"/>
  <c r="V6" i="61"/>
  <c r="U6" i="61"/>
  <c r="T6" i="61"/>
  <c r="S6" i="61"/>
  <c r="R6" i="61"/>
  <c r="Q6" i="61"/>
  <c r="K6" i="61"/>
  <c r="J6" i="61"/>
  <c r="K5" i="61"/>
  <c r="G5" i="61"/>
  <c r="D5" i="61"/>
  <c r="C5" i="61"/>
  <c r="W4" i="61"/>
  <c r="W31" i="61" s="1"/>
  <c r="Y31" i="61" s="1"/>
  <c r="Y40" i="61" s="1"/>
  <c r="V4" i="61"/>
  <c r="U4" i="61"/>
  <c r="T4" i="61"/>
  <c r="S4" i="61"/>
  <c r="R4" i="61"/>
  <c r="Q4" i="61"/>
  <c r="O4" i="61"/>
  <c r="N4" i="61"/>
  <c r="M4" i="61"/>
  <c r="K4" i="61"/>
  <c r="J4" i="61"/>
  <c r="I4" i="61"/>
  <c r="H4" i="61"/>
  <c r="G4" i="61"/>
  <c r="F4" i="61"/>
  <c r="E4" i="61"/>
  <c r="D4" i="61"/>
  <c r="C4" i="61"/>
  <c r="W23" i="60"/>
  <c r="V23" i="60"/>
  <c r="U23" i="60"/>
  <c r="T23" i="60"/>
  <c r="S23" i="60"/>
  <c r="R23" i="60"/>
  <c r="Q23" i="60"/>
  <c r="N23" i="60"/>
  <c r="M23" i="60"/>
  <c r="H23" i="60"/>
  <c r="F23" i="60"/>
  <c r="E23" i="60"/>
  <c r="D23" i="60"/>
  <c r="C23" i="60"/>
  <c r="W22" i="60"/>
  <c r="V22" i="60"/>
  <c r="U22" i="60"/>
  <c r="T22" i="60"/>
  <c r="S22" i="60"/>
  <c r="R22" i="60"/>
  <c r="Q22" i="60"/>
  <c r="O22" i="60"/>
  <c r="N22" i="60"/>
  <c r="M22" i="60"/>
  <c r="H22" i="60"/>
  <c r="E22" i="60"/>
  <c r="C22" i="60"/>
  <c r="W21" i="60"/>
  <c r="V21" i="60"/>
  <c r="U21" i="60"/>
  <c r="T21" i="60"/>
  <c r="S21" i="60"/>
  <c r="R21" i="60"/>
  <c r="Q21" i="60"/>
  <c r="O21" i="60"/>
  <c r="N21" i="60"/>
  <c r="M21" i="60"/>
  <c r="K21" i="60"/>
  <c r="J21" i="60"/>
  <c r="I21" i="60"/>
  <c r="H21" i="60"/>
  <c r="G21" i="60"/>
  <c r="F21" i="60"/>
  <c r="E21" i="60"/>
  <c r="D21" i="60"/>
  <c r="C21" i="60"/>
  <c r="W20" i="60"/>
  <c r="V20" i="60"/>
  <c r="U20" i="60"/>
  <c r="T20" i="60"/>
  <c r="S20" i="60"/>
  <c r="R20" i="60"/>
  <c r="M20" i="60"/>
  <c r="I20" i="60"/>
  <c r="H20" i="60"/>
  <c r="F20" i="60"/>
  <c r="D20" i="60"/>
  <c r="C20" i="60"/>
  <c r="W19" i="60"/>
  <c r="V19" i="60"/>
  <c r="U19" i="60"/>
  <c r="T19" i="60"/>
  <c r="S19" i="60"/>
  <c r="R19" i="60"/>
  <c r="Q19" i="60"/>
  <c r="O19" i="60"/>
  <c r="N19" i="60"/>
  <c r="M19" i="60"/>
  <c r="K19" i="60"/>
  <c r="J19" i="60"/>
  <c r="I19" i="60"/>
  <c r="H19" i="60"/>
  <c r="G19" i="60"/>
  <c r="F19" i="60"/>
  <c r="E19" i="60"/>
  <c r="D19" i="60"/>
  <c r="C19" i="60"/>
  <c r="W16" i="60"/>
  <c r="V16" i="60"/>
  <c r="U16" i="60"/>
  <c r="T16" i="60"/>
  <c r="S16" i="60"/>
  <c r="R16" i="60"/>
  <c r="Q16" i="60"/>
  <c r="O16" i="60"/>
  <c r="N16" i="60"/>
  <c r="M16" i="60"/>
  <c r="K16" i="60"/>
  <c r="J16" i="60"/>
  <c r="I16" i="60"/>
  <c r="H16" i="60"/>
  <c r="G16" i="60"/>
  <c r="F16" i="60"/>
  <c r="E16" i="60"/>
  <c r="D16" i="60"/>
  <c r="C16" i="60"/>
  <c r="W15" i="60"/>
  <c r="V15" i="60"/>
  <c r="U15" i="60"/>
  <c r="T15" i="60"/>
  <c r="S15" i="60"/>
  <c r="R15" i="60"/>
  <c r="Q15" i="60"/>
  <c r="O15" i="60"/>
  <c r="N15" i="60"/>
  <c r="M15" i="60"/>
  <c r="K15" i="60"/>
  <c r="J15" i="60"/>
  <c r="I15" i="60"/>
  <c r="H15" i="60"/>
  <c r="G15" i="60"/>
  <c r="E15" i="60"/>
  <c r="D15" i="60"/>
  <c r="C15" i="60"/>
  <c r="W14" i="60"/>
  <c r="V14" i="60"/>
  <c r="U14" i="60"/>
  <c r="T14" i="60"/>
  <c r="S14" i="60"/>
  <c r="R14" i="60"/>
  <c r="Q14" i="60"/>
  <c r="O14" i="60"/>
  <c r="N14" i="60"/>
  <c r="M14" i="60"/>
  <c r="K14" i="60"/>
  <c r="J14" i="60"/>
  <c r="I14" i="60"/>
  <c r="H14" i="60"/>
  <c r="F14" i="60"/>
  <c r="E14" i="60"/>
  <c r="D14" i="60"/>
  <c r="C14" i="60"/>
  <c r="C12" i="60"/>
  <c r="C7" i="60"/>
  <c r="V6" i="60"/>
  <c r="U6" i="60"/>
  <c r="T6" i="60"/>
  <c r="S6" i="60"/>
  <c r="R6" i="60"/>
  <c r="Q6" i="60"/>
  <c r="K6" i="60"/>
  <c r="J6" i="60"/>
  <c r="J5" i="60"/>
  <c r="G5" i="60"/>
  <c r="W4" i="60"/>
  <c r="W31" i="60" s="1"/>
  <c r="Y31" i="60" s="1"/>
  <c r="Y40" i="60" s="1"/>
  <c r="V4" i="60"/>
  <c r="U4" i="60"/>
  <c r="T4" i="60"/>
  <c r="S4" i="60"/>
  <c r="R4" i="60"/>
  <c r="Q4" i="60"/>
  <c r="O4" i="60"/>
  <c r="N4" i="60"/>
  <c r="M4" i="60"/>
  <c r="K4" i="60"/>
  <c r="J4" i="60"/>
  <c r="I4" i="60"/>
  <c r="H4" i="60"/>
  <c r="G4" i="60"/>
  <c r="F4" i="60"/>
  <c r="W23" i="59"/>
  <c r="V23" i="59"/>
  <c r="U23" i="59"/>
  <c r="T23" i="59"/>
  <c r="S23" i="59"/>
  <c r="R23" i="59"/>
  <c r="Q23" i="59"/>
  <c r="N23" i="59"/>
  <c r="M23" i="59"/>
  <c r="H23" i="59"/>
  <c r="E23" i="59"/>
  <c r="D23" i="59"/>
  <c r="C23" i="59"/>
  <c r="W22" i="59"/>
  <c r="V22" i="59"/>
  <c r="U22" i="59"/>
  <c r="T22" i="59"/>
  <c r="S22" i="59"/>
  <c r="R22" i="59"/>
  <c r="Q22" i="59"/>
  <c r="O22" i="59"/>
  <c r="N22" i="59"/>
  <c r="M22" i="59"/>
  <c r="J22" i="59"/>
  <c r="H22" i="59"/>
  <c r="C22" i="59"/>
  <c r="W21" i="59"/>
  <c r="V21" i="59"/>
  <c r="U21" i="59"/>
  <c r="T21" i="59"/>
  <c r="S21" i="59"/>
  <c r="R21" i="59"/>
  <c r="Q21" i="59"/>
  <c r="O21" i="59"/>
  <c r="N21" i="59"/>
  <c r="M21" i="59"/>
  <c r="K21" i="59"/>
  <c r="J21" i="59"/>
  <c r="I21" i="59"/>
  <c r="H21" i="59"/>
  <c r="G21" i="59"/>
  <c r="F21" i="59"/>
  <c r="E21" i="59"/>
  <c r="D21" i="59"/>
  <c r="C21" i="59"/>
  <c r="W20" i="59"/>
  <c r="V20" i="59"/>
  <c r="U20" i="59"/>
  <c r="T20" i="59"/>
  <c r="S20" i="59"/>
  <c r="R20" i="59"/>
  <c r="M20" i="59"/>
  <c r="I20" i="59"/>
  <c r="H20" i="59"/>
  <c r="F20" i="59"/>
  <c r="D20" i="59"/>
  <c r="C20" i="59"/>
  <c r="W19" i="59"/>
  <c r="V19" i="59"/>
  <c r="U19" i="59"/>
  <c r="T19" i="59"/>
  <c r="S19" i="59"/>
  <c r="R19" i="59"/>
  <c r="Q19" i="59"/>
  <c r="O19" i="59"/>
  <c r="N19" i="59"/>
  <c r="M19" i="59"/>
  <c r="K19" i="59"/>
  <c r="J19" i="59"/>
  <c r="I19" i="59"/>
  <c r="H19" i="59"/>
  <c r="G19" i="59"/>
  <c r="F19" i="59"/>
  <c r="E19" i="59"/>
  <c r="D19" i="59"/>
  <c r="C19" i="59"/>
  <c r="W16" i="59"/>
  <c r="V16" i="59"/>
  <c r="U16" i="59"/>
  <c r="T16" i="59"/>
  <c r="S16" i="59"/>
  <c r="R16" i="59"/>
  <c r="Q16" i="59"/>
  <c r="O16" i="59"/>
  <c r="N16" i="59"/>
  <c r="M16" i="59"/>
  <c r="K16" i="59"/>
  <c r="J16" i="59"/>
  <c r="I16" i="59"/>
  <c r="H16" i="59"/>
  <c r="G16" i="59"/>
  <c r="F16" i="59"/>
  <c r="E16" i="59"/>
  <c r="D16" i="59"/>
  <c r="C16" i="59"/>
  <c r="W15" i="59"/>
  <c r="V15" i="59"/>
  <c r="U15" i="59"/>
  <c r="T15" i="59"/>
  <c r="S15" i="59"/>
  <c r="R15" i="59"/>
  <c r="Q15" i="59"/>
  <c r="O15" i="59"/>
  <c r="N15" i="59"/>
  <c r="M15" i="59"/>
  <c r="K15" i="59"/>
  <c r="J15" i="59"/>
  <c r="I15" i="59"/>
  <c r="H15" i="59"/>
  <c r="G15" i="59"/>
  <c r="E15" i="59"/>
  <c r="D15" i="59"/>
  <c r="C15" i="59"/>
  <c r="W14" i="59"/>
  <c r="V14" i="59"/>
  <c r="U14" i="59"/>
  <c r="T14" i="59"/>
  <c r="S14" i="59"/>
  <c r="R14" i="59"/>
  <c r="Q14" i="59"/>
  <c r="O14" i="59"/>
  <c r="N14" i="59"/>
  <c r="M14" i="59"/>
  <c r="K14" i="59"/>
  <c r="J14" i="59"/>
  <c r="I14" i="59"/>
  <c r="H14" i="59"/>
  <c r="F14" i="59"/>
  <c r="E14" i="59"/>
  <c r="D14" i="59"/>
  <c r="C14" i="59"/>
  <c r="C12" i="59"/>
  <c r="D8" i="59"/>
  <c r="C7" i="59"/>
  <c r="V6" i="59"/>
  <c r="U6" i="59"/>
  <c r="T6" i="59"/>
  <c r="S6" i="59"/>
  <c r="R6" i="59"/>
  <c r="Q6" i="59"/>
  <c r="K6" i="59"/>
  <c r="J6" i="59"/>
  <c r="J5" i="59"/>
  <c r="G5" i="59"/>
  <c r="W4" i="59"/>
  <c r="W31" i="59" s="1"/>
  <c r="Y31" i="59" s="1"/>
  <c r="Y40" i="59" s="1"/>
  <c r="V4" i="59"/>
  <c r="U4" i="59"/>
  <c r="T4" i="59"/>
  <c r="S4" i="59"/>
  <c r="R4" i="59"/>
  <c r="K4" i="59"/>
  <c r="J4" i="59"/>
  <c r="I4" i="59"/>
  <c r="F4" i="59"/>
  <c r="D4" i="59"/>
  <c r="W23" i="58"/>
  <c r="V23" i="58"/>
  <c r="U23" i="58"/>
  <c r="T23" i="58"/>
  <c r="S23" i="58"/>
  <c r="R23" i="58"/>
  <c r="Q23" i="58"/>
  <c r="N23" i="58"/>
  <c r="M23" i="58"/>
  <c r="K23" i="58"/>
  <c r="J23" i="58"/>
  <c r="H23" i="58"/>
  <c r="F23" i="58"/>
  <c r="E23" i="58"/>
  <c r="D23" i="58"/>
  <c r="C23" i="58"/>
  <c r="W22" i="58"/>
  <c r="V22" i="58"/>
  <c r="U22" i="58"/>
  <c r="T22" i="58"/>
  <c r="S22" i="58"/>
  <c r="R22" i="58"/>
  <c r="Q22" i="58"/>
  <c r="O22" i="58"/>
  <c r="N22" i="58"/>
  <c r="M22" i="58"/>
  <c r="J22" i="58"/>
  <c r="H22" i="58"/>
  <c r="E22" i="58"/>
  <c r="C22" i="58"/>
  <c r="W21" i="58"/>
  <c r="V21" i="58"/>
  <c r="U21" i="58"/>
  <c r="T21" i="58"/>
  <c r="S21" i="58"/>
  <c r="R21" i="58"/>
  <c r="Q21" i="58"/>
  <c r="O21" i="58"/>
  <c r="N21" i="58"/>
  <c r="M21" i="58"/>
  <c r="K21" i="58"/>
  <c r="J21" i="58"/>
  <c r="I21" i="58"/>
  <c r="H21" i="58"/>
  <c r="G21" i="58"/>
  <c r="F21" i="58"/>
  <c r="E21" i="58"/>
  <c r="D21" i="58"/>
  <c r="C21" i="58"/>
  <c r="W20" i="58"/>
  <c r="V20" i="58"/>
  <c r="U20" i="58"/>
  <c r="T20" i="58"/>
  <c r="S20" i="58"/>
  <c r="R20" i="58"/>
  <c r="M20" i="58"/>
  <c r="I20" i="58"/>
  <c r="H20" i="58"/>
  <c r="F20" i="58"/>
  <c r="D20" i="58"/>
  <c r="C20" i="58"/>
  <c r="W19" i="58"/>
  <c r="V19" i="58"/>
  <c r="U19" i="58"/>
  <c r="T19" i="58"/>
  <c r="S19" i="58"/>
  <c r="R19" i="58"/>
  <c r="Q19" i="58"/>
  <c r="O19" i="58"/>
  <c r="N19" i="58"/>
  <c r="M19" i="58"/>
  <c r="K19" i="58"/>
  <c r="J19" i="58"/>
  <c r="I19" i="58"/>
  <c r="H19" i="58"/>
  <c r="G19" i="58"/>
  <c r="F19" i="58"/>
  <c r="E19" i="58"/>
  <c r="D19" i="58"/>
  <c r="C19" i="58"/>
  <c r="V17" i="58"/>
  <c r="U17" i="58"/>
  <c r="T17" i="58"/>
  <c r="Q17" i="58"/>
  <c r="N17" i="58"/>
  <c r="M17" i="58"/>
  <c r="K17" i="58"/>
  <c r="J17" i="58"/>
  <c r="I17" i="58"/>
  <c r="H17" i="58"/>
  <c r="G17" i="58"/>
  <c r="F17" i="58"/>
  <c r="D17" i="58"/>
  <c r="C17" i="58"/>
  <c r="W16" i="58"/>
  <c r="V16" i="58"/>
  <c r="U16" i="58"/>
  <c r="T16" i="58"/>
  <c r="S16" i="58"/>
  <c r="R16" i="58"/>
  <c r="Q16" i="58"/>
  <c r="O16" i="58"/>
  <c r="N16" i="58"/>
  <c r="M16" i="58"/>
  <c r="K16" i="58"/>
  <c r="J16" i="58"/>
  <c r="I16" i="58"/>
  <c r="H16" i="58"/>
  <c r="G16" i="58"/>
  <c r="F16" i="58"/>
  <c r="E16" i="58"/>
  <c r="D16" i="58"/>
  <c r="C16" i="58"/>
  <c r="W15" i="58"/>
  <c r="V15" i="58"/>
  <c r="U15" i="58"/>
  <c r="T15" i="58"/>
  <c r="S15" i="58"/>
  <c r="R15" i="58"/>
  <c r="Q15" i="58"/>
  <c r="O15" i="58"/>
  <c r="N15" i="58"/>
  <c r="M15" i="58"/>
  <c r="K15" i="58"/>
  <c r="J15" i="58"/>
  <c r="I15" i="58"/>
  <c r="H15" i="58"/>
  <c r="G15" i="58"/>
  <c r="E15" i="58"/>
  <c r="D15" i="58"/>
  <c r="C15" i="58"/>
  <c r="W14" i="58"/>
  <c r="V14" i="58"/>
  <c r="U14" i="58"/>
  <c r="T14" i="58"/>
  <c r="S14" i="58"/>
  <c r="R14" i="58"/>
  <c r="Q14" i="58"/>
  <c r="O14" i="58"/>
  <c r="N14" i="58"/>
  <c r="M14" i="58"/>
  <c r="K14" i="58"/>
  <c r="J14" i="58"/>
  <c r="I14" i="58"/>
  <c r="H14" i="58"/>
  <c r="F14" i="58"/>
  <c r="E14" i="58"/>
  <c r="D14" i="58"/>
  <c r="C14" i="58"/>
  <c r="C12" i="58"/>
  <c r="V6" i="58"/>
  <c r="U6" i="58"/>
  <c r="T6" i="58"/>
  <c r="S6" i="58"/>
  <c r="R6" i="58"/>
  <c r="Q6" i="58"/>
  <c r="K6" i="58"/>
  <c r="J6" i="58"/>
  <c r="H5" i="58"/>
  <c r="G5" i="58"/>
  <c r="D5" i="58"/>
  <c r="W4" i="58"/>
  <c r="W31" i="58" s="1"/>
  <c r="Y31" i="58" s="1"/>
  <c r="U4" i="58"/>
  <c r="T4" i="58"/>
  <c r="S4" i="58"/>
  <c r="R4" i="58"/>
  <c r="O4" i="58"/>
  <c r="K4" i="58"/>
  <c r="J4" i="58"/>
  <c r="I4" i="58"/>
  <c r="F4" i="58"/>
  <c r="D4" i="58"/>
  <c r="V6" i="57"/>
  <c r="U6" i="57"/>
  <c r="S6" i="57"/>
  <c r="Q6" i="57"/>
  <c r="M24" i="64" l="1"/>
  <c r="T18" i="58"/>
  <c r="J18" i="63"/>
  <c r="P15" i="61"/>
  <c r="M24" i="61"/>
  <c r="I18" i="58"/>
  <c r="V24" i="62"/>
  <c r="U18" i="63"/>
  <c r="Q24" i="59"/>
  <c r="G18" i="62"/>
  <c r="M24" i="59"/>
  <c r="G24" i="64"/>
  <c r="U18" i="58"/>
  <c r="H24" i="58"/>
  <c r="U24" i="62"/>
  <c r="P21" i="64"/>
  <c r="U18" i="62"/>
  <c r="I18" i="59"/>
  <c r="U18" i="61"/>
  <c r="G18" i="63"/>
  <c r="J18" i="59"/>
  <c r="U18" i="60"/>
  <c r="H18" i="61"/>
  <c r="P16" i="61"/>
  <c r="F18" i="58"/>
  <c r="F24" i="64"/>
  <c r="V18" i="61"/>
  <c r="V18" i="59"/>
  <c r="V18" i="62"/>
  <c r="U18" i="64"/>
  <c r="T24" i="64"/>
  <c r="T18" i="61"/>
  <c r="S24" i="61"/>
  <c r="S24" i="59"/>
  <c r="X19" i="59"/>
  <c r="X16" i="64"/>
  <c r="X16" i="59"/>
  <c r="X15" i="61"/>
  <c r="Q18" i="62"/>
  <c r="P15" i="62"/>
  <c r="O24" i="62"/>
  <c r="P15" i="59"/>
  <c r="P14" i="64"/>
  <c r="N24" i="62"/>
  <c r="P20" i="64"/>
  <c r="M24" i="58"/>
  <c r="M18" i="62"/>
  <c r="P21" i="60"/>
  <c r="H24" i="59"/>
  <c r="H18" i="62"/>
  <c r="H18" i="60"/>
  <c r="J18" i="64"/>
  <c r="K18" i="58"/>
  <c r="K24" i="64"/>
  <c r="K18" i="60"/>
  <c r="K18" i="62"/>
  <c r="J18" i="58"/>
  <c r="J18" i="62"/>
  <c r="G18" i="60"/>
  <c r="G18" i="64"/>
  <c r="F18" i="64"/>
  <c r="D18" i="64"/>
  <c r="G18" i="61"/>
  <c r="K24" i="62"/>
  <c r="Q24" i="58"/>
  <c r="U24" i="58"/>
  <c r="G18" i="59"/>
  <c r="K18" i="59"/>
  <c r="P15" i="60"/>
  <c r="P19" i="60"/>
  <c r="F18" i="62"/>
  <c r="P15" i="63"/>
  <c r="M24" i="63"/>
  <c r="X15" i="64"/>
  <c r="I18" i="64"/>
  <c r="K18" i="61"/>
  <c r="X15" i="58"/>
  <c r="V24" i="58"/>
  <c r="P14" i="62"/>
  <c r="N24" i="59"/>
  <c r="P15" i="58"/>
  <c r="X16" i="58"/>
  <c r="U18" i="59"/>
  <c r="F18" i="60"/>
  <c r="S24" i="60"/>
  <c r="F18" i="61"/>
  <c r="J18" i="61"/>
  <c r="Q24" i="61"/>
  <c r="U24" i="61"/>
  <c r="T18" i="62"/>
  <c r="K18" i="63"/>
  <c r="P23" i="64"/>
  <c r="C24" i="58"/>
  <c r="C18" i="58"/>
  <c r="C25" i="58" s="1"/>
  <c r="L19" i="58"/>
  <c r="C24" i="61"/>
  <c r="L19" i="61"/>
  <c r="C24" i="62"/>
  <c r="P14" i="58"/>
  <c r="H18" i="58"/>
  <c r="V18" i="58"/>
  <c r="P19" i="58"/>
  <c r="P22" i="58"/>
  <c r="X22" i="58"/>
  <c r="S24" i="58"/>
  <c r="C24" i="59"/>
  <c r="M24" i="60"/>
  <c r="L4" i="62"/>
  <c r="P21" i="59"/>
  <c r="I18" i="61"/>
  <c r="N18" i="61"/>
  <c r="P19" i="61"/>
  <c r="X19" i="61"/>
  <c r="H24" i="61"/>
  <c r="P21" i="61"/>
  <c r="X21" i="61"/>
  <c r="V24" i="61"/>
  <c r="P22" i="61"/>
  <c r="X22" i="61"/>
  <c r="W24" i="61"/>
  <c r="X23" i="61"/>
  <c r="X14" i="62"/>
  <c r="X15" i="62"/>
  <c r="P16" i="62"/>
  <c r="P19" i="64"/>
  <c r="H24" i="64"/>
  <c r="R24" i="64"/>
  <c r="V24" i="64"/>
  <c r="P22" i="64"/>
  <c r="X22" i="64"/>
  <c r="D18" i="62"/>
  <c r="P19" i="63"/>
  <c r="H24" i="63"/>
  <c r="V24" i="63"/>
  <c r="S24" i="64"/>
  <c r="H18" i="64"/>
  <c r="P16" i="64"/>
  <c r="V18" i="64"/>
  <c r="T18" i="64"/>
  <c r="X19" i="64"/>
  <c r="E24" i="64"/>
  <c r="W24" i="64"/>
  <c r="J24" i="64"/>
  <c r="J25" i="64" s="1"/>
  <c r="O24" i="64"/>
  <c r="U24" i="64"/>
  <c r="I18" i="62"/>
  <c r="N18" i="62"/>
  <c r="P19" i="62"/>
  <c r="X19" i="62"/>
  <c r="L21" i="62"/>
  <c r="H24" i="62"/>
  <c r="P21" i="62"/>
  <c r="R24" i="62"/>
  <c r="E24" i="62"/>
  <c r="P22" i="62"/>
  <c r="X22" i="62"/>
  <c r="W24" i="62"/>
  <c r="J24" i="62"/>
  <c r="P23" i="62"/>
  <c r="T24" i="62"/>
  <c r="X15" i="63"/>
  <c r="H18" i="63"/>
  <c r="P16" i="63"/>
  <c r="V18" i="63"/>
  <c r="F18" i="63"/>
  <c r="T18" i="63"/>
  <c r="L19" i="63"/>
  <c r="S24" i="63"/>
  <c r="C24" i="63"/>
  <c r="Q24" i="63"/>
  <c r="U24" i="63"/>
  <c r="P15" i="64"/>
  <c r="N18" i="64"/>
  <c r="K18" i="64"/>
  <c r="I18" i="63"/>
  <c r="N18" i="63"/>
  <c r="X19" i="63"/>
  <c r="P21" i="63"/>
  <c r="X21" i="63"/>
  <c r="X22" i="63"/>
  <c r="W24" i="63"/>
  <c r="X23" i="63"/>
  <c r="I18" i="60"/>
  <c r="N18" i="60"/>
  <c r="H24" i="60"/>
  <c r="H25" i="60" s="1"/>
  <c r="R24" i="60"/>
  <c r="V24" i="60"/>
  <c r="X15" i="60"/>
  <c r="L16" i="60"/>
  <c r="P16" i="60"/>
  <c r="X16" i="60"/>
  <c r="J18" i="60"/>
  <c r="T18" i="60"/>
  <c r="C24" i="60"/>
  <c r="Q24" i="60"/>
  <c r="U24" i="60"/>
  <c r="L19" i="60"/>
  <c r="X19" i="60"/>
  <c r="E24" i="60"/>
  <c r="P22" i="60"/>
  <c r="X22" i="60"/>
  <c r="W24" i="60"/>
  <c r="X23" i="60"/>
  <c r="N18" i="59"/>
  <c r="P19" i="59"/>
  <c r="R24" i="59"/>
  <c r="V24" i="59"/>
  <c r="P22" i="59"/>
  <c r="X22" i="59"/>
  <c r="T24" i="59"/>
  <c r="X15" i="59"/>
  <c r="P16" i="59"/>
  <c r="F18" i="59"/>
  <c r="T18" i="59"/>
  <c r="L19" i="59"/>
  <c r="W24" i="59"/>
  <c r="U24" i="59"/>
  <c r="G18" i="58"/>
  <c r="D18" i="58"/>
  <c r="L16" i="58"/>
  <c r="P16" i="58"/>
  <c r="N18" i="58"/>
  <c r="X19" i="58"/>
  <c r="P21" i="58"/>
  <c r="X21" i="58"/>
  <c r="E24" i="58"/>
  <c r="W24" i="58"/>
  <c r="J24" i="58"/>
  <c r="X23" i="58"/>
  <c r="V18" i="60"/>
  <c r="H18" i="59"/>
  <c r="D18" i="60"/>
  <c r="L16" i="59"/>
  <c r="L16" i="64"/>
  <c r="X23" i="64"/>
  <c r="C24" i="64"/>
  <c r="N24" i="64"/>
  <c r="M18" i="64"/>
  <c r="M25" i="64" s="1"/>
  <c r="Q18" i="64"/>
  <c r="L21" i="64"/>
  <c r="X21" i="64"/>
  <c r="P4" i="64"/>
  <c r="X4" i="64"/>
  <c r="X14" i="64"/>
  <c r="L16" i="63"/>
  <c r="T24" i="63"/>
  <c r="X16" i="63"/>
  <c r="L4" i="63"/>
  <c r="P4" i="63"/>
  <c r="X4" i="63"/>
  <c r="P14" i="63"/>
  <c r="X14" i="63"/>
  <c r="R24" i="63"/>
  <c r="M18" i="63"/>
  <c r="Q18" i="63"/>
  <c r="L21" i="63"/>
  <c r="X21" i="62"/>
  <c r="X23" i="62"/>
  <c r="S24" i="62"/>
  <c r="L16" i="62"/>
  <c r="M24" i="62"/>
  <c r="Q24" i="62"/>
  <c r="X16" i="62"/>
  <c r="P4" i="62"/>
  <c r="X4" i="62"/>
  <c r="L16" i="61"/>
  <c r="T24" i="61"/>
  <c r="X16" i="61"/>
  <c r="L4" i="61"/>
  <c r="P4" i="61"/>
  <c r="X4" i="61"/>
  <c r="P14" i="61"/>
  <c r="X14" i="61"/>
  <c r="N24" i="61"/>
  <c r="R24" i="61"/>
  <c r="Q18" i="61"/>
  <c r="L21" i="61"/>
  <c r="T24" i="60"/>
  <c r="X21" i="60"/>
  <c r="L4" i="60"/>
  <c r="P4" i="60"/>
  <c r="X4" i="60"/>
  <c r="P14" i="60"/>
  <c r="X14" i="60"/>
  <c r="N24" i="60"/>
  <c r="M18" i="60"/>
  <c r="Q18" i="60"/>
  <c r="L21" i="60"/>
  <c r="X23" i="59"/>
  <c r="X21" i="59"/>
  <c r="L4" i="59"/>
  <c r="P4" i="59"/>
  <c r="X4" i="59"/>
  <c r="P14" i="59"/>
  <c r="X14" i="59"/>
  <c r="M18" i="59"/>
  <c r="Q18" i="59"/>
  <c r="L21" i="59"/>
  <c r="T24" i="58"/>
  <c r="X14" i="58"/>
  <c r="N24" i="58"/>
  <c r="R24" i="58"/>
  <c r="L4" i="58"/>
  <c r="M18" i="58"/>
  <c r="Q18" i="58"/>
  <c r="L21" i="58"/>
  <c r="P4" i="58"/>
  <c r="X4" i="58"/>
  <c r="L4" i="57"/>
  <c r="X4" i="57"/>
  <c r="P4" i="57"/>
  <c r="V25" i="61" l="1"/>
  <c r="U25" i="61"/>
  <c r="T25" i="61"/>
  <c r="N25" i="61"/>
  <c r="V25" i="60"/>
  <c r="U25" i="60"/>
  <c r="T25" i="60"/>
  <c r="N25" i="60"/>
  <c r="V25" i="59"/>
  <c r="U25" i="59"/>
  <c r="T25" i="59"/>
  <c r="N25" i="59"/>
  <c r="M25" i="59"/>
  <c r="H25" i="64"/>
  <c r="H25" i="61"/>
  <c r="H25" i="62"/>
  <c r="J25" i="62"/>
  <c r="M25" i="58"/>
  <c r="M25" i="61"/>
  <c r="M25" i="62"/>
  <c r="M25" i="60"/>
  <c r="H25" i="58"/>
  <c r="K25" i="64"/>
  <c r="H25" i="63"/>
  <c r="M25" i="63"/>
  <c r="H25" i="59"/>
  <c r="J25" i="58"/>
  <c r="K25" i="62"/>
  <c r="P24" i="62"/>
  <c r="X24" i="64"/>
  <c r="X24" i="62"/>
  <c r="Y19" i="60"/>
  <c r="Y16" i="59"/>
  <c r="Y19" i="61"/>
  <c r="G19" i="35" s="1"/>
  <c r="Y19" i="59"/>
  <c r="Y21" i="58"/>
  <c r="Y16" i="58"/>
  <c r="Y16" i="60"/>
  <c r="Y19" i="58"/>
  <c r="D19" i="35" s="1"/>
  <c r="Y19" i="63"/>
  <c r="I19" i="35" s="1"/>
  <c r="Y16" i="64"/>
  <c r="Y21" i="61"/>
  <c r="Y21" i="62"/>
  <c r="Y21" i="63"/>
  <c r="Y21" i="60"/>
  <c r="X24" i="60"/>
  <c r="X24" i="59"/>
  <c r="Y21" i="59"/>
  <c r="X24" i="58"/>
  <c r="Y4" i="58"/>
  <c r="D4" i="35" s="1"/>
  <c r="E43" i="35" s="1"/>
  <c r="P24" i="64"/>
  <c r="Y21" i="64"/>
  <c r="X24" i="63"/>
  <c r="Y4" i="63"/>
  <c r="Y16" i="63"/>
  <c r="Y4" i="62"/>
  <c r="H4" i="35" s="1"/>
  <c r="I43" i="35" s="1"/>
  <c r="Y16" i="62"/>
  <c r="X24" i="61"/>
  <c r="Y16" i="61"/>
  <c r="Y4" i="61"/>
  <c r="G4" i="35" s="1"/>
  <c r="H43" i="35" s="1"/>
  <c r="Y4" i="60"/>
  <c r="Y4" i="59"/>
  <c r="E4" i="35" s="1"/>
  <c r="F43" i="35" s="1"/>
  <c r="Y4" i="57"/>
  <c r="C4" i="35" s="1"/>
  <c r="F19" i="35" l="1"/>
  <c r="E19" i="35"/>
  <c r="F16" i="35"/>
  <c r="J21" i="35"/>
  <c r="G16" i="35"/>
  <c r="H16" i="35"/>
  <c r="H21" i="35"/>
  <c r="D16" i="35"/>
  <c r="D21" i="35"/>
  <c r="E16" i="35"/>
  <c r="E21" i="35"/>
  <c r="I21" i="35"/>
  <c r="G21" i="35"/>
  <c r="J16" i="35"/>
  <c r="D43" i="35"/>
  <c r="I16" i="35"/>
  <c r="I4" i="35"/>
  <c r="J43" i="35" s="1"/>
  <c r="F21" i="35"/>
  <c r="F4" i="35"/>
  <c r="G43" i="35" s="1"/>
  <c r="W17" i="58" l="1"/>
  <c r="W18" i="58" s="1"/>
  <c r="W18" i="59" l="1"/>
  <c r="W25" i="59" l="1"/>
  <c r="W18" i="60"/>
  <c r="W25" i="60" l="1"/>
  <c r="W18" i="61"/>
  <c r="W25" i="61" l="1"/>
  <c r="W17" i="62"/>
  <c r="W18" i="62" s="1"/>
  <c r="M6" i="62" l="1"/>
  <c r="M6" i="61"/>
  <c r="M6" i="64"/>
  <c r="M6" i="60"/>
  <c r="M6" i="63"/>
  <c r="M6" i="59"/>
  <c r="W17" i="63"/>
  <c r="W18" i="63" s="1"/>
  <c r="W17" i="64" l="1"/>
  <c r="W18" i="64" s="1"/>
  <c r="W18" i="71"/>
  <c r="J19" i="64"/>
  <c r="K24" i="23" l="1"/>
  <c r="L24" i="23"/>
  <c r="W17" i="70"/>
  <c r="W18" i="70" s="1"/>
  <c r="L19" i="64"/>
  <c r="Y19" i="64" s="1"/>
  <c r="J19" i="35" s="1"/>
  <c r="C4" i="64" l="1"/>
  <c r="C8" i="64" l="1"/>
  <c r="C8" i="71"/>
  <c r="C11" i="71" s="1"/>
  <c r="C13" i="71" s="1"/>
  <c r="L4" i="64"/>
  <c r="Y4" i="64" s="1"/>
  <c r="J4" i="35" s="1"/>
  <c r="M4" i="35" s="1"/>
  <c r="C18" i="61"/>
  <c r="C18" i="60"/>
  <c r="Z13" i="52"/>
  <c r="Z18" i="52"/>
  <c r="R13" i="52"/>
  <c r="R18" i="52"/>
  <c r="C25" i="61" l="1"/>
  <c r="C25" i="60"/>
  <c r="C8" i="70"/>
  <c r="K43" i="35"/>
  <c r="N43" i="35" l="1"/>
  <c r="E17" i="58"/>
  <c r="E18" i="59"/>
  <c r="E18" i="61"/>
  <c r="E17" i="64"/>
  <c r="E17" i="62"/>
  <c r="E17" i="63"/>
  <c r="E18" i="63" s="1"/>
  <c r="R17" i="58"/>
  <c r="R17" i="62"/>
  <c r="R17" i="64"/>
  <c r="R18" i="64" s="1"/>
  <c r="R17" i="63"/>
  <c r="R18" i="60" l="1"/>
  <c r="R18" i="59"/>
  <c r="R18" i="58"/>
  <c r="E18" i="60"/>
  <c r="L17" i="60"/>
  <c r="R18" i="63"/>
  <c r="R18" i="62"/>
  <c r="E18" i="62"/>
  <c r="R18" i="61"/>
  <c r="E18" i="64"/>
  <c r="E18" i="58"/>
  <c r="L17" i="58"/>
  <c r="R28" i="52"/>
  <c r="R25" i="61" l="1"/>
  <c r="R25" i="60"/>
  <c r="R25" i="59"/>
  <c r="L18" i="58"/>
  <c r="L18" i="60"/>
  <c r="Z7" i="52" l="1"/>
  <c r="Z8" i="52"/>
  <c r="Z9" i="52"/>
  <c r="Z6" i="52"/>
  <c r="R7" i="52"/>
  <c r="R8" i="52"/>
  <c r="R9" i="52"/>
  <c r="R6" i="52"/>
  <c r="N7" i="52"/>
  <c r="N8" i="52"/>
  <c r="N9" i="52"/>
  <c r="N10" i="52"/>
  <c r="N11" i="52"/>
  <c r="N6" i="52"/>
  <c r="N12" i="52" l="1"/>
  <c r="R12" i="52"/>
  <c r="Z12" i="52"/>
  <c r="O6" i="59"/>
  <c r="I6" i="64"/>
  <c r="H6" i="62"/>
  <c r="F6" i="59"/>
  <c r="N6" i="63"/>
  <c r="N6" i="58"/>
  <c r="N6" i="64"/>
  <c r="O6" i="63"/>
  <c r="O6" i="64"/>
  <c r="G6" i="62"/>
  <c r="G6" i="58"/>
  <c r="G6" i="61"/>
  <c r="G6" i="57"/>
  <c r="G6" i="63"/>
  <c r="G6" i="64"/>
  <c r="G6" i="60"/>
  <c r="G6" i="59"/>
  <c r="I6" i="61"/>
  <c r="I6" i="60"/>
  <c r="I6" i="62"/>
  <c r="I6" i="59"/>
  <c r="R50" i="52"/>
  <c r="AA6" i="52"/>
  <c r="AA8" i="52"/>
  <c r="AB8" i="52" s="1"/>
  <c r="AA9" i="52"/>
  <c r="AB9" i="52" s="1"/>
  <c r="AA7" i="52"/>
  <c r="AB7" i="52" s="1"/>
  <c r="AA11" i="52"/>
  <c r="AB11" i="52" s="1"/>
  <c r="AA10" i="52"/>
  <c r="AB10" i="52" s="1"/>
  <c r="J24" i="23"/>
  <c r="J24" i="24"/>
  <c r="J24" i="21"/>
  <c r="J24" i="20"/>
  <c r="J24" i="18"/>
  <c r="J24" i="13"/>
  <c r="J24" i="12"/>
  <c r="J24" i="11"/>
  <c r="O6" i="60" l="1"/>
  <c r="O6" i="57"/>
  <c r="O6" i="62"/>
  <c r="AB6" i="52"/>
  <c r="AA12" i="52"/>
  <c r="N6" i="61"/>
  <c r="O6" i="58"/>
  <c r="N6" i="60"/>
  <c r="N6" i="59"/>
  <c r="P6" i="59" s="1"/>
  <c r="N6" i="57"/>
  <c r="N6" i="62"/>
  <c r="O6" i="61"/>
  <c r="H6" i="57"/>
  <c r="Z50" i="52"/>
  <c r="F6" i="58"/>
  <c r="F6" i="64"/>
  <c r="I6" i="63"/>
  <c r="F6" i="60"/>
  <c r="F6" i="63"/>
  <c r="F6" i="61"/>
  <c r="H6" i="60"/>
  <c r="H6" i="61"/>
  <c r="F6" i="57"/>
  <c r="F6" i="62"/>
  <c r="H6" i="64"/>
  <c r="H6" i="58"/>
  <c r="H6" i="63"/>
  <c r="H6" i="59"/>
  <c r="M6" i="58"/>
  <c r="M6" i="57"/>
  <c r="D6" i="62"/>
  <c r="D6" i="63"/>
  <c r="D6" i="61"/>
  <c r="D6" i="59"/>
  <c r="D6" i="60"/>
  <c r="N50" i="52"/>
  <c r="P6" i="64"/>
  <c r="P6" i="63"/>
  <c r="I6" i="58"/>
  <c r="E6" i="64"/>
  <c r="E6" i="60"/>
  <c r="E6" i="63"/>
  <c r="E6" i="59"/>
  <c r="E6" i="62"/>
  <c r="E6" i="58"/>
  <c r="E6" i="61"/>
  <c r="N18" i="52"/>
  <c r="AA18" i="52" s="1"/>
  <c r="AB18" i="52" s="1"/>
  <c r="N13" i="52"/>
  <c r="AA13" i="52" s="1"/>
  <c r="AB13" i="52" s="1"/>
  <c r="J24" i="15"/>
  <c r="AB12" i="52" l="1"/>
  <c r="T24" i="52"/>
  <c r="T54" i="52" s="1"/>
  <c r="T10" i="69" s="1"/>
  <c r="T54" i="69" s="1"/>
  <c r="C12" i="18" s="1"/>
  <c r="R10" i="57" s="1"/>
  <c r="L24" i="52"/>
  <c r="L54" i="52" s="1"/>
  <c r="L10" i="69" s="1"/>
  <c r="L54" i="69" s="1"/>
  <c r="C12" i="12" s="1"/>
  <c r="J10" i="57" s="1"/>
  <c r="F24" i="52"/>
  <c r="F54" i="52" s="1"/>
  <c r="F10" i="69" s="1"/>
  <c r="F54" i="69" s="1"/>
  <c r="C12" i="4" s="1"/>
  <c r="D10" i="57" s="1"/>
  <c r="U23" i="52"/>
  <c r="U53" i="52" s="1"/>
  <c r="U9" i="69" s="1"/>
  <c r="U53" i="69" s="1"/>
  <c r="C11" i="19" s="1"/>
  <c r="S9" i="57" s="1"/>
  <c r="M23" i="52"/>
  <c r="M53" i="52" s="1"/>
  <c r="M9" i="69" s="1"/>
  <c r="M53" i="69" s="1"/>
  <c r="C11" i="13" s="1"/>
  <c r="K9" i="57" s="1"/>
  <c r="G23" i="52"/>
  <c r="G53" i="52" s="1"/>
  <c r="G9" i="69" s="1"/>
  <c r="G53" i="69" s="1"/>
  <c r="C11" i="6" s="1"/>
  <c r="E9" i="57" s="1"/>
  <c r="J24" i="52"/>
  <c r="J54" i="52" s="1"/>
  <c r="J10" i="69" s="1"/>
  <c r="J54" i="69" s="1"/>
  <c r="C12" i="11" s="1"/>
  <c r="H10" i="57" s="1"/>
  <c r="Y23" i="52"/>
  <c r="Y53" i="52" s="1"/>
  <c r="Y9" i="69" s="1"/>
  <c r="Y53" i="69" s="1"/>
  <c r="C11" i="23" s="1"/>
  <c r="W9" i="57" s="1"/>
  <c r="S23" i="52"/>
  <c r="S53" i="52" s="1"/>
  <c r="S9" i="69" s="1"/>
  <c r="X23" i="52"/>
  <c r="X53" i="52" s="1"/>
  <c r="X9" i="69" s="1"/>
  <c r="X53" i="69" s="1"/>
  <c r="C11" i="24" s="1"/>
  <c r="V9" i="57" s="1"/>
  <c r="I23" i="52"/>
  <c r="I53" i="52" s="1"/>
  <c r="I9" i="69" s="1"/>
  <c r="I53" i="69" s="1"/>
  <c r="C11" i="7" s="1"/>
  <c r="G9" i="57" s="1"/>
  <c r="Y24" i="52"/>
  <c r="Y54" i="52" s="1"/>
  <c r="Y10" i="69" s="1"/>
  <c r="Y54" i="69" s="1"/>
  <c r="C12" i="23" s="1"/>
  <c r="W10" i="57" s="1"/>
  <c r="S24" i="52"/>
  <c r="S54" i="52" s="1"/>
  <c r="S10" i="69" s="1"/>
  <c r="E24" i="52"/>
  <c r="E54" i="52" s="1"/>
  <c r="E10" i="69" s="1"/>
  <c r="T23" i="52"/>
  <c r="T53" i="52" s="1"/>
  <c r="T9" i="69" s="1"/>
  <c r="T53" i="69" s="1"/>
  <c r="C11" i="18" s="1"/>
  <c r="R9" i="57" s="1"/>
  <c r="L23" i="52"/>
  <c r="L53" i="52" s="1"/>
  <c r="L9" i="69" s="1"/>
  <c r="L53" i="69" s="1"/>
  <c r="C11" i="12" s="1"/>
  <c r="J9" i="57" s="1"/>
  <c r="F23" i="52"/>
  <c r="Q24" i="52"/>
  <c r="Q54" i="52" s="1"/>
  <c r="Q10" i="69" s="1"/>
  <c r="Q54" i="69" s="1"/>
  <c r="C12" i="14" s="1"/>
  <c r="O10" i="57" s="1"/>
  <c r="E23" i="52"/>
  <c r="E53" i="52" s="1"/>
  <c r="E9" i="69" s="1"/>
  <c r="I24" i="52"/>
  <c r="I54" i="52" s="1"/>
  <c r="I10" i="69" s="1"/>
  <c r="I54" i="69" s="1"/>
  <c r="C12" i="7" s="1"/>
  <c r="G10" i="57" s="1"/>
  <c r="J23" i="52"/>
  <c r="J53" i="52" s="1"/>
  <c r="J9" i="69" s="1"/>
  <c r="J53" i="69" s="1"/>
  <c r="C11" i="11" s="1"/>
  <c r="H9" i="57" s="1"/>
  <c r="O24" i="52"/>
  <c r="O54" i="52" s="1"/>
  <c r="O10" i="69" s="1"/>
  <c r="X24" i="52"/>
  <c r="X54" i="52" s="1"/>
  <c r="X10" i="69" s="1"/>
  <c r="X54" i="69" s="1"/>
  <c r="C12" i="24" s="1"/>
  <c r="V10" i="57" s="1"/>
  <c r="W23" i="52"/>
  <c r="W53" i="52" s="1"/>
  <c r="W9" i="69" s="1"/>
  <c r="W53" i="69" s="1"/>
  <c r="C11" i="21" s="1"/>
  <c r="U9" i="57" s="1"/>
  <c r="W24" i="52"/>
  <c r="W54" i="52" s="1"/>
  <c r="W10" i="69" s="1"/>
  <c r="W54" i="69" s="1"/>
  <c r="C12" i="21" s="1"/>
  <c r="U10" i="57" s="1"/>
  <c r="P24" i="52"/>
  <c r="P54" i="52" s="1"/>
  <c r="P10" i="69" s="1"/>
  <c r="P54" i="69" s="1"/>
  <c r="C12" i="15" s="1"/>
  <c r="N10" i="57" s="1"/>
  <c r="Q23" i="52"/>
  <c r="Q53" i="52" s="1"/>
  <c r="Q9" i="69" s="1"/>
  <c r="Q53" i="69" s="1"/>
  <c r="C11" i="14" s="1"/>
  <c r="O9" i="57" s="1"/>
  <c r="H24" i="52"/>
  <c r="H54" i="52" s="1"/>
  <c r="H10" i="69" s="1"/>
  <c r="H54" i="69" s="1"/>
  <c r="C12" i="8" s="1"/>
  <c r="F10" i="57" s="1"/>
  <c r="U24" i="52"/>
  <c r="U54" i="52" s="1"/>
  <c r="U10" i="69" s="1"/>
  <c r="U54" i="69" s="1"/>
  <c r="C12" i="19" s="1"/>
  <c r="S10" i="57" s="1"/>
  <c r="M24" i="52"/>
  <c r="M54" i="52" s="1"/>
  <c r="M10" i="69" s="1"/>
  <c r="M54" i="69" s="1"/>
  <c r="C12" i="13" s="1"/>
  <c r="K10" i="57" s="1"/>
  <c r="G24" i="52"/>
  <c r="G54" i="52" s="1"/>
  <c r="G10" i="69" s="1"/>
  <c r="G54" i="69" s="1"/>
  <c r="C12" i="6" s="1"/>
  <c r="E10" i="57" s="1"/>
  <c r="V23" i="52"/>
  <c r="V53" i="52" s="1"/>
  <c r="V9" i="69" s="1"/>
  <c r="V53" i="69" s="1"/>
  <c r="C11" i="20" s="1"/>
  <c r="T9" i="57" s="1"/>
  <c r="O23" i="52"/>
  <c r="H23" i="52"/>
  <c r="H53" i="52" s="1"/>
  <c r="H9" i="69" s="1"/>
  <c r="H53" i="69" s="1"/>
  <c r="C11" i="8" s="1"/>
  <c r="F9" i="57" s="1"/>
  <c r="V24" i="52"/>
  <c r="V54" i="52" s="1"/>
  <c r="V10" i="69" s="1"/>
  <c r="V54" i="69" s="1"/>
  <c r="C12" i="20" s="1"/>
  <c r="T10" i="57" s="1"/>
  <c r="P23" i="52"/>
  <c r="P53" i="52" s="1"/>
  <c r="P9" i="69" s="1"/>
  <c r="P53" i="69" s="1"/>
  <c r="C11" i="15" s="1"/>
  <c r="N9" i="57" s="1"/>
  <c r="K23" i="52"/>
  <c r="K53" i="52" s="1"/>
  <c r="K9" i="69" s="1"/>
  <c r="K53" i="69" s="1"/>
  <c r="C11" i="22" s="1"/>
  <c r="I9" i="57" s="1"/>
  <c r="K24" i="52"/>
  <c r="K54" i="52" s="1"/>
  <c r="K10" i="69" s="1"/>
  <c r="K54" i="69" s="1"/>
  <c r="C12" i="22" s="1"/>
  <c r="I10" i="57" s="1"/>
  <c r="P6" i="61"/>
  <c r="P6" i="62"/>
  <c r="W6" i="57"/>
  <c r="X6" i="57" s="1"/>
  <c r="P6" i="60"/>
  <c r="AA50" i="52"/>
  <c r="P16" i="52"/>
  <c r="P49" i="52" s="1"/>
  <c r="P5" i="69" s="1"/>
  <c r="P49" i="69" s="1"/>
  <c r="C7" i="15" s="1"/>
  <c r="U16" i="52"/>
  <c r="U49" i="52" s="1"/>
  <c r="U5" i="69" s="1"/>
  <c r="U49" i="69" s="1"/>
  <c r="C7" i="19" s="1"/>
  <c r="F16" i="52"/>
  <c r="Q16" i="52"/>
  <c r="Q49" i="52" s="1"/>
  <c r="Q5" i="69" s="1"/>
  <c r="Q49" i="69" s="1"/>
  <c r="C7" i="14" s="1"/>
  <c r="G16" i="52"/>
  <c r="K17" i="52"/>
  <c r="O17" i="52"/>
  <c r="V16" i="52"/>
  <c r="V49" i="52" s="1"/>
  <c r="V5" i="69" s="1"/>
  <c r="V49" i="69" s="1"/>
  <c r="C7" i="20" s="1"/>
  <c r="T17" i="52"/>
  <c r="X16" i="52"/>
  <c r="X49" i="52" s="1"/>
  <c r="X5" i="69" s="1"/>
  <c r="X49" i="69" s="1"/>
  <c r="C7" i="24" s="1"/>
  <c r="I17" i="52"/>
  <c r="P17" i="52"/>
  <c r="F17" i="52"/>
  <c r="G17" i="52"/>
  <c r="W16" i="52"/>
  <c r="W49" i="52" s="1"/>
  <c r="W5" i="69" s="1"/>
  <c r="W49" i="69" s="1"/>
  <c r="C7" i="21" s="1"/>
  <c r="O16" i="52"/>
  <c r="O49" i="52" s="1"/>
  <c r="O5" i="69" s="1"/>
  <c r="J16" i="52"/>
  <c r="V17" i="52"/>
  <c r="L17" i="52"/>
  <c r="T16" i="52"/>
  <c r="T49" i="52" s="1"/>
  <c r="T5" i="69" s="1"/>
  <c r="T49" i="69" s="1"/>
  <c r="C7" i="18" s="1"/>
  <c r="I16" i="52"/>
  <c r="Y17" i="52"/>
  <c r="M17" i="52"/>
  <c r="S16" i="52"/>
  <c r="S49" i="52" s="1"/>
  <c r="S5" i="69" s="1"/>
  <c r="W17" i="52"/>
  <c r="E16" i="52"/>
  <c r="J17" i="52"/>
  <c r="H17" i="52"/>
  <c r="L16" i="52"/>
  <c r="U17" i="52"/>
  <c r="Y16" i="52"/>
  <c r="Y49" i="52" s="1"/>
  <c r="Y5" i="69" s="1"/>
  <c r="Y49" i="69" s="1"/>
  <c r="C7" i="23" s="1"/>
  <c r="Q17" i="52"/>
  <c r="M16" i="52"/>
  <c r="K16" i="52"/>
  <c r="S17" i="52"/>
  <c r="E17" i="52"/>
  <c r="H16" i="52"/>
  <c r="X17" i="52"/>
  <c r="T30" i="52"/>
  <c r="T52" i="52" s="1"/>
  <c r="E29" i="52"/>
  <c r="H29" i="52"/>
  <c r="F29" i="52"/>
  <c r="G30" i="52"/>
  <c r="G52" i="52" s="1"/>
  <c r="L31" i="52"/>
  <c r="G29" i="52"/>
  <c r="G51" i="52" s="1"/>
  <c r="U29" i="52"/>
  <c r="U51" i="52" s="1"/>
  <c r="Q29" i="52"/>
  <c r="Q51" i="52" s="1"/>
  <c r="P30" i="52"/>
  <c r="P52" i="52" s="1"/>
  <c r="Y30" i="52"/>
  <c r="Y52" i="52" s="1"/>
  <c r="X31" i="52"/>
  <c r="P29" i="52"/>
  <c r="P51" i="52" s="1"/>
  <c r="W31" i="52"/>
  <c r="W55" i="52" s="1"/>
  <c r="X29" i="52"/>
  <c r="X51" i="52" s="1"/>
  <c r="H31" i="52"/>
  <c r="U30" i="52"/>
  <c r="U52" i="52" s="1"/>
  <c r="H30" i="52"/>
  <c r="H52" i="52" s="1"/>
  <c r="J29" i="52"/>
  <c r="J51" i="52" s="1"/>
  <c r="X30" i="52"/>
  <c r="X52" i="52" s="1"/>
  <c r="I31" i="52"/>
  <c r="I55" i="52" s="1"/>
  <c r="T31" i="52"/>
  <c r="E30" i="52"/>
  <c r="E52" i="52" s="1"/>
  <c r="T29" i="52"/>
  <c r="T51" i="52" s="1"/>
  <c r="E31" i="52"/>
  <c r="W30" i="52"/>
  <c r="W52" i="52" s="1"/>
  <c r="Q31" i="52"/>
  <c r="M29" i="52"/>
  <c r="M51" i="52" s="1"/>
  <c r="D6" i="64"/>
  <c r="J31" i="52"/>
  <c r="S30" i="52"/>
  <c r="S52" i="52" s="1"/>
  <c r="W29" i="52"/>
  <c r="W51" i="52" s="1"/>
  <c r="J30" i="52"/>
  <c r="J52" i="52" s="1"/>
  <c r="S31" i="52"/>
  <c r="S55" i="52" s="1"/>
  <c r="S29" i="52"/>
  <c r="S51" i="52" s="1"/>
  <c r="M30" i="52"/>
  <c r="M52" i="52" s="1"/>
  <c r="O30" i="52"/>
  <c r="O52" i="52" s="1"/>
  <c r="I29" i="52"/>
  <c r="I51" i="52" s="1"/>
  <c r="K31" i="52"/>
  <c r="K55" i="52" s="1"/>
  <c r="P31" i="52"/>
  <c r="P55" i="52" s="1"/>
  <c r="P6" i="57"/>
  <c r="F31" i="52"/>
  <c r="G31" i="52"/>
  <c r="K30" i="52"/>
  <c r="K52" i="52" s="1"/>
  <c r="K29" i="52"/>
  <c r="K51" i="52" s="1"/>
  <c r="M31" i="52"/>
  <c r="M55" i="52" s="1"/>
  <c r="F30" i="52"/>
  <c r="F52" i="52" s="1"/>
  <c r="V30" i="52"/>
  <c r="V52" i="52" s="1"/>
  <c r="L29" i="52"/>
  <c r="L51" i="52" s="1"/>
  <c r="Q30" i="52"/>
  <c r="Q52" i="52" s="1"/>
  <c r="V29" i="52"/>
  <c r="V51" i="52" s="1"/>
  <c r="I30" i="52"/>
  <c r="I52" i="52" s="1"/>
  <c r="V31" i="52"/>
  <c r="V55" i="52" s="1"/>
  <c r="O29" i="52"/>
  <c r="O51" i="52" s="1"/>
  <c r="Y31" i="52"/>
  <c r="O31" i="52"/>
  <c r="O55" i="52" s="1"/>
  <c r="W6" i="58"/>
  <c r="P6" i="58"/>
  <c r="Y29" i="52"/>
  <c r="Y51" i="52" s="1"/>
  <c r="L30" i="52"/>
  <c r="L52" i="52" s="1"/>
  <c r="U31" i="52"/>
  <c r="U55" i="52" s="1"/>
  <c r="L55" i="52" l="1"/>
  <c r="X55" i="52"/>
  <c r="G7" i="24"/>
  <c r="D7" i="24"/>
  <c r="K7" i="24"/>
  <c r="L7" i="24"/>
  <c r="V5" i="71" s="1"/>
  <c r="E7" i="24"/>
  <c r="I7" i="24"/>
  <c r="J7" i="24"/>
  <c r="H7" i="24"/>
  <c r="F7" i="24"/>
  <c r="J7" i="14"/>
  <c r="D7" i="14"/>
  <c r="H7" i="14"/>
  <c r="G7" i="14"/>
  <c r="F7" i="14"/>
  <c r="L7" i="14"/>
  <c r="O5" i="71" s="1"/>
  <c r="E7" i="14"/>
  <c r="I7" i="14"/>
  <c r="O54" i="69"/>
  <c r="R10" i="69"/>
  <c r="J55" i="52"/>
  <c r="K7" i="18"/>
  <c r="L7" i="18"/>
  <c r="R5" i="71" s="1"/>
  <c r="E7" i="18"/>
  <c r="F7" i="18"/>
  <c r="J7" i="18"/>
  <c r="I7" i="18"/>
  <c r="D7" i="18"/>
  <c r="H7" i="18"/>
  <c r="G7" i="18"/>
  <c r="K7" i="20"/>
  <c r="L7" i="20"/>
  <c r="T5" i="71" s="1"/>
  <c r="E7" i="20"/>
  <c r="I7" i="20"/>
  <c r="J7" i="20"/>
  <c r="H7" i="20"/>
  <c r="F7" i="20"/>
  <c r="G7" i="20"/>
  <c r="D7" i="20"/>
  <c r="G7" i="19"/>
  <c r="H7" i="19"/>
  <c r="L7" i="19"/>
  <c r="S5" i="71" s="1"/>
  <c r="F7" i="19"/>
  <c r="K7" i="19"/>
  <c r="J7" i="19"/>
  <c r="E7" i="19"/>
  <c r="D7" i="19"/>
  <c r="I7" i="19"/>
  <c r="S53" i="69"/>
  <c r="C11" i="17" s="1"/>
  <c r="Q9" i="57" s="1"/>
  <c r="X9" i="57" s="1"/>
  <c r="Z9" i="69"/>
  <c r="H7" i="21"/>
  <c r="I7" i="21"/>
  <c r="K7" i="21"/>
  <c r="G7" i="21"/>
  <c r="J7" i="21"/>
  <c r="D7" i="21"/>
  <c r="L7" i="21"/>
  <c r="U5" i="71" s="1"/>
  <c r="F7" i="21"/>
  <c r="E7" i="21"/>
  <c r="K7" i="23"/>
  <c r="I7" i="23"/>
  <c r="G7" i="23"/>
  <c r="J7" i="23"/>
  <c r="F7" i="23"/>
  <c r="D7" i="23"/>
  <c r="E7" i="23"/>
  <c r="H7" i="23"/>
  <c r="L7" i="23"/>
  <c r="D7" i="15"/>
  <c r="F7" i="15"/>
  <c r="I7" i="15"/>
  <c r="N5" i="63" s="1"/>
  <c r="E7" i="15"/>
  <c r="H7" i="15"/>
  <c r="G7" i="15"/>
  <c r="L7" i="15"/>
  <c r="N5" i="71" s="1"/>
  <c r="J7" i="15"/>
  <c r="K7" i="15"/>
  <c r="N5" i="57"/>
  <c r="E54" i="69"/>
  <c r="N10" i="69"/>
  <c r="E53" i="69"/>
  <c r="C11" i="9" s="1"/>
  <c r="C9" i="57" s="1"/>
  <c r="S54" i="69"/>
  <c r="Z10" i="69"/>
  <c r="T55" i="52"/>
  <c r="Y55" i="52"/>
  <c r="F53" i="52"/>
  <c r="F9" i="69" s="1"/>
  <c r="F53" i="69" s="1"/>
  <c r="C11" i="4" s="1"/>
  <c r="D9" i="57" s="1"/>
  <c r="R24" i="52"/>
  <c r="R23" i="52"/>
  <c r="O53" i="52"/>
  <c r="O9" i="69" s="1"/>
  <c r="H55" i="52"/>
  <c r="Q55" i="52"/>
  <c r="Q11" i="69" s="1"/>
  <c r="Q55" i="69" s="1"/>
  <c r="C13" i="14" s="1"/>
  <c r="E51" i="52"/>
  <c r="E7" i="69" s="1"/>
  <c r="E51" i="69" s="1"/>
  <c r="C9" i="9" s="1"/>
  <c r="Z53" i="52"/>
  <c r="F51" i="52"/>
  <c r="F7" i="69" s="1"/>
  <c r="F51" i="69" s="1"/>
  <c r="C9" i="4" s="1"/>
  <c r="H51" i="52"/>
  <c r="H7" i="69" s="1"/>
  <c r="H51" i="69" s="1"/>
  <c r="C9" i="8" s="1"/>
  <c r="U8" i="69"/>
  <c r="K8" i="69"/>
  <c r="P8" i="69"/>
  <c r="J11" i="69"/>
  <c r="J55" i="69" s="1"/>
  <c r="C13" i="11" s="1"/>
  <c r="Z23" i="52"/>
  <c r="N24" i="52"/>
  <c r="N23" i="52"/>
  <c r="Z24" i="52"/>
  <c r="E55" i="52"/>
  <c r="E11" i="69" s="1"/>
  <c r="E55" i="69" s="1"/>
  <c r="C13" i="9" s="1"/>
  <c r="S8" i="69"/>
  <c r="Z5" i="69"/>
  <c r="S49" i="69"/>
  <c r="C7" i="17" s="1"/>
  <c r="W8" i="69"/>
  <c r="X8" i="69"/>
  <c r="R5" i="69"/>
  <c r="O49" i="69"/>
  <c r="C7" i="16" s="1"/>
  <c r="V8" i="69"/>
  <c r="S11" i="69"/>
  <c r="T8" i="69"/>
  <c r="Q8" i="69"/>
  <c r="F8" i="69"/>
  <c r="J8" i="69"/>
  <c r="H8" i="69"/>
  <c r="L8" i="69"/>
  <c r="M8" i="69"/>
  <c r="I8" i="69"/>
  <c r="E8" i="69"/>
  <c r="Y8" i="69"/>
  <c r="G8" i="69"/>
  <c r="F55" i="52"/>
  <c r="F11" i="69" s="1"/>
  <c r="F55" i="69" s="1"/>
  <c r="C13" i="4" s="1"/>
  <c r="S7" i="69"/>
  <c r="U11" i="69"/>
  <c r="U55" i="69" s="1"/>
  <c r="C13" i="19" s="1"/>
  <c r="O11" i="69"/>
  <c r="V11" i="69"/>
  <c r="V55" i="69" s="1"/>
  <c r="C13" i="20" s="1"/>
  <c r="M11" i="69"/>
  <c r="M55" i="69" s="1"/>
  <c r="C13" i="13" s="1"/>
  <c r="W7" i="69"/>
  <c r="W51" i="69" s="1"/>
  <c r="C9" i="21" s="1"/>
  <c r="L11" i="69"/>
  <c r="L55" i="69" s="1"/>
  <c r="C13" i="12" s="1"/>
  <c r="W11" i="69"/>
  <c r="W55" i="69" s="1"/>
  <c r="C13" i="21" s="1"/>
  <c r="G7" i="69"/>
  <c r="G51" i="69" s="1"/>
  <c r="C9" i="6" s="1"/>
  <c r="Y11" i="69"/>
  <c r="Y55" i="69" s="1"/>
  <c r="C13" i="23" s="1"/>
  <c r="L7" i="69"/>
  <c r="L51" i="69" s="1"/>
  <c r="C9" i="12" s="1"/>
  <c r="K7" i="69"/>
  <c r="K51" i="69" s="1"/>
  <c r="C9" i="22" s="1"/>
  <c r="P11" i="69"/>
  <c r="P55" i="69" s="1"/>
  <c r="C13" i="15" s="1"/>
  <c r="T7" i="69"/>
  <c r="T51" i="69" s="1"/>
  <c r="C9" i="18" s="1"/>
  <c r="I11" i="69"/>
  <c r="I55" i="69" s="1"/>
  <c r="C13" i="7" s="1"/>
  <c r="H11" i="69"/>
  <c r="H55" i="69" s="1"/>
  <c r="C13" i="8" s="1"/>
  <c r="X11" i="69"/>
  <c r="X55" i="69" s="1"/>
  <c r="C13" i="24" s="1"/>
  <c r="Q7" i="69"/>
  <c r="Q51" i="69" s="1"/>
  <c r="C9" i="14" s="1"/>
  <c r="I7" i="69"/>
  <c r="I51" i="69" s="1"/>
  <c r="C9" i="7" s="1"/>
  <c r="T11" i="69"/>
  <c r="T55" i="69" s="1"/>
  <c r="C13" i="18" s="1"/>
  <c r="Y7" i="69"/>
  <c r="Y51" i="69" s="1"/>
  <c r="C9" i="23" s="1"/>
  <c r="O7" i="69"/>
  <c r="V7" i="69"/>
  <c r="V51" i="69" s="1"/>
  <c r="C9" i="20" s="1"/>
  <c r="G55" i="52"/>
  <c r="G11" i="69" s="1"/>
  <c r="G55" i="69" s="1"/>
  <c r="C13" i="6" s="1"/>
  <c r="K11" i="69"/>
  <c r="K55" i="69" s="1"/>
  <c r="C13" i="22" s="1"/>
  <c r="M7" i="69"/>
  <c r="M51" i="69" s="1"/>
  <c r="C9" i="13" s="1"/>
  <c r="J7" i="69"/>
  <c r="J51" i="69" s="1"/>
  <c r="C9" i="11" s="1"/>
  <c r="X7" i="69"/>
  <c r="X51" i="69" s="1"/>
  <c r="C9" i="24" s="1"/>
  <c r="U7" i="69"/>
  <c r="U51" i="69" s="1"/>
  <c r="C9" i="19" s="1"/>
  <c r="N17" i="52"/>
  <c r="N31" i="52"/>
  <c r="V38" i="52"/>
  <c r="Y38" i="52"/>
  <c r="W38" i="52"/>
  <c r="U38" i="52"/>
  <c r="F5" i="63"/>
  <c r="Q38" i="52"/>
  <c r="O38" i="52"/>
  <c r="P38" i="52"/>
  <c r="T38" i="52"/>
  <c r="S38" i="52"/>
  <c r="X38" i="52"/>
  <c r="Z16" i="52"/>
  <c r="R16" i="52"/>
  <c r="R17" i="52"/>
  <c r="Z17" i="52"/>
  <c r="N16" i="52"/>
  <c r="R31" i="52"/>
  <c r="N27" i="52"/>
  <c r="Z27" i="52"/>
  <c r="R29" i="52"/>
  <c r="Z31" i="52"/>
  <c r="N48" i="52"/>
  <c r="N29" i="52"/>
  <c r="N30" i="52"/>
  <c r="R27" i="52"/>
  <c r="R48" i="52"/>
  <c r="X6" i="58"/>
  <c r="R30" i="52"/>
  <c r="Z30" i="52"/>
  <c r="W6" i="59"/>
  <c r="Z29" i="52"/>
  <c r="Z48" i="52"/>
  <c r="R53" i="52" l="1"/>
  <c r="N53" i="52"/>
  <c r="N9" i="69"/>
  <c r="J13" i="8"/>
  <c r="F13" i="8"/>
  <c r="D13" i="8"/>
  <c r="I13" i="8"/>
  <c r="H13" i="8"/>
  <c r="E13" i="8"/>
  <c r="G13" i="8"/>
  <c r="L13" i="8"/>
  <c r="F12" i="71" s="1"/>
  <c r="K13" i="8"/>
  <c r="I13" i="23"/>
  <c r="D13" i="23"/>
  <c r="G13" i="23"/>
  <c r="E13" i="23"/>
  <c r="L13" i="23"/>
  <c r="W12" i="71" s="1"/>
  <c r="K13" i="23"/>
  <c r="J13" i="23"/>
  <c r="H13" i="23"/>
  <c r="F13" i="23"/>
  <c r="F13" i="20"/>
  <c r="L13" i="20"/>
  <c r="T12" i="71" s="1"/>
  <c r="K13" i="20"/>
  <c r="I13" i="20"/>
  <c r="J13" i="20"/>
  <c r="G13" i="20"/>
  <c r="H13" i="20"/>
  <c r="D13" i="20"/>
  <c r="E13" i="20"/>
  <c r="E7" i="16"/>
  <c r="D7" i="16"/>
  <c r="L13" i="11"/>
  <c r="H12" i="71" s="1"/>
  <c r="I13" i="11"/>
  <c r="F13" i="11"/>
  <c r="G13" i="11"/>
  <c r="K13" i="11"/>
  <c r="E13" i="11"/>
  <c r="D13" i="11"/>
  <c r="H13" i="11"/>
  <c r="J13" i="11"/>
  <c r="O53" i="69"/>
  <c r="C11" i="16" s="1"/>
  <c r="M9" i="57" s="1"/>
  <c r="P9" i="57" s="1"/>
  <c r="R9" i="69"/>
  <c r="AA9" i="69" s="1"/>
  <c r="C12" i="16"/>
  <c r="M10" i="57" s="1"/>
  <c r="P10" i="57" s="1"/>
  <c r="R54" i="69"/>
  <c r="C12" i="17"/>
  <c r="Q10" i="57" s="1"/>
  <c r="X10" i="57" s="1"/>
  <c r="Z54" i="69"/>
  <c r="D13" i="21"/>
  <c r="K13" i="21"/>
  <c r="E13" i="21"/>
  <c r="H13" i="21"/>
  <c r="F13" i="21"/>
  <c r="J13" i="21"/>
  <c r="I13" i="21"/>
  <c r="G13" i="21"/>
  <c r="L13" i="21"/>
  <c r="U12" i="71" s="1"/>
  <c r="D9" i="24"/>
  <c r="K9" i="24"/>
  <c r="I9" i="24"/>
  <c r="E9" i="24"/>
  <c r="J9" i="24"/>
  <c r="G9" i="24"/>
  <c r="L9" i="24"/>
  <c r="V7" i="71" s="1"/>
  <c r="H9" i="24"/>
  <c r="F9" i="24"/>
  <c r="E9" i="23"/>
  <c r="F9" i="23"/>
  <c r="L9" i="23"/>
  <c r="W7" i="71" s="1"/>
  <c r="I9" i="23"/>
  <c r="H9" i="23"/>
  <c r="K9" i="23"/>
  <c r="G9" i="23"/>
  <c r="J9" i="23"/>
  <c r="D9" i="23"/>
  <c r="E13" i="19"/>
  <c r="D13" i="19"/>
  <c r="H13" i="19"/>
  <c r="L13" i="19"/>
  <c r="S12" i="71" s="1"/>
  <c r="G13" i="19"/>
  <c r="I13" i="19"/>
  <c r="K13" i="19"/>
  <c r="J13" i="19"/>
  <c r="F13" i="19"/>
  <c r="J13" i="22"/>
  <c r="D13" i="22"/>
  <c r="H13" i="22"/>
  <c r="K13" i="22"/>
  <c r="G13" i="22"/>
  <c r="I13" i="22"/>
  <c r="F13" i="22"/>
  <c r="E13" i="22"/>
  <c r="L13" i="22"/>
  <c r="I12" i="71" s="1"/>
  <c r="E13" i="15"/>
  <c r="D13" i="15"/>
  <c r="I13" i="15"/>
  <c r="L13" i="15"/>
  <c r="N12" i="71" s="1"/>
  <c r="J13" i="15"/>
  <c r="H13" i="15"/>
  <c r="G13" i="15"/>
  <c r="K13" i="15"/>
  <c r="F13" i="15"/>
  <c r="K13" i="12"/>
  <c r="H13" i="12"/>
  <c r="L13" i="12"/>
  <c r="J12" i="71" s="1"/>
  <c r="G13" i="12"/>
  <c r="F13" i="12"/>
  <c r="D13" i="12"/>
  <c r="J13" i="12"/>
  <c r="E13" i="12"/>
  <c r="I13" i="12"/>
  <c r="L9" i="57"/>
  <c r="Y9" i="57" s="1"/>
  <c r="C9" i="35" s="1"/>
  <c r="L13" i="7"/>
  <c r="G12" i="71" s="1"/>
  <c r="I13" i="7"/>
  <c r="F13" i="7"/>
  <c r="F13" i="16" s="1"/>
  <c r="H13" i="7"/>
  <c r="K13" i="7"/>
  <c r="G13" i="7"/>
  <c r="J13" i="16" s="1"/>
  <c r="M12" i="64" s="1"/>
  <c r="E13" i="7"/>
  <c r="J13" i="7"/>
  <c r="D13" i="7"/>
  <c r="E13" i="18"/>
  <c r="J13" i="18"/>
  <c r="D13" i="18"/>
  <c r="G13" i="18"/>
  <c r="I13" i="18"/>
  <c r="H13" i="18"/>
  <c r="F13" i="18"/>
  <c r="K13" i="18"/>
  <c r="L13" i="18"/>
  <c r="R12" i="71" s="1"/>
  <c r="H9" i="14"/>
  <c r="L9" i="14"/>
  <c r="O7" i="71" s="1"/>
  <c r="F9" i="14"/>
  <c r="I9" i="14"/>
  <c r="D9" i="14"/>
  <c r="K9" i="14"/>
  <c r="E9" i="14"/>
  <c r="J9" i="14"/>
  <c r="G9" i="14"/>
  <c r="F13" i="4"/>
  <c r="E13" i="4"/>
  <c r="L13" i="4"/>
  <c r="D12" i="71" s="1"/>
  <c r="J13" i="4"/>
  <c r="K13" i="4"/>
  <c r="H13" i="4"/>
  <c r="I13" i="4"/>
  <c r="G13" i="4"/>
  <c r="D13" i="4"/>
  <c r="I7" i="17"/>
  <c r="H7" i="17"/>
  <c r="J7" i="17"/>
  <c r="D7" i="17"/>
  <c r="E7" i="17"/>
  <c r="G7" i="17"/>
  <c r="K7" i="17"/>
  <c r="F7" i="17"/>
  <c r="L7" i="17"/>
  <c r="Q5" i="71" s="1"/>
  <c r="K13" i="14"/>
  <c r="F13" i="14"/>
  <c r="E13" i="14"/>
  <c r="D13" i="14"/>
  <c r="I13" i="14"/>
  <c r="L13" i="14"/>
  <c r="O12" i="71" s="1"/>
  <c r="H13" i="14"/>
  <c r="J13" i="14"/>
  <c r="G13" i="14"/>
  <c r="AA10" i="69"/>
  <c r="L9" i="18"/>
  <c r="R7" i="71" s="1"/>
  <c r="E9" i="18"/>
  <c r="F9" i="18"/>
  <c r="J9" i="18"/>
  <c r="I9" i="18"/>
  <c r="H9" i="18"/>
  <c r="D9" i="18"/>
  <c r="G9" i="18"/>
  <c r="K9" i="18"/>
  <c r="F13" i="6"/>
  <c r="K13" i="6"/>
  <c r="H13" i="6"/>
  <c r="E13" i="6"/>
  <c r="D13" i="6"/>
  <c r="J13" i="6"/>
  <c r="G13" i="6"/>
  <c r="I13" i="6"/>
  <c r="L13" i="6"/>
  <c r="E12" i="71" s="1"/>
  <c r="E9" i="21"/>
  <c r="L9" i="21"/>
  <c r="U7" i="71" s="1"/>
  <c r="J9" i="21"/>
  <c r="I9" i="21"/>
  <c r="D9" i="21"/>
  <c r="H9" i="21"/>
  <c r="K9" i="21"/>
  <c r="F9" i="21"/>
  <c r="G9" i="21"/>
  <c r="K9" i="19"/>
  <c r="H9" i="19"/>
  <c r="I9" i="19"/>
  <c r="E9" i="19"/>
  <c r="G9" i="19"/>
  <c r="J9" i="19"/>
  <c r="D9" i="19"/>
  <c r="L9" i="19"/>
  <c r="S7" i="71" s="1"/>
  <c r="F9" i="19"/>
  <c r="J9" i="20"/>
  <c r="D9" i="20"/>
  <c r="G9" i="20"/>
  <c r="K9" i="20"/>
  <c r="E9" i="20"/>
  <c r="L9" i="20"/>
  <c r="T7" i="71" s="1"/>
  <c r="F9" i="20"/>
  <c r="I9" i="20"/>
  <c r="H9" i="20"/>
  <c r="J13" i="24"/>
  <c r="I13" i="24"/>
  <c r="D13" i="24"/>
  <c r="G13" i="24"/>
  <c r="H13" i="24"/>
  <c r="K13" i="24"/>
  <c r="F13" i="24"/>
  <c r="E13" i="24"/>
  <c r="L13" i="24"/>
  <c r="V12" i="71" s="1"/>
  <c r="K13" i="13"/>
  <c r="E13" i="13"/>
  <c r="H13" i="13"/>
  <c r="J13" i="13"/>
  <c r="D13" i="13"/>
  <c r="I13" i="13"/>
  <c r="L13" i="13"/>
  <c r="K12" i="71" s="1"/>
  <c r="G13" i="13"/>
  <c r="F13" i="13"/>
  <c r="C12" i="9"/>
  <c r="C10" i="57" s="1"/>
  <c r="L10" i="57" s="1"/>
  <c r="Y10" i="57" s="1"/>
  <c r="C10" i="35" s="1"/>
  <c r="N54" i="69"/>
  <c r="AA54" i="69" s="1"/>
  <c r="W5" i="71"/>
  <c r="H9" i="13"/>
  <c r="D9" i="13"/>
  <c r="K7" i="58" s="1"/>
  <c r="G9" i="13"/>
  <c r="L9" i="13"/>
  <c r="K7" i="71" s="1"/>
  <c r="F9" i="13"/>
  <c r="K9" i="13"/>
  <c r="E9" i="13"/>
  <c r="J9" i="13"/>
  <c r="I9" i="13"/>
  <c r="E9" i="8"/>
  <c r="D9" i="8"/>
  <c r="K9" i="8"/>
  <c r="J9" i="8"/>
  <c r="I9" i="8"/>
  <c r="H9" i="8"/>
  <c r="L9" i="8"/>
  <c r="F7" i="71" s="1"/>
  <c r="G9" i="8"/>
  <c r="F9" i="8"/>
  <c r="H9" i="11"/>
  <c r="G9" i="11"/>
  <c r="L9" i="11"/>
  <c r="H7" i="71" s="1"/>
  <c r="F9" i="11"/>
  <c r="K9" i="11"/>
  <c r="E9" i="11"/>
  <c r="I9" i="11"/>
  <c r="D9" i="11"/>
  <c r="J9" i="11"/>
  <c r="H7" i="64" s="1"/>
  <c r="I9" i="6"/>
  <c r="E7" i="63" s="1"/>
  <c r="H9" i="6"/>
  <c r="E7" i="62" s="1"/>
  <c r="D9" i="6"/>
  <c r="E7" i="58" s="1"/>
  <c r="G9" i="6"/>
  <c r="E7" i="61" s="1"/>
  <c r="L9" i="6"/>
  <c r="E7" i="71" s="1"/>
  <c r="F9" i="6"/>
  <c r="E7" i="60" s="1"/>
  <c r="E9" i="6"/>
  <c r="J9" i="6"/>
  <c r="K9" i="6"/>
  <c r="L9" i="7"/>
  <c r="G7" i="71" s="1"/>
  <c r="F9" i="7"/>
  <c r="F9" i="16" s="1"/>
  <c r="G9" i="16" s="1"/>
  <c r="H9" i="16" s="1"/>
  <c r="I9" i="16" s="1"/>
  <c r="K9" i="7"/>
  <c r="E9" i="7"/>
  <c r="J9" i="7"/>
  <c r="D9" i="7"/>
  <c r="I9" i="7"/>
  <c r="H9" i="7"/>
  <c r="G9" i="7"/>
  <c r="J9" i="22"/>
  <c r="I9" i="22"/>
  <c r="H9" i="22"/>
  <c r="G9" i="22"/>
  <c r="L9" i="22"/>
  <c r="I7" i="71" s="1"/>
  <c r="K9" i="22"/>
  <c r="D9" i="22"/>
  <c r="F9" i="22"/>
  <c r="E9" i="22"/>
  <c r="L9" i="12"/>
  <c r="J7" i="71" s="1"/>
  <c r="F9" i="12"/>
  <c r="J7" i="60" s="1"/>
  <c r="K9" i="12"/>
  <c r="E9" i="12"/>
  <c r="J9" i="12"/>
  <c r="I9" i="12"/>
  <c r="G9" i="12"/>
  <c r="J7" i="61" s="1"/>
  <c r="H9" i="12"/>
  <c r="J7" i="62" s="1"/>
  <c r="D9" i="12"/>
  <c r="J7" i="58" s="1"/>
  <c r="K9" i="4"/>
  <c r="E9" i="4"/>
  <c r="J9" i="4"/>
  <c r="I9" i="4"/>
  <c r="F9" i="4"/>
  <c r="G9" i="4"/>
  <c r="H9" i="4"/>
  <c r="L9" i="4"/>
  <c r="D7" i="71" s="1"/>
  <c r="D9" i="4"/>
  <c r="H7" i="63"/>
  <c r="K7" i="60"/>
  <c r="K7" i="63"/>
  <c r="K7" i="61"/>
  <c r="E7" i="64"/>
  <c r="F12" i="70"/>
  <c r="O12" i="60"/>
  <c r="Y52" i="69"/>
  <c r="C10" i="23" s="1"/>
  <c r="T52" i="69"/>
  <c r="Z53" i="69"/>
  <c r="P52" i="69"/>
  <c r="C10" i="15" s="1"/>
  <c r="I52" i="69"/>
  <c r="C10" i="7" s="1"/>
  <c r="H52" i="69"/>
  <c r="C10" i="8" s="1"/>
  <c r="X52" i="69"/>
  <c r="K52" i="69"/>
  <c r="M52" i="69"/>
  <c r="C10" i="13" s="1"/>
  <c r="J52" i="69"/>
  <c r="C10" i="11" s="1"/>
  <c r="V52" i="69"/>
  <c r="W52" i="69"/>
  <c r="U52" i="69"/>
  <c r="F52" i="69"/>
  <c r="C10" i="4" s="1"/>
  <c r="N53" i="69"/>
  <c r="L52" i="69"/>
  <c r="C10" i="12" s="1"/>
  <c r="G52" i="69"/>
  <c r="C10" i="6" s="1"/>
  <c r="Z54" i="52"/>
  <c r="AA53" i="52"/>
  <c r="R54" i="52"/>
  <c r="O12" i="57"/>
  <c r="AA23" i="52"/>
  <c r="AB23" i="52" s="1"/>
  <c r="H12" i="60"/>
  <c r="H12" i="59"/>
  <c r="H12" i="63"/>
  <c r="H12" i="62"/>
  <c r="R52" i="52"/>
  <c r="H12" i="58"/>
  <c r="H12" i="70"/>
  <c r="O8" i="69"/>
  <c r="AA24" i="52"/>
  <c r="AB24" i="52" s="1"/>
  <c r="O12" i="61"/>
  <c r="O12" i="70"/>
  <c r="O12" i="63"/>
  <c r="O12" i="64"/>
  <c r="O12" i="58"/>
  <c r="O12" i="62"/>
  <c r="O12" i="59"/>
  <c r="I12" i="63"/>
  <c r="I12" i="58"/>
  <c r="I12" i="64"/>
  <c r="I12" i="70"/>
  <c r="I12" i="60"/>
  <c r="I12" i="61"/>
  <c r="I12" i="62"/>
  <c r="N12" i="58"/>
  <c r="N12" i="64"/>
  <c r="N12" i="61"/>
  <c r="N12" i="63"/>
  <c r="N12" i="70"/>
  <c r="N12" i="60"/>
  <c r="N12" i="62"/>
  <c r="J12" i="62"/>
  <c r="J12" i="70"/>
  <c r="J12" i="63"/>
  <c r="J12" i="57"/>
  <c r="J12" i="60"/>
  <c r="J12" i="61"/>
  <c r="J12" i="58"/>
  <c r="J12" i="64"/>
  <c r="S12" i="60"/>
  <c r="S12" i="61"/>
  <c r="S12" i="62"/>
  <c r="S12" i="63"/>
  <c r="S12" i="58"/>
  <c r="S12" i="64"/>
  <c r="S12" i="59"/>
  <c r="S12" i="70"/>
  <c r="N5" i="62"/>
  <c r="N5" i="61"/>
  <c r="W8" i="57"/>
  <c r="T5" i="61"/>
  <c r="T5" i="62"/>
  <c r="T5" i="63"/>
  <c r="T5" i="57"/>
  <c r="T5" i="58"/>
  <c r="T5" i="59"/>
  <c r="T5" i="60"/>
  <c r="U5" i="61"/>
  <c r="U5" i="62"/>
  <c r="U5" i="63"/>
  <c r="U5" i="58"/>
  <c r="U5" i="59"/>
  <c r="U5" i="60"/>
  <c r="Z11" i="69"/>
  <c r="S55" i="69"/>
  <c r="C13" i="17" s="1"/>
  <c r="F12" i="60"/>
  <c r="G12" i="58"/>
  <c r="E12" i="61"/>
  <c r="E12" i="60"/>
  <c r="E12" i="64"/>
  <c r="E12" i="63"/>
  <c r="E12" i="58"/>
  <c r="E12" i="59"/>
  <c r="E12" i="62"/>
  <c r="O7" i="70"/>
  <c r="R51" i="52"/>
  <c r="P7" i="69"/>
  <c r="P51" i="69" s="1"/>
  <c r="C9" i="15" s="1"/>
  <c r="Z7" i="69"/>
  <c r="S51" i="69"/>
  <c r="C9" i="17" s="1"/>
  <c r="Y56" i="69"/>
  <c r="T56" i="69"/>
  <c r="Z8" i="69"/>
  <c r="S52" i="69"/>
  <c r="C10" i="17" s="1"/>
  <c r="S7" i="58"/>
  <c r="S7" i="64"/>
  <c r="S7" i="59"/>
  <c r="S7" i="70"/>
  <c r="S7" i="57"/>
  <c r="S7" i="60"/>
  <c r="S7" i="61"/>
  <c r="S7" i="62"/>
  <c r="S7" i="63"/>
  <c r="T7" i="58"/>
  <c r="T7" i="70"/>
  <c r="T7" i="61"/>
  <c r="T7" i="60"/>
  <c r="T7" i="63"/>
  <c r="T7" i="62"/>
  <c r="T7" i="59"/>
  <c r="T7" i="57"/>
  <c r="T7" i="64"/>
  <c r="V12" i="60"/>
  <c r="V12" i="62"/>
  <c r="V12" i="63"/>
  <c r="V12" i="58"/>
  <c r="V12" i="59"/>
  <c r="V12" i="70"/>
  <c r="V12" i="64"/>
  <c r="V12" i="61"/>
  <c r="J7" i="63"/>
  <c r="J7" i="64"/>
  <c r="J7" i="59"/>
  <c r="J7" i="70"/>
  <c r="U7" i="59"/>
  <c r="U7" i="70"/>
  <c r="U7" i="60"/>
  <c r="U7" i="61"/>
  <c r="U7" i="62"/>
  <c r="U7" i="63"/>
  <c r="U7" i="58"/>
  <c r="U7" i="64"/>
  <c r="U7" i="57"/>
  <c r="W5" i="57"/>
  <c r="W5" i="70"/>
  <c r="N8" i="69"/>
  <c r="E52" i="69"/>
  <c r="C10" i="9" s="1"/>
  <c r="R5" i="61"/>
  <c r="R5" i="62"/>
  <c r="R5" i="63"/>
  <c r="R5" i="58"/>
  <c r="R5" i="59"/>
  <c r="R5" i="60"/>
  <c r="Q52" i="69"/>
  <c r="O5" i="57"/>
  <c r="O5" i="63"/>
  <c r="O5" i="59"/>
  <c r="O5" i="64"/>
  <c r="O5" i="61"/>
  <c r="O5" i="62"/>
  <c r="O51" i="69"/>
  <c r="C9" i="16" s="1"/>
  <c r="W12" i="58"/>
  <c r="W12" i="64"/>
  <c r="W12" i="59"/>
  <c r="W12" i="70"/>
  <c r="W12" i="60"/>
  <c r="W12" i="61"/>
  <c r="W12" i="62"/>
  <c r="W12" i="63"/>
  <c r="K12" i="62"/>
  <c r="K12" i="63"/>
  <c r="K12" i="58"/>
  <c r="K12" i="64"/>
  <c r="K12" i="70"/>
  <c r="K12" i="60"/>
  <c r="K12" i="61"/>
  <c r="K12" i="57"/>
  <c r="U56" i="69"/>
  <c r="N55" i="69"/>
  <c r="X56" i="69"/>
  <c r="H7" i="57"/>
  <c r="H7" i="58"/>
  <c r="H7" i="60"/>
  <c r="H7" i="61"/>
  <c r="H7" i="62"/>
  <c r="H7" i="59"/>
  <c r="W7" i="58"/>
  <c r="W7" i="64"/>
  <c r="W7" i="59"/>
  <c r="W7" i="70"/>
  <c r="W7" i="60"/>
  <c r="W7" i="61"/>
  <c r="W7" i="62"/>
  <c r="W7" i="57"/>
  <c r="W7" i="63"/>
  <c r="G12" i="60"/>
  <c r="G12" i="59"/>
  <c r="G12" i="61"/>
  <c r="G12" i="63"/>
  <c r="G12" i="70"/>
  <c r="G12" i="62"/>
  <c r="T12" i="63"/>
  <c r="T12" i="70"/>
  <c r="T12" i="58"/>
  <c r="T12" i="64"/>
  <c r="T12" i="59"/>
  <c r="T12" i="60"/>
  <c r="T12" i="61"/>
  <c r="T12" i="57"/>
  <c r="T12" i="62"/>
  <c r="N7" i="69"/>
  <c r="S5" i="60"/>
  <c r="S5" i="61"/>
  <c r="S5" i="62"/>
  <c r="S5" i="63"/>
  <c r="S5" i="58"/>
  <c r="S5" i="59"/>
  <c r="N11" i="69"/>
  <c r="V5" i="59"/>
  <c r="V5" i="58"/>
  <c r="V5" i="62"/>
  <c r="V5" i="63"/>
  <c r="V5" i="60"/>
  <c r="V5" i="61"/>
  <c r="Z49" i="69"/>
  <c r="V7" i="59"/>
  <c r="V7" i="62"/>
  <c r="V7" i="70"/>
  <c r="V7" i="58"/>
  <c r="V7" i="60"/>
  <c r="V7" i="63"/>
  <c r="V7" i="61"/>
  <c r="V7" i="57"/>
  <c r="V7" i="64"/>
  <c r="K7" i="64"/>
  <c r="K7" i="59"/>
  <c r="K7" i="70"/>
  <c r="K7" i="57"/>
  <c r="K7" i="62"/>
  <c r="R12" i="61"/>
  <c r="R12" i="62"/>
  <c r="R12" i="63"/>
  <c r="R12" i="58"/>
  <c r="R12" i="64"/>
  <c r="R12" i="59"/>
  <c r="R12" i="60"/>
  <c r="R12" i="70"/>
  <c r="R7" i="59"/>
  <c r="R7" i="70"/>
  <c r="R7" i="57"/>
  <c r="R7" i="60"/>
  <c r="R7" i="62"/>
  <c r="R7" i="58"/>
  <c r="R7" i="64"/>
  <c r="R7" i="63"/>
  <c r="R7" i="61"/>
  <c r="U12" i="62"/>
  <c r="U12" i="63"/>
  <c r="U12" i="57"/>
  <c r="U12" i="58"/>
  <c r="U12" i="64"/>
  <c r="U12" i="59"/>
  <c r="U12" i="70"/>
  <c r="U12" i="60"/>
  <c r="U12" i="61"/>
  <c r="R11" i="69"/>
  <c r="O55" i="69"/>
  <c r="C13" i="16" s="1"/>
  <c r="N51" i="69"/>
  <c r="V56" i="69"/>
  <c r="W56" i="69"/>
  <c r="R49" i="69"/>
  <c r="E8" i="63"/>
  <c r="E8" i="58"/>
  <c r="E8" i="62"/>
  <c r="Z51" i="52"/>
  <c r="H12" i="64"/>
  <c r="N51" i="52"/>
  <c r="F12" i="61"/>
  <c r="H12" i="61"/>
  <c r="F12" i="64"/>
  <c r="F5" i="60"/>
  <c r="F5" i="61"/>
  <c r="AA17" i="52"/>
  <c r="AB17" i="52" s="1"/>
  <c r="AA31" i="52"/>
  <c r="AB31" i="52" s="1"/>
  <c r="Z55" i="52"/>
  <c r="Z38" i="52"/>
  <c r="F5" i="64"/>
  <c r="Z52" i="52"/>
  <c r="N55" i="52"/>
  <c r="F12" i="62"/>
  <c r="F5" i="58"/>
  <c r="R38" i="52"/>
  <c r="N52" i="52"/>
  <c r="E8" i="61"/>
  <c r="F12" i="58"/>
  <c r="F12" i="63"/>
  <c r="F12" i="59"/>
  <c r="R55" i="52"/>
  <c r="Z49" i="52"/>
  <c r="AA16" i="52"/>
  <c r="AB16" i="52" s="1"/>
  <c r="R49" i="52"/>
  <c r="AA27" i="52"/>
  <c r="AB27" i="52" s="1"/>
  <c r="AA30" i="52"/>
  <c r="AB30" i="52" s="1"/>
  <c r="AA48" i="52"/>
  <c r="AA29" i="52"/>
  <c r="AB29" i="52" s="1"/>
  <c r="L6" i="57"/>
  <c r="Y6" i="57" s="1"/>
  <c r="C6" i="35" s="1"/>
  <c r="C6" i="58"/>
  <c r="X6" i="59"/>
  <c r="W6" i="60"/>
  <c r="G13" i="17" l="1"/>
  <c r="K13" i="17"/>
  <c r="J13" i="17"/>
  <c r="H13" i="17"/>
  <c r="D13" i="17"/>
  <c r="F13" i="17"/>
  <c r="E13" i="17"/>
  <c r="I13" i="17"/>
  <c r="L13" i="17"/>
  <c r="Q12" i="71" s="1"/>
  <c r="D9" i="16"/>
  <c r="E9" i="16"/>
  <c r="C10" i="14"/>
  <c r="I10" i="17"/>
  <c r="D10" i="17"/>
  <c r="H10" i="17"/>
  <c r="G10" i="17"/>
  <c r="K10" i="17"/>
  <c r="L10" i="17"/>
  <c r="Q8" i="71" s="1"/>
  <c r="E10" i="17"/>
  <c r="F10" i="17"/>
  <c r="J10" i="17"/>
  <c r="L9" i="15"/>
  <c r="N7" i="71" s="1"/>
  <c r="H9" i="15"/>
  <c r="K9" i="15"/>
  <c r="F9" i="15"/>
  <c r="E9" i="15"/>
  <c r="G9" i="15"/>
  <c r="J9" i="15"/>
  <c r="I9" i="15"/>
  <c r="D9" i="15"/>
  <c r="C10" i="18"/>
  <c r="C10" i="19"/>
  <c r="C10" i="24"/>
  <c r="J10" i="23"/>
  <c r="H10" i="23"/>
  <c r="D10" i="23"/>
  <c r="G10" i="23"/>
  <c r="I10" i="23"/>
  <c r="W8" i="63" s="1"/>
  <c r="L10" i="23"/>
  <c r="F10" i="23"/>
  <c r="K10" i="23"/>
  <c r="W8" i="70" s="1"/>
  <c r="W11" i="70" s="1"/>
  <c r="W13" i="70" s="1"/>
  <c r="E10" i="23"/>
  <c r="C10" i="21"/>
  <c r="X5" i="71"/>
  <c r="K13" i="16"/>
  <c r="M12" i="70" s="1"/>
  <c r="G13" i="16"/>
  <c r="L13" i="16"/>
  <c r="M12" i="71" s="1"/>
  <c r="P12" i="71" s="1"/>
  <c r="M12" i="60"/>
  <c r="D48" i="35"/>
  <c r="N48" i="35" s="1"/>
  <c r="M9" i="35"/>
  <c r="C10" i="20"/>
  <c r="D49" i="35"/>
  <c r="N49" i="35" s="1"/>
  <c r="M10" i="35"/>
  <c r="C14" i="23"/>
  <c r="E13" i="16"/>
  <c r="M12" i="59" s="1"/>
  <c r="D13" i="16"/>
  <c r="I9" i="17"/>
  <c r="F9" i="17"/>
  <c r="E9" i="17"/>
  <c r="K9" i="17"/>
  <c r="H9" i="17"/>
  <c r="D9" i="17"/>
  <c r="L9" i="17"/>
  <c r="Q7" i="71" s="1"/>
  <c r="X7" i="71" s="1"/>
  <c r="J9" i="17"/>
  <c r="G9" i="17"/>
  <c r="J10" i="15"/>
  <c r="D10" i="15"/>
  <c r="G10" i="15"/>
  <c r="L10" i="15"/>
  <c r="N8" i="71" s="1"/>
  <c r="I10" i="15"/>
  <c r="K10" i="15"/>
  <c r="N8" i="70" s="1"/>
  <c r="F10" i="15"/>
  <c r="H10" i="15"/>
  <c r="E10" i="15"/>
  <c r="N8" i="59" s="1"/>
  <c r="L9" i="16"/>
  <c r="M7" i="71" s="1"/>
  <c r="K9" i="16"/>
  <c r="J9" i="16"/>
  <c r="E11" i="60"/>
  <c r="E13" i="60" s="1"/>
  <c r="L14" i="6"/>
  <c r="E10" i="6"/>
  <c r="K10" i="6"/>
  <c r="E8" i="70" s="1"/>
  <c r="K10" i="7"/>
  <c r="G8" i="70" s="1"/>
  <c r="D10" i="7"/>
  <c r="H10" i="7"/>
  <c r="G8" i="62" s="1"/>
  <c r="J10" i="7"/>
  <c r="G8" i="64" s="1"/>
  <c r="I10" i="7"/>
  <c r="G8" i="63" s="1"/>
  <c r="F10" i="7"/>
  <c r="G10" i="7"/>
  <c r="L10" i="7"/>
  <c r="G8" i="71" s="1"/>
  <c r="E10" i="7"/>
  <c r="G8" i="59" s="1"/>
  <c r="I10" i="12"/>
  <c r="H10" i="12"/>
  <c r="J8" i="62" s="1"/>
  <c r="G10" i="12"/>
  <c r="J8" i="61" s="1"/>
  <c r="L10" i="12"/>
  <c r="J8" i="71" s="1"/>
  <c r="F10" i="12"/>
  <c r="K10" i="12"/>
  <c r="E10" i="12"/>
  <c r="J10" i="12"/>
  <c r="J8" i="64" s="1"/>
  <c r="D10" i="12"/>
  <c r="K10" i="11"/>
  <c r="H8" i="70" s="1"/>
  <c r="E10" i="11"/>
  <c r="J10" i="11"/>
  <c r="I10" i="11"/>
  <c r="H10" i="11"/>
  <c r="G10" i="11"/>
  <c r="L10" i="11"/>
  <c r="H8" i="71" s="1"/>
  <c r="H11" i="71" s="1"/>
  <c r="H13" i="71" s="1"/>
  <c r="F10" i="11"/>
  <c r="D10" i="11"/>
  <c r="H8" i="58" s="1"/>
  <c r="H11" i="58" s="1"/>
  <c r="F10" i="13"/>
  <c r="D10" i="13"/>
  <c r="K8" i="58" s="1"/>
  <c r="L10" i="13"/>
  <c r="K8" i="71" s="1"/>
  <c r="K11" i="71" s="1"/>
  <c r="K13" i="71" s="1"/>
  <c r="E10" i="13"/>
  <c r="K8" i="59" s="1"/>
  <c r="K10" i="13"/>
  <c r="J10" i="13"/>
  <c r="K8" i="64" s="1"/>
  <c r="I10" i="13"/>
  <c r="H10" i="13"/>
  <c r="K8" i="62" s="1"/>
  <c r="G10" i="13"/>
  <c r="H10" i="4"/>
  <c r="D8" i="62" s="1"/>
  <c r="F10" i="4"/>
  <c r="J10" i="4"/>
  <c r="D8" i="64" s="1"/>
  <c r="D10" i="4"/>
  <c r="L10" i="4"/>
  <c r="D8" i="71" s="1"/>
  <c r="C10" i="22"/>
  <c r="J10" i="8"/>
  <c r="F8" i="64" s="1"/>
  <c r="I10" i="8"/>
  <c r="F8" i="63" s="1"/>
  <c r="H10" i="8"/>
  <c r="F8" i="62" s="1"/>
  <c r="G10" i="8"/>
  <c r="F8" i="61" s="1"/>
  <c r="F10" i="8"/>
  <c r="D10" i="8"/>
  <c r="E10" i="8"/>
  <c r="L10" i="8"/>
  <c r="F8" i="71" s="1"/>
  <c r="K10" i="8"/>
  <c r="F8" i="70" s="1"/>
  <c r="D45" i="35"/>
  <c r="E11" i="58"/>
  <c r="E13" i="58" s="1"/>
  <c r="E11" i="62"/>
  <c r="E13" i="62" s="1"/>
  <c r="C11" i="58"/>
  <c r="C13" i="58" s="1"/>
  <c r="W11" i="57"/>
  <c r="W13" i="57" s="1"/>
  <c r="H7" i="70"/>
  <c r="E7" i="70"/>
  <c r="N8" i="57"/>
  <c r="N8" i="63"/>
  <c r="N8" i="61"/>
  <c r="J8" i="60"/>
  <c r="J8" i="63"/>
  <c r="J8" i="59"/>
  <c r="J11" i="59" s="1"/>
  <c r="N8" i="62"/>
  <c r="N8" i="60"/>
  <c r="J8" i="70"/>
  <c r="J8" i="58"/>
  <c r="N8" i="64"/>
  <c r="K8" i="70"/>
  <c r="K8" i="61"/>
  <c r="K8" i="60"/>
  <c r="K8" i="63"/>
  <c r="O52" i="69"/>
  <c r="C10" i="16" s="1"/>
  <c r="R53" i="69"/>
  <c r="AA53" i="69" s="1"/>
  <c r="R7" i="69"/>
  <c r="AA7" i="69" s="1"/>
  <c r="S56" i="69"/>
  <c r="R8" i="69"/>
  <c r="AA8" i="69" s="1"/>
  <c r="P12" i="70"/>
  <c r="P12" i="64"/>
  <c r="AA51" i="52"/>
  <c r="V5" i="64"/>
  <c r="S5" i="70"/>
  <c r="R51" i="69"/>
  <c r="Z52" i="69"/>
  <c r="P12" i="59"/>
  <c r="M5" i="57"/>
  <c r="R55" i="69"/>
  <c r="O5" i="70"/>
  <c r="N52" i="69"/>
  <c r="L12" i="57"/>
  <c r="Z51" i="69"/>
  <c r="G7" i="57"/>
  <c r="T5" i="70"/>
  <c r="Q5" i="60"/>
  <c r="Q5" i="61"/>
  <c r="Q5" i="62"/>
  <c r="Q5" i="57"/>
  <c r="Q5" i="63"/>
  <c r="S5" i="64"/>
  <c r="R5" i="70"/>
  <c r="E12" i="70"/>
  <c r="T5" i="64"/>
  <c r="N5" i="70"/>
  <c r="P12" i="60"/>
  <c r="V5" i="70"/>
  <c r="AA11" i="69"/>
  <c r="J7" i="57"/>
  <c r="Q56" i="69"/>
  <c r="P56" i="69"/>
  <c r="F7" i="58"/>
  <c r="F11" i="58" s="1"/>
  <c r="U5" i="70"/>
  <c r="R5" i="64"/>
  <c r="Z55" i="69"/>
  <c r="I7" i="70"/>
  <c r="U5" i="64"/>
  <c r="N5" i="64"/>
  <c r="G12" i="64"/>
  <c r="I7" i="63"/>
  <c r="I7" i="60"/>
  <c r="I7" i="59"/>
  <c r="I7" i="62"/>
  <c r="I7" i="61"/>
  <c r="AA52" i="52"/>
  <c r="AA55" i="52"/>
  <c r="E8" i="64"/>
  <c r="E11" i="64" s="1"/>
  <c r="J14" i="6"/>
  <c r="W5" i="58"/>
  <c r="F14" i="9"/>
  <c r="L6" i="58"/>
  <c r="Y6" i="58" s="1"/>
  <c r="X6" i="60"/>
  <c r="W6" i="61"/>
  <c r="H8" i="59"/>
  <c r="D24" i="9"/>
  <c r="D14" i="9"/>
  <c r="D6" i="35" l="1"/>
  <c r="E45" i="35" s="1"/>
  <c r="Y33" i="58"/>
  <c r="Y40" i="58" s="1"/>
  <c r="G8" i="61"/>
  <c r="J10" i="16"/>
  <c r="G14" i="23"/>
  <c r="W8" i="61"/>
  <c r="G10" i="19"/>
  <c r="S8" i="61" s="1"/>
  <c r="S11" i="61" s="1"/>
  <c r="S13" i="61" s="1"/>
  <c r="K10" i="19"/>
  <c r="E10" i="19"/>
  <c r="S8" i="59" s="1"/>
  <c r="S11" i="59" s="1"/>
  <c r="S13" i="59" s="1"/>
  <c r="J10" i="19"/>
  <c r="I10" i="19"/>
  <c r="S8" i="63" s="1"/>
  <c r="S11" i="63" s="1"/>
  <c r="S13" i="63" s="1"/>
  <c r="F10" i="19"/>
  <c r="S8" i="60" s="1"/>
  <c r="S11" i="60" s="1"/>
  <c r="S13" i="60" s="1"/>
  <c r="L10" i="19"/>
  <c r="H10" i="19"/>
  <c r="S8" i="62" s="1"/>
  <c r="S11" i="62" s="1"/>
  <c r="S13" i="62" s="1"/>
  <c r="D10" i="19"/>
  <c r="S8" i="58" s="1"/>
  <c r="S11" i="58" s="1"/>
  <c r="S13" i="58" s="1"/>
  <c r="S11" i="57"/>
  <c r="S13" i="57" s="1"/>
  <c r="N11" i="71"/>
  <c r="N13" i="71" s="1"/>
  <c r="I14" i="23"/>
  <c r="G8" i="60"/>
  <c r="F10" i="16"/>
  <c r="G10" i="16" s="1"/>
  <c r="H10" i="16" s="1"/>
  <c r="I10" i="16" s="1"/>
  <c r="Q11" i="71"/>
  <c r="E14" i="23"/>
  <c r="W8" i="59"/>
  <c r="W8" i="58"/>
  <c r="D14" i="23"/>
  <c r="W8" i="62"/>
  <c r="H14" i="23"/>
  <c r="L10" i="18"/>
  <c r="D10" i="18"/>
  <c r="R11" i="58" s="1"/>
  <c r="R13" i="58" s="1"/>
  <c r="H10" i="18"/>
  <c r="R8" i="62" s="1"/>
  <c r="R11" i="62" s="1"/>
  <c r="R13" i="62" s="1"/>
  <c r="I10" i="18"/>
  <c r="R8" i="63" s="1"/>
  <c r="R11" i="63" s="1"/>
  <c r="R13" i="63" s="1"/>
  <c r="J10" i="18"/>
  <c r="E10" i="18"/>
  <c r="R11" i="59" s="1"/>
  <c r="R13" i="59" s="1"/>
  <c r="K10" i="18"/>
  <c r="F10" i="18"/>
  <c r="R8" i="60" s="1"/>
  <c r="R11" i="60" s="1"/>
  <c r="R13" i="60" s="1"/>
  <c r="G10" i="18"/>
  <c r="R8" i="61" s="1"/>
  <c r="R11" i="61" s="1"/>
  <c r="R13" i="61" s="1"/>
  <c r="R11" i="57"/>
  <c r="R13" i="57" s="1"/>
  <c r="X12" i="71"/>
  <c r="Q13" i="71"/>
  <c r="J10" i="21"/>
  <c r="D10" i="21"/>
  <c r="U8" i="58" s="1"/>
  <c r="U11" i="58" s="1"/>
  <c r="U13" i="58" s="1"/>
  <c r="H10" i="21"/>
  <c r="U8" i="62" s="1"/>
  <c r="U11" i="62" s="1"/>
  <c r="U13" i="62" s="1"/>
  <c r="I10" i="21"/>
  <c r="U8" i="63" s="1"/>
  <c r="U11" i="63" s="1"/>
  <c r="U13" i="63" s="1"/>
  <c r="G10" i="21"/>
  <c r="U8" i="61" s="1"/>
  <c r="U11" i="61" s="1"/>
  <c r="U13" i="61" s="1"/>
  <c r="L10" i="21"/>
  <c r="K10" i="21"/>
  <c r="F10" i="21"/>
  <c r="U8" i="60" s="1"/>
  <c r="U11" i="60" s="1"/>
  <c r="U13" i="60" s="1"/>
  <c r="E10" i="21"/>
  <c r="U8" i="59" s="1"/>
  <c r="U11" i="59" s="1"/>
  <c r="U13" i="59" s="1"/>
  <c r="U11" i="57"/>
  <c r="U13" i="57" s="1"/>
  <c r="W8" i="60"/>
  <c r="F14" i="23"/>
  <c r="J14" i="23"/>
  <c r="W8" i="64"/>
  <c r="K14" i="23"/>
  <c r="E10" i="16"/>
  <c r="M8" i="59" s="1"/>
  <c r="D10" i="16"/>
  <c r="M8" i="58" s="1"/>
  <c r="P8" i="57"/>
  <c r="O56" i="69"/>
  <c r="W8" i="71"/>
  <c r="W11" i="71" s="1"/>
  <c r="W13" i="71" s="1"/>
  <c r="L14" i="23"/>
  <c r="J10" i="24"/>
  <c r="I10" i="24"/>
  <c r="V8" i="63" s="1"/>
  <c r="V11" i="63" s="1"/>
  <c r="V13" i="63" s="1"/>
  <c r="H10" i="24"/>
  <c r="V8" i="62" s="1"/>
  <c r="V11" i="62" s="1"/>
  <c r="V13" i="62" s="1"/>
  <c r="K10" i="24"/>
  <c r="L10" i="24"/>
  <c r="E10" i="24"/>
  <c r="V8" i="59" s="1"/>
  <c r="V11" i="59" s="1"/>
  <c r="V13" i="59" s="1"/>
  <c r="F10" i="24"/>
  <c r="V8" i="60" s="1"/>
  <c r="V11" i="60" s="1"/>
  <c r="V13" i="60" s="1"/>
  <c r="D10" i="24"/>
  <c r="V8" i="58" s="1"/>
  <c r="V11" i="58" s="1"/>
  <c r="V13" i="58" s="1"/>
  <c r="G10" i="24"/>
  <c r="V8" i="61" s="1"/>
  <c r="V11" i="61" s="1"/>
  <c r="V13" i="61" s="1"/>
  <c r="V8" i="57"/>
  <c r="V11" i="57" s="1"/>
  <c r="V13" i="57" s="1"/>
  <c r="J10" i="14"/>
  <c r="O8" i="64" s="1"/>
  <c r="D10" i="14"/>
  <c r="P8" i="58" s="1"/>
  <c r="L10" i="14"/>
  <c r="I10" i="14"/>
  <c r="O8" i="63" s="1"/>
  <c r="F10" i="14"/>
  <c r="O8" i="60" s="1"/>
  <c r="H10" i="14"/>
  <c r="O8" i="62" s="1"/>
  <c r="K10" i="14"/>
  <c r="O8" i="70" s="1"/>
  <c r="O11" i="70" s="1"/>
  <c r="O13" i="70" s="1"/>
  <c r="G10" i="14"/>
  <c r="O8" i="61" s="1"/>
  <c r="E10" i="14"/>
  <c r="R52" i="69"/>
  <c r="AA52" i="69" s="1"/>
  <c r="L10" i="20"/>
  <c r="F10" i="20"/>
  <c r="T8" i="60" s="1"/>
  <c r="T11" i="60" s="1"/>
  <c r="T13" i="60" s="1"/>
  <c r="G10" i="20"/>
  <c r="T8" i="61" s="1"/>
  <c r="T11" i="61" s="1"/>
  <c r="T13" i="61" s="1"/>
  <c r="J10" i="20"/>
  <c r="K10" i="20"/>
  <c r="I10" i="20"/>
  <c r="T8" i="63" s="1"/>
  <c r="T11" i="63" s="1"/>
  <c r="T13" i="63" s="1"/>
  <c r="H10" i="20"/>
  <c r="T8" i="62" s="1"/>
  <c r="T11" i="62" s="1"/>
  <c r="T13" i="62" s="1"/>
  <c r="D10" i="20"/>
  <c r="T8" i="58" s="1"/>
  <c r="T11" i="58" s="1"/>
  <c r="T13" i="58" s="1"/>
  <c r="E10" i="20"/>
  <c r="T8" i="59" s="1"/>
  <c r="T11" i="59" s="1"/>
  <c r="T13" i="59" s="1"/>
  <c r="T11" i="57"/>
  <c r="T13" i="57" s="1"/>
  <c r="H13" i="16"/>
  <c r="M12" i="61"/>
  <c r="P12" i="61" s="1"/>
  <c r="H10" i="22"/>
  <c r="I8" i="62" s="1"/>
  <c r="L10" i="22"/>
  <c r="E10" i="22"/>
  <c r="K10" i="22"/>
  <c r="J10" i="22"/>
  <c r="I8" i="64" s="1"/>
  <c r="I10" i="22"/>
  <c r="I8" i="63" s="1"/>
  <c r="F10" i="22"/>
  <c r="D10" i="22"/>
  <c r="L8" i="58" s="1"/>
  <c r="G10" i="22"/>
  <c r="I8" i="61" s="1"/>
  <c r="L8" i="57"/>
  <c r="J11" i="60"/>
  <c r="J13" i="60" s="1"/>
  <c r="J13" i="59"/>
  <c r="E13" i="64"/>
  <c r="J11" i="63"/>
  <c r="J13" i="63" s="1"/>
  <c r="W11" i="58"/>
  <c r="W13" i="58" s="1"/>
  <c r="P5" i="58"/>
  <c r="F13" i="58"/>
  <c r="F11" i="59"/>
  <c r="F13" i="59" s="1"/>
  <c r="E11" i="71"/>
  <c r="E13" i="71" s="1"/>
  <c r="K11" i="61"/>
  <c r="K13" i="61" s="1"/>
  <c r="L14" i="15"/>
  <c r="L14" i="17"/>
  <c r="AA55" i="69"/>
  <c r="F7" i="60"/>
  <c r="Z56" i="69"/>
  <c r="K14" i="14"/>
  <c r="R56" i="69"/>
  <c r="D7" i="57"/>
  <c r="Q8" i="70"/>
  <c r="Q8" i="60"/>
  <c r="Q8" i="61"/>
  <c r="X8" i="61" s="1"/>
  <c r="Q8" i="62"/>
  <c r="Q8" i="64"/>
  <c r="Q8" i="63"/>
  <c r="G7" i="58"/>
  <c r="M12" i="58"/>
  <c r="Q12" i="62"/>
  <c r="X12" i="62" s="1"/>
  <c r="Q12" i="57"/>
  <c r="X12" i="57" s="1"/>
  <c r="Q12" i="63"/>
  <c r="X12" i="63" s="1"/>
  <c r="Q12" i="58"/>
  <c r="X12" i="58" s="1"/>
  <c r="Q12" i="64"/>
  <c r="X12" i="64" s="1"/>
  <c r="Q12" i="59"/>
  <c r="X12" i="59" s="1"/>
  <c r="Q12" i="70"/>
  <c r="Q12" i="61"/>
  <c r="X12" i="61" s="1"/>
  <c r="Q12" i="60"/>
  <c r="X12" i="60" s="1"/>
  <c r="N7" i="58"/>
  <c r="N7" i="59"/>
  <c r="N7" i="61"/>
  <c r="N7" i="63"/>
  <c r="N7" i="60"/>
  <c r="N7" i="57"/>
  <c r="N7" i="62"/>
  <c r="M7" i="58"/>
  <c r="M11" i="58" s="1"/>
  <c r="M7" i="57"/>
  <c r="M11" i="57" s="1"/>
  <c r="Q5" i="70"/>
  <c r="Q7" i="62"/>
  <c r="X7" i="62" s="1"/>
  <c r="Q7" i="57"/>
  <c r="X7" i="57" s="1"/>
  <c r="Q7" i="63"/>
  <c r="X7" i="63" s="1"/>
  <c r="Q7" i="58"/>
  <c r="X7" i="58" s="1"/>
  <c r="Q7" i="64"/>
  <c r="X7" i="64" s="1"/>
  <c r="Q7" i="59"/>
  <c r="X7" i="59" s="1"/>
  <c r="Q7" i="70"/>
  <c r="X7" i="70" s="1"/>
  <c r="Q7" i="61"/>
  <c r="X7" i="61" s="1"/>
  <c r="Q7" i="60"/>
  <c r="X7" i="60" s="1"/>
  <c r="AA51" i="69"/>
  <c r="P5" i="57"/>
  <c r="K58" i="52"/>
  <c r="K15" i="69" s="1"/>
  <c r="K59" i="69" s="1"/>
  <c r="C16" i="22" s="1"/>
  <c r="O59" i="52"/>
  <c r="S65" i="52"/>
  <c r="S22" i="69" s="1"/>
  <c r="S66" i="69" s="1"/>
  <c r="C23" i="17" s="1"/>
  <c r="Q23" i="57" s="1"/>
  <c r="S58" i="52"/>
  <c r="P65" i="52"/>
  <c r="P22" i="69" s="1"/>
  <c r="P66" i="69" s="1"/>
  <c r="C23" i="15" s="1"/>
  <c r="N23" i="57" s="1"/>
  <c r="W65" i="52"/>
  <c r="W22" i="69" s="1"/>
  <c r="W66" i="69" s="1"/>
  <c r="C23" i="21" s="1"/>
  <c r="U23" i="57" s="1"/>
  <c r="X60" i="52"/>
  <c r="X17" i="69" s="1"/>
  <c r="X61" i="69" s="1"/>
  <c r="C18" i="24" s="1"/>
  <c r="V17" i="57" s="1"/>
  <c r="X59" i="52"/>
  <c r="X16" i="69" s="1"/>
  <c r="X60" i="69" s="1"/>
  <c r="C17" i="24" s="1"/>
  <c r="V16" i="57" s="1"/>
  <c r="V59" i="52"/>
  <c r="V16" i="69" s="1"/>
  <c r="V60" i="69" s="1"/>
  <c r="C17" i="20" s="1"/>
  <c r="T16" i="57" s="1"/>
  <c r="T62" i="52"/>
  <c r="T19" i="69" s="1"/>
  <c r="T63" i="69" s="1"/>
  <c r="C20" i="18" s="1"/>
  <c r="R20" i="57" s="1"/>
  <c r="T63" i="52"/>
  <c r="T20" i="69" s="1"/>
  <c r="T64" i="69" s="1"/>
  <c r="C21" i="18" s="1"/>
  <c r="R21" i="57" s="1"/>
  <c r="Q61" i="52"/>
  <c r="Q18" i="69" s="1"/>
  <c r="Q62" i="69" s="1"/>
  <c r="C19" i="14" s="1"/>
  <c r="O19" i="57" s="1"/>
  <c r="Q58" i="52"/>
  <c r="Q15" i="69" s="1"/>
  <c r="F65" i="52"/>
  <c r="F22" i="69" s="1"/>
  <c r="F66" i="69" s="1"/>
  <c r="C23" i="4" s="1"/>
  <c r="D23" i="57" s="1"/>
  <c r="J60" i="52"/>
  <c r="J17" i="69" s="1"/>
  <c r="J61" i="69" s="1"/>
  <c r="C18" i="11" s="1"/>
  <c r="H17" i="57" s="1"/>
  <c r="J57" i="52"/>
  <c r="J14" i="69" s="1"/>
  <c r="J58" i="69" s="1"/>
  <c r="C15" i="11" s="1"/>
  <c r="H14" i="57" s="1"/>
  <c r="H60" i="52"/>
  <c r="H17" i="69" s="1"/>
  <c r="H61" i="69" s="1"/>
  <c r="C18" i="8" s="1"/>
  <c r="F17" i="57" s="1"/>
  <c r="H65" i="52"/>
  <c r="H22" i="69" s="1"/>
  <c r="H66" i="69" s="1"/>
  <c r="C23" i="8" s="1"/>
  <c r="F23" i="57" s="1"/>
  <c r="L62" i="52"/>
  <c r="L19" i="69" s="1"/>
  <c r="L63" i="69" s="1"/>
  <c r="C20" i="12" s="1"/>
  <c r="L57" i="52"/>
  <c r="L14" i="69" s="1"/>
  <c r="L58" i="69" s="1"/>
  <c r="C15" i="12" s="1"/>
  <c r="J14" i="57" s="1"/>
  <c r="M64" i="52"/>
  <c r="M21" i="69" s="1"/>
  <c r="I59" i="52"/>
  <c r="I16" i="69" s="1"/>
  <c r="I60" i="69" s="1"/>
  <c r="C17" i="7" s="1"/>
  <c r="G16" i="57" s="1"/>
  <c r="I60" i="52"/>
  <c r="I17" i="69" s="1"/>
  <c r="I61" i="69" s="1"/>
  <c r="C18" i="7" s="1"/>
  <c r="G17" i="57" s="1"/>
  <c r="E61" i="52"/>
  <c r="E18" i="69" s="1"/>
  <c r="E64" i="52"/>
  <c r="E21" i="69" s="1"/>
  <c r="U65" i="52"/>
  <c r="Y59" i="52"/>
  <c r="Y16" i="69" s="1"/>
  <c r="Y60" i="69" s="1"/>
  <c r="C17" i="23" s="1"/>
  <c r="W16" i="57" s="1"/>
  <c r="Y58" i="52"/>
  <c r="Y15" i="69" s="1"/>
  <c r="Y59" i="69" s="1"/>
  <c r="C16" i="23" s="1"/>
  <c r="W15" i="57" s="1"/>
  <c r="G60" i="52"/>
  <c r="G17" i="69" s="1"/>
  <c r="G61" i="69" s="1"/>
  <c r="C18" i="6" s="1"/>
  <c r="E17" i="57" s="1"/>
  <c r="G61" i="52"/>
  <c r="G18" i="69" s="1"/>
  <c r="G62" i="69" s="1"/>
  <c r="C19" i="6" s="1"/>
  <c r="K57" i="52"/>
  <c r="K14" i="69" s="1"/>
  <c r="K58" i="69" s="1"/>
  <c r="C15" i="22" s="1"/>
  <c r="I14" i="57" s="1"/>
  <c r="K60" i="52"/>
  <c r="K17" i="69" s="1"/>
  <c r="K61" i="69" s="1"/>
  <c r="C18" i="22" s="1"/>
  <c r="I17" i="57" s="1"/>
  <c r="O58" i="52"/>
  <c r="O61" i="52"/>
  <c r="S60" i="52"/>
  <c r="S64" i="52"/>
  <c r="P57" i="52"/>
  <c r="P14" i="69" s="1"/>
  <c r="P58" i="69" s="1"/>
  <c r="C15" i="15" s="1"/>
  <c r="N14" i="57" s="1"/>
  <c r="W63" i="52"/>
  <c r="W20" i="69" s="1"/>
  <c r="W64" i="69" s="1"/>
  <c r="C21" i="21" s="1"/>
  <c r="U21" i="57" s="1"/>
  <c r="X58" i="52"/>
  <c r="X15" i="69" s="1"/>
  <c r="X59" i="69" s="1"/>
  <c r="C16" i="24" s="1"/>
  <c r="V15" i="57" s="1"/>
  <c r="X65" i="52"/>
  <c r="X22" i="69" s="1"/>
  <c r="X66" i="69" s="1"/>
  <c r="C23" i="24" s="1"/>
  <c r="V23" i="57" s="1"/>
  <c r="V65" i="52"/>
  <c r="V22" i="69" s="1"/>
  <c r="V66" i="69" s="1"/>
  <c r="C23" i="20" s="1"/>
  <c r="T23" i="57" s="1"/>
  <c r="T59" i="52"/>
  <c r="T16" i="69" s="1"/>
  <c r="T60" i="69" s="1"/>
  <c r="C17" i="18" s="1"/>
  <c r="R16" i="57" s="1"/>
  <c r="Q63" i="52"/>
  <c r="Q20" i="69" s="1"/>
  <c r="Q64" i="69" s="1"/>
  <c r="C21" i="14" s="1"/>
  <c r="O21" i="57" s="1"/>
  <c r="F59" i="52"/>
  <c r="F16" i="69" s="1"/>
  <c r="F60" i="69" s="1"/>
  <c r="C17" i="4" s="1"/>
  <c r="D16" i="57" s="1"/>
  <c r="J59" i="52"/>
  <c r="J16" i="69" s="1"/>
  <c r="J60" i="69" s="1"/>
  <c r="C17" i="11" s="1"/>
  <c r="H16" i="57" s="1"/>
  <c r="H18" i="57" s="1"/>
  <c r="J62" i="52"/>
  <c r="J19" i="69" s="1"/>
  <c r="J63" i="69" s="1"/>
  <c r="C20" i="11" s="1"/>
  <c r="H20" i="57" s="1"/>
  <c r="H62" i="52"/>
  <c r="H19" i="69" s="1"/>
  <c r="H63" i="69" s="1"/>
  <c r="C20" i="8" s="1"/>
  <c r="F20" i="57" s="1"/>
  <c r="L64" i="52"/>
  <c r="L21" i="69" s="1"/>
  <c r="M59" i="52"/>
  <c r="M16" i="69" s="1"/>
  <c r="M60" i="69" s="1"/>
  <c r="C17" i="13" s="1"/>
  <c r="K16" i="57" s="1"/>
  <c r="I61" i="52"/>
  <c r="I18" i="69" s="1"/>
  <c r="I62" i="69" s="1"/>
  <c r="C19" i="7" s="1"/>
  <c r="G19" i="57" s="1"/>
  <c r="I62" i="52"/>
  <c r="I19" i="69" s="1"/>
  <c r="I63" i="69" s="1"/>
  <c r="C20" i="7" s="1"/>
  <c r="G20" i="57" s="1"/>
  <c r="E63" i="52"/>
  <c r="E20" i="69" s="1"/>
  <c r="U57" i="52"/>
  <c r="U14" i="69" s="1"/>
  <c r="U58" i="69" s="1"/>
  <c r="C15" i="19" s="1"/>
  <c r="Y65" i="52"/>
  <c r="Y22" i="69" s="1"/>
  <c r="Y66" i="69" s="1"/>
  <c r="C23" i="23" s="1"/>
  <c r="W23" i="57" s="1"/>
  <c r="Y64" i="52"/>
  <c r="Y21" i="69" s="1"/>
  <c r="G62" i="52"/>
  <c r="G19" i="69" s="1"/>
  <c r="G63" i="69" s="1"/>
  <c r="C20" i="6" s="1"/>
  <c r="K59" i="52"/>
  <c r="K16" i="69" s="1"/>
  <c r="K60" i="69" s="1"/>
  <c r="C17" i="22" s="1"/>
  <c r="I16" i="57" s="1"/>
  <c r="K62" i="52"/>
  <c r="K19" i="69" s="1"/>
  <c r="K63" i="69" s="1"/>
  <c r="C20" i="22" s="1"/>
  <c r="I20" i="57" s="1"/>
  <c r="O60" i="52"/>
  <c r="O63" i="52"/>
  <c r="S57" i="52"/>
  <c r="S14" i="69" s="1"/>
  <c r="S58" i="69" s="1"/>
  <c r="C15" i="17" s="1"/>
  <c r="Q14" i="57" s="1"/>
  <c r="P58" i="52"/>
  <c r="P15" i="69" s="1"/>
  <c r="P59" i="69" s="1"/>
  <c r="C16" i="15" s="1"/>
  <c r="N15" i="57" s="1"/>
  <c r="W61" i="52"/>
  <c r="W18" i="69" s="1"/>
  <c r="W62" i="69" s="1"/>
  <c r="C19" i="21" s="1"/>
  <c r="U19" i="57" s="1"/>
  <c r="W58" i="52"/>
  <c r="W15" i="69" s="1"/>
  <c r="W59" i="69" s="1"/>
  <c r="C16" i="21" s="1"/>
  <c r="U15" i="57" s="1"/>
  <c r="X61" i="52"/>
  <c r="X18" i="69" s="1"/>
  <c r="X62" i="69" s="1"/>
  <c r="C19" i="24" s="1"/>
  <c r="X57" i="52"/>
  <c r="X14" i="69" s="1"/>
  <c r="X58" i="69" s="1"/>
  <c r="C15" i="24" s="1"/>
  <c r="V14" i="57" s="1"/>
  <c r="V62" i="52"/>
  <c r="V19" i="69" s="1"/>
  <c r="V57" i="52"/>
  <c r="V14" i="69" s="1"/>
  <c r="V58" i="69" s="1"/>
  <c r="C15" i="20" s="1"/>
  <c r="T14" i="57" s="1"/>
  <c r="T65" i="52"/>
  <c r="T22" i="69" s="1"/>
  <c r="T66" i="69" s="1"/>
  <c r="C23" i="18" s="1"/>
  <c r="R23" i="57" s="1"/>
  <c r="Q65" i="52"/>
  <c r="Q22" i="69" s="1"/>
  <c r="Q66" i="69" s="1"/>
  <c r="C23" i="14" s="1"/>
  <c r="F58" i="52"/>
  <c r="F15" i="69" s="1"/>
  <c r="F59" i="69" s="1"/>
  <c r="C16" i="4" s="1"/>
  <c r="D15" i="57" s="1"/>
  <c r="F61" i="52"/>
  <c r="F18" i="69" s="1"/>
  <c r="F62" i="69" s="1"/>
  <c r="C19" i="4" s="1"/>
  <c r="D19" i="57" s="1"/>
  <c r="J61" i="52"/>
  <c r="J18" i="69" s="1"/>
  <c r="J62" i="69" s="1"/>
  <c r="C19" i="11" s="1"/>
  <c r="J64" i="52"/>
  <c r="J21" i="69" s="1"/>
  <c r="H64" i="52"/>
  <c r="H21" i="69" s="1"/>
  <c r="L59" i="52"/>
  <c r="L16" i="69" s="1"/>
  <c r="L60" i="69" s="1"/>
  <c r="C17" i="12" s="1"/>
  <c r="J16" i="57" s="1"/>
  <c r="M57" i="52"/>
  <c r="M14" i="69" s="1"/>
  <c r="M58" i="69" s="1"/>
  <c r="C15" i="13" s="1"/>
  <c r="K14" i="57" s="1"/>
  <c r="M63" i="52"/>
  <c r="M20" i="69" s="1"/>
  <c r="M64" i="69" s="1"/>
  <c r="C21" i="13" s="1"/>
  <c r="K21" i="57" s="1"/>
  <c r="I63" i="52"/>
  <c r="I20" i="69" s="1"/>
  <c r="I64" i="69" s="1"/>
  <c r="C21" i="7" s="1"/>
  <c r="G21" i="57" s="1"/>
  <c r="I64" i="52"/>
  <c r="I21" i="69" s="1"/>
  <c r="E65" i="52"/>
  <c r="E22" i="69" s="1"/>
  <c r="E66" i="69" s="1"/>
  <c r="C23" i="9" s="1"/>
  <c r="C23" i="57" s="1"/>
  <c r="U63" i="52"/>
  <c r="U20" i="69" s="1"/>
  <c r="U64" i="69" s="1"/>
  <c r="C21" i="19" s="1"/>
  <c r="S21" i="57" s="1"/>
  <c r="U60" i="52"/>
  <c r="U17" i="69" s="1"/>
  <c r="U61" i="69" s="1"/>
  <c r="C18" i="19" s="1"/>
  <c r="Y57" i="52"/>
  <c r="Y14" i="69" s="1"/>
  <c r="Y58" i="69" s="1"/>
  <c r="C15" i="23" s="1"/>
  <c r="W14" i="57" s="1"/>
  <c r="Y63" i="52"/>
  <c r="Y20" i="69" s="1"/>
  <c r="Y64" i="69" s="1"/>
  <c r="C21" i="23" s="1"/>
  <c r="W21" i="57" s="1"/>
  <c r="G64" i="52"/>
  <c r="G21" i="69" s="1"/>
  <c r="K61" i="52"/>
  <c r="K18" i="69" s="1"/>
  <c r="K62" i="69" s="1"/>
  <c r="C19" i="22" s="1"/>
  <c r="I19" i="57" s="1"/>
  <c r="K64" i="52"/>
  <c r="K21" i="69" s="1"/>
  <c r="O62" i="52"/>
  <c r="O65" i="52"/>
  <c r="S61" i="52"/>
  <c r="S18" i="69" s="1"/>
  <c r="S62" i="69" s="1"/>
  <c r="C19" i="17" s="1"/>
  <c r="P59" i="52"/>
  <c r="P16" i="69" s="1"/>
  <c r="P60" i="69" s="1"/>
  <c r="C17" i="15" s="1"/>
  <c r="N16" i="57" s="1"/>
  <c r="P60" i="52"/>
  <c r="P17" i="69" s="1"/>
  <c r="W59" i="52"/>
  <c r="W16" i="69" s="1"/>
  <c r="W60" i="69" s="1"/>
  <c r="C17" i="21" s="1"/>
  <c r="U16" i="57" s="1"/>
  <c r="W64" i="52"/>
  <c r="W21" i="69" s="1"/>
  <c r="X62" i="52"/>
  <c r="X19" i="69" s="1"/>
  <c r="X63" i="69" s="1"/>
  <c r="C20" i="24" s="1"/>
  <c r="V20" i="57" s="1"/>
  <c r="V63" i="52"/>
  <c r="V20" i="69" s="1"/>
  <c r="V64" i="69" s="1"/>
  <c r="C21" i="20" s="1"/>
  <c r="T21" i="57" s="1"/>
  <c r="V60" i="52"/>
  <c r="V17" i="69" s="1"/>
  <c r="V61" i="69" s="1"/>
  <c r="C18" i="20" s="1"/>
  <c r="T17" i="57" s="1"/>
  <c r="T57" i="52"/>
  <c r="T14" i="69" s="1"/>
  <c r="T58" i="69" s="1"/>
  <c r="C15" i="18" s="1"/>
  <c r="Q62" i="52"/>
  <c r="Q19" i="69" s="1"/>
  <c r="F60" i="52"/>
  <c r="F17" i="69" s="1"/>
  <c r="F61" i="69" s="1"/>
  <c r="C18" i="4" s="1"/>
  <c r="F63" i="52"/>
  <c r="F20" i="69" s="1"/>
  <c r="F64" i="69" s="1"/>
  <c r="C21" i="4" s="1"/>
  <c r="D21" i="57" s="1"/>
  <c r="J63" i="52"/>
  <c r="J20" i="69" s="1"/>
  <c r="J64" i="69" s="1"/>
  <c r="C21" i="11" s="1"/>
  <c r="H21" i="57" s="1"/>
  <c r="H59" i="52"/>
  <c r="H16" i="69" s="1"/>
  <c r="H60" i="69" s="1"/>
  <c r="C17" i="8" s="1"/>
  <c r="F16" i="57" s="1"/>
  <c r="L61" i="52"/>
  <c r="L18" i="69" s="1"/>
  <c r="L62" i="69" s="1"/>
  <c r="C19" i="12" s="1"/>
  <c r="M58" i="52"/>
  <c r="M15" i="69" s="1"/>
  <c r="M59" i="69" s="1"/>
  <c r="C16" i="13" s="1"/>
  <c r="K15" i="57" s="1"/>
  <c r="M65" i="52"/>
  <c r="M22" i="69" s="1"/>
  <c r="M66" i="69" s="1"/>
  <c r="C23" i="13" s="1"/>
  <c r="I65" i="52"/>
  <c r="I22" i="69" s="1"/>
  <c r="I66" i="69" s="1"/>
  <c r="C23" i="7" s="1"/>
  <c r="E58" i="52"/>
  <c r="E15" i="69" s="1"/>
  <c r="U58" i="52"/>
  <c r="U15" i="69" s="1"/>
  <c r="U59" i="69" s="1"/>
  <c r="C16" i="19" s="1"/>
  <c r="S15" i="57" s="1"/>
  <c r="U61" i="52"/>
  <c r="Y60" i="52"/>
  <c r="Y17" i="69" s="1"/>
  <c r="Y61" i="69" s="1"/>
  <c r="C18" i="23" s="1"/>
  <c r="W17" i="57" s="1"/>
  <c r="G65" i="52"/>
  <c r="G22" i="69" s="1"/>
  <c r="G66" i="69" s="1"/>
  <c r="C23" i="6" s="1"/>
  <c r="E23" i="57" s="1"/>
  <c r="K63" i="52"/>
  <c r="K20" i="69" s="1"/>
  <c r="K64" i="69" s="1"/>
  <c r="C21" i="22" s="1"/>
  <c r="I21" i="57" s="1"/>
  <c r="O64" i="52"/>
  <c r="S62" i="52"/>
  <c r="P61" i="52"/>
  <c r="P18" i="69" s="1"/>
  <c r="P62" i="69" s="1"/>
  <c r="C19" i="15" s="1"/>
  <c r="P62" i="52"/>
  <c r="P19" i="69" s="1"/>
  <c r="P63" i="69" s="1"/>
  <c r="C20" i="15" s="1"/>
  <c r="W57" i="52"/>
  <c r="W14" i="69" s="1"/>
  <c r="W60" i="52"/>
  <c r="W17" i="69" s="1"/>
  <c r="W61" i="69" s="1"/>
  <c r="C18" i="21" s="1"/>
  <c r="U17" i="57" s="1"/>
  <c r="X64" i="52"/>
  <c r="X21" i="69" s="1"/>
  <c r="V58" i="52"/>
  <c r="V15" i="69" s="1"/>
  <c r="V61" i="52"/>
  <c r="V18" i="69" s="1"/>
  <c r="V62" i="69" s="1"/>
  <c r="C19" i="20" s="1"/>
  <c r="T58" i="52"/>
  <c r="T15" i="69" s="1"/>
  <c r="T59" i="69" s="1"/>
  <c r="C16" i="18" s="1"/>
  <c r="R15" i="57" s="1"/>
  <c r="T60" i="52"/>
  <c r="T17" i="69" s="1"/>
  <c r="T61" i="69" s="1"/>
  <c r="C18" i="18" s="1"/>
  <c r="R17" i="57" s="1"/>
  <c r="Q64" i="52"/>
  <c r="Q21" i="69" s="1"/>
  <c r="Q60" i="52"/>
  <c r="Q17" i="69" s="1"/>
  <c r="Q61" i="69" s="1"/>
  <c r="C18" i="14" s="1"/>
  <c r="F62" i="52"/>
  <c r="F19" i="69" s="1"/>
  <c r="F63" i="69" s="1"/>
  <c r="C20" i="4" s="1"/>
  <c r="D20" i="57" s="1"/>
  <c r="F57" i="52"/>
  <c r="F14" i="69" s="1"/>
  <c r="F58" i="69" s="1"/>
  <c r="C15" i="4" s="1"/>
  <c r="J65" i="52"/>
  <c r="J22" i="69" s="1"/>
  <c r="J66" i="69" s="1"/>
  <c r="C23" i="11" s="1"/>
  <c r="H23" i="57" s="1"/>
  <c r="H57" i="52"/>
  <c r="H14" i="69" s="1"/>
  <c r="H58" i="69" s="1"/>
  <c r="C15" i="8" s="1"/>
  <c r="F14" i="57" s="1"/>
  <c r="H61" i="52"/>
  <c r="H18" i="69" s="1"/>
  <c r="H62" i="69" s="1"/>
  <c r="C19" i="8" s="1"/>
  <c r="L58" i="52"/>
  <c r="L15" i="69" s="1"/>
  <c r="L59" i="69" s="1"/>
  <c r="C16" i="12" s="1"/>
  <c r="J15" i="57" s="1"/>
  <c r="L63" i="52"/>
  <c r="L20" i="69" s="1"/>
  <c r="L64" i="69" s="1"/>
  <c r="C21" i="12" s="1"/>
  <c r="J21" i="57" s="1"/>
  <c r="M60" i="52"/>
  <c r="M17" i="69" s="1"/>
  <c r="M61" i="69" s="1"/>
  <c r="C18" i="13" s="1"/>
  <c r="K17" i="57" s="1"/>
  <c r="M61" i="52"/>
  <c r="M18" i="69" s="1"/>
  <c r="M62" i="69" s="1"/>
  <c r="C19" i="13" s="1"/>
  <c r="I57" i="52"/>
  <c r="I14" i="69" s="1"/>
  <c r="I58" i="69" s="1"/>
  <c r="C15" i="7" s="1"/>
  <c r="E57" i="52"/>
  <c r="E14" i="69" s="1"/>
  <c r="E60" i="52"/>
  <c r="E17" i="69" s="1"/>
  <c r="U64" i="52"/>
  <c r="U21" i="69" s="1"/>
  <c r="U62" i="52"/>
  <c r="U19" i="69" s="1"/>
  <c r="U63" i="69" s="1"/>
  <c r="C20" i="19" s="1"/>
  <c r="S20" i="57" s="1"/>
  <c r="Y61" i="52"/>
  <c r="Y18" i="69" s="1"/>
  <c r="Y62" i="69" s="1"/>
  <c r="C19" i="23" s="1"/>
  <c r="G57" i="52"/>
  <c r="G14" i="69" s="1"/>
  <c r="G58" i="69" s="1"/>
  <c r="C15" i="6" s="1"/>
  <c r="E14" i="57" s="1"/>
  <c r="G63" i="52"/>
  <c r="G20" i="69" s="1"/>
  <c r="G64" i="69" s="1"/>
  <c r="C21" i="6" s="1"/>
  <c r="E21" i="57" s="1"/>
  <c r="K65" i="52"/>
  <c r="K22" i="69" s="1"/>
  <c r="K66" i="69" s="1"/>
  <c r="C23" i="22" s="1"/>
  <c r="O57" i="52"/>
  <c r="O14" i="69" s="1"/>
  <c r="O58" i="69" s="1"/>
  <c r="C15" i="16" s="1"/>
  <c r="M14" i="57" s="1"/>
  <c r="S59" i="52"/>
  <c r="S63" i="52"/>
  <c r="P63" i="52"/>
  <c r="P20" i="69" s="1"/>
  <c r="P64" i="69" s="1"/>
  <c r="C21" i="15" s="1"/>
  <c r="N21" i="57" s="1"/>
  <c r="P64" i="52"/>
  <c r="P21" i="69" s="1"/>
  <c r="W62" i="52"/>
  <c r="W19" i="69" s="1"/>
  <c r="W63" i="69" s="1"/>
  <c r="C20" i="21" s="1"/>
  <c r="U20" i="57" s="1"/>
  <c r="X63" i="52"/>
  <c r="X20" i="69" s="1"/>
  <c r="X64" i="69" s="1"/>
  <c r="C21" i="24" s="1"/>
  <c r="V21" i="57" s="1"/>
  <c r="V64" i="52"/>
  <c r="V21" i="69" s="1"/>
  <c r="T64" i="52"/>
  <c r="T21" i="69" s="1"/>
  <c r="T61" i="52"/>
  <c r="T18" i="69" s="1"/>
  <c r="Q59" i="52"/>
  <c r="Q16" i="69" s="1"/>
  <c r="Q60" i="69" s="1"/>
  <c r="C17" i="14" s="1"/>
  <c r="O16" i="57" s="1"/>
  <c r="Q57" i="52"/>
  <c r="Q14" i="69" s="1"/>
  <c r="F64" i="52"/>
  <c r="F21" i="69" s="1"/>
  <c r="J58" i="52"/>
  <c r="J15" i="69" s="1"/>
  <c r="J59" i="69" s="1"/>
  <c r="C16" i="11" s="1"/>
  <c r="H15" i="57" s="1"/>
  <c r="H58" i="52"/>
  <c r="H15" i="69" s="1"/>
  <c r="H59" i="69" s="1"/>
  <c r="C16" i="8" s="1"/>
  <c r="H63" i="52"/>
  <c r="H20" i="69" s="1"/>
  <c r="H64" i="69" s="1"/>
  <c r="C21" i="8" s="1"/>
  <c r="F21" i="57" s="1"/>
  <c r="L60" i="52"/>
  <c r="L17" i="69" s="1"/>
  <c r="L61" i="69" s="1"/>
  <c r="C18" i="12" s="1"/>
  <c r="J17" i="57" s="1"/>
  <c r="L65" i="52"/>
  <c r="L22" i="69" s="1"/>
  <c r="L66" i="69" s="1"/>
  <c r="C23" i="12" s="1"/>
  <c r="M62" i="52"/>
  <c r="M19" i="69" s="1"/>
  <c r="M63" i="69" s="1"/>
  <c r="C20" i="13" s="1"/>
  <c r="I58" i="52"/>
  <c r="I15" i="69" s="1"/>
  <c r="I59" i="69" s="1"/>
  <c r="C16" i="7" s="1"/>
  <c r="G15" i="57" s="1"/>
  <c r="E59" i="52"/>
  <c r="E62" i="52"/>
  <c r="U59" i="52"/>
  <c r="U16" i="69" s="1"/>
  <c r="U60" i="69" s="1"/>
  <c r="C17" i="19" s="1"/>
  <c r="S16" i="57" s="1"/>
  <c r="Y62" i="52"/>
  <c r="Y19" i="69" s="1"/>
  <c r="Y63" i="69" s="1"/>
  <c r="C20" i="23" s="1"/>
  <c r="W20" i="57" s="1"/>
  <c r="G58" i="52"/>
  <c r="G15" i="69" s="1"/>
  <c r="G59" i="69" s="1"/>
  <c r="C16" i="6" s="1"/>
  <c r="E15" i="57" s="1"/>
  <c r="G59" i="52"/>
  <c r="G16" i="69" s="1"/>
  <c r="G60" i="69" s="1"/>
  <c r="C17" i="6" s="1"/>
  <c r="E16" i="57" s="1"/>
  <c r="D12" i="58"/>
  <c r="L12" i="58" s="1"/>
  <c r="I7" i="58"/>
  <c r="I7" i="64"/>
  <c r="O7" i="60"/>
  <c r="O11" i="60" s="1"/>
  <c r="O7" i="58"/>
  <c r="O11" i="58" s="1"/>
  <c r="O7" i="61"/>
  <c r="O11" i="61" s="1"/>
  <c r="O7" i="57"/>
  <c r="O11" i="57" s="1"/>
  <c r="O7" i="63"/>
  <c r="O11" i="63" s="1"/>
  <c r="O7" i="62"/>
  <c r="O11" i="62" s="1"/>
  <c r="O11" i="59"/>
  <c r="X5" i="58"/>
  <c r="Q5" i="64"/>
  <c r="J14" i="17"/>
  <c r="X5" i="57"/>
  <c r="W5" i="59"/>
  <c r="L6" i="59"/>
  <c r="Y6" i="59" s="1"/>
  <c r="E6" i="35" s="1"/>
  <c r="F45" i="35" s="1"/>
  <c r="G14" i="9"/>
  <c r="C6" i="60"/>
  <c r="C11" i="60" s="1"/>
  <c r="X6" i="61"/>
  <c r="W6" i="62"/>
  <c r="H8" i="60"/>
  <c r="L8" i="59"/>
  <c r="H13" i="58"/>
  <c r="X8" i="63" l="1"/>
  <c r="X8" i="62"/>
  <c r="X8" i="60"/>
  <c r="W18" i="57"/>
  <c r="T8" i="64"/>
  <c r="T11" i="64" s="1"/>
  <c r="T13" i="64" s="1"/>
  <c r="J14" i="20"/>
  <c r="V8" i="64"/>
  <c r="V11" i="64" s="1"/>
  <c r="V13" i="64" s="1"/>
  <c r="J14" i="24"/>
  <c r="S8" i="70"/>
  <c r="S11" i="70" s="1"/>
  <c r="S13" i="70" s="1"/>
  <c r="K14" i="19"/>
  <c r="S8" i="71"/>
  <c r="S11" i="71" s="1"/>
  <c r="S13" i="71" s="1"/>
  <c r="L14" i="19"/>
  <c r="V8" i="71"/>
  <c r="V11" i="71" s="1"/>
  <c r="V13" i="71" s="1"/>
  <c r="L14" i="24"/>
  <c r="X8" i="57"/>
  <c r="Y8" i="57" s="1"/>
  <c r="C8" i="35" s="1"/>
  <c r="T8" i="71"/>
  <c r="T11" i="71" s="1"/>
  <c r="T13" i="71" s="1"/>
  <c r="L14" i="20"/>
  <c r="V8" i="70"/>
  <c r="V11" i="70" s="1"/>
  <c r="V13" i="70" s="1"/>
  <c r="K14" i="24"/>
  <c r="U8" i="70"/>
  <c r="U11" i="70" s="1"/>
  <c r="U13" i="70" s="1"/>
  <c r="K14" i="21"/>
  <c r="U8" i="64"/>
  <c r="U11" i="64" s="1"/>
  <c r="U13" i="64" s="1"/>
  <c r="J14" i="21"/>
  <c r="R8" i="70"/>
  <c r="R11" i="70" s="1"/>
  <c r="R13" i="70" s="1"/>
  <c r="K14" i="18"/>
  <c r="R8" i="71"/>
  <c r="L14" i="18"/>
  <c r="X8" i="59"/>
  <c r="U8" i="71"/>
  <c r="U11" i="71" s="1"/>
  <c r="U13" i="71" s="1"/>
  <c r="L14" i="21"/>
  <c r="S8" i="64"/>
  <c r="S11" i="64" s="1"/>
  <c r="S13" i="64" s="1"/>
  <c r="J14" i="19"/>
  <c r="X8" i="58"/>
  <c r="I13" i="16"/>
  <c r="M12" i="63" s="1"/>
  <c r="P12" i="63" s="1"/>
  <c r="M12" i="62"/>
  <c r="P12" i="62" s="1"/>
  <c r="T8" i="70"/>
  <c r="T11" i="70" s="1"/>
  <c r="T13" i="70" s="1"/>
  <c r="K14" i="20"/>
  <c r="P8" i="59"/>
  <c r="O8" i="71"/>
  <c r="O11" i="71" s="1"/>
  <c r="O13" i="71" s="1"/>
  <c r="L14" i="14"/>
  <c r="R8" i="64"/>
  <c r="R11" i="64" s="1"/>
  <c r="R13" i="64" s="1"/>
  <c r="J14" i="18"/>
  <c r="F18" i="57"/>
  <c r="Q11" i="64"/>
  <c r="Q13" i="64" s="1"/>
  <c r="G18" i="57"/>
  <c r="I18" i="57"/>
  <c r="Q11" i="62"/>
  <c r="Q13" i="62" s="1"/>
  <c r="Q11" i="61"/>
  <c r="Q13" i="61" s="1"/>
  <c r="Q11" i="58"/>
  <c r="Q13" i="58" s="1"/>
  <c r="X13" i="58" s="1"/>
  <c r="I8" i="70"/>
  <c r="I8" i="71"/>
  <c r="L8" i="60"/>
  <c r="R18" i="57"/>
  <c r="E19" i="57"/>
  <c r="D17" i="57"/>
  <c r="D18" i="57" s="1"/>
  <c r="V19" i="57"/>
  <c r="S14" i="57"/>
  <c r="E18" i="57"/>
  <c r="J18" i="57"/>
  <c r="K19" i="57"/>
  <c r="D14" i="57"/>
  <c r="T19" i="57"/>
  <c r="N19" i="57"/>
  <c r="J19" i="57"/>
  <c r="R14" i="57"/>
  <c r="T18" i="57"/>
  <c r="F19" i="57"/>
  <c r="W19" i="57"/>
  <c r="U18" i="57"/>
  <c r="V18" i="57"/>
  <c r="I18" i="14"/>
  <c r="O17" i="63" s="1"/>
  <c r="J18" i="14"/>
  <c r="L18" i="14"/>
  <c r="H18" i="14"/>
  <c r="O17" i="62" s="1"/>
  <c r="G18" i="14"/>
  <c r="F18" i="14"/>
  <c r="D18" i="14"/>
  <c r="O17" i="58" s="1"/>
  <c r="E18" i="14"/>
  <c r="O17" i="57"/>
  <c r="O18" i="57" s="1"/>
  <c r="Q19" i="57"/>
  <c r="H19" i="57"/>
  <c r="K18" i="57"/>
  <c r="I15" i="57"/>
  <c r="N11" i="60"/>
  <c r="N13" i="60" s="1"/>
  <c r="N11" i="62"/>
  <c r="N13" i="62" s="1"/>
  <c r="N11" i="58"/>
  <c r="N13" i="58" s="1"/>
  <c r="Q11" i="60"/>
  <c r="Q13" i="60" s="1"/>
  <c r="Q11" i="63"/>
  <c r="Q13" i="63" s="1"/>
  <c r="G11" i="58"/>
  <c r="G13" i="58" s="1"/>
  <c r="Q11" i="70"/>
  <c r="X11" i="70" s="1"/>
  <c r="N11" i="63"/>
  <c r="N13" i="63" s="1"/>
  <c r="N11" i="61"/>
  <c r="N13" i="61" s="1"/>
  <c r="W11" i="59"/>
  <c r="W13" i="59" s="1"/>
  <c r="N11" i="59"/>
  <c r="N13" i="59" s="1"/>
  <c r="F11" i="60"/>
  <c r="F13" i="60" s="1"/>
  <c r="Q11" i="59"/>
  <c r="Q13" i="59" s="1"/>
  <c r="N11" i="57"/>
  <c r="N13" i="57" s="1"/>
  <c r="Q11" i="57"/>
  <c r="G65" i="69"/>
  <c r="C22" i="6" s="1"/>
  <c r="C24" i="6" s="1"/>
  <c r="J65" i="69"/>
  <c r="C22" i="11" s="1"/>
  <c r="H22" i="57" s="1"/>
  <c r="H24" i="57" s="1"/>
  <c r="V65" i="69"/>
  <c r="C22" i="20" s="1"/>
  <c r="T22" i="57" s="1"/>
  <c r="T24" i="57" s="1"/>
  <c r="H65" i="69"/>
  <c r="C22" i="8" s="1"/>
  <c r="C24" i="8" s="1"/>
  <c r="M65" i="69"/>
  <c r="C22" i="13" s="1"/>
  <c r="C24" i="13" s="1"/>
  <c r="F65" i="69"/>
  <c r="C22" i="4" s="1"/>
  <c r="C24" i="4" s="1"/>
  <c r="N66" i="69"/>
  <c r="U65" i="69"/>
  <c r="C22" i="19" s="1"/>
  <c r="S22" i="57" s="1"/>
  <c r="X65" i="69"/>
  <c r="C22" i="24" s="1"/>
  <c r="V22" i="57" s="1"/>
  <c r="V24" i="57" s="1"/>
  <c r="Y65" i="69"/>
  <c r="C22" i="23" s="1"/>
  <c r="W22" i="57" s="1"/>
  <c r="W24" i="57" s="1"/>
  <c r="I65" i="69"/>
  <c r="C22" i="7" s="1"/>
  <c r="C24" i="7" s="1"/>
  <c r="Q65" i="69"/>
  <c r="C22" i="14" s="1"/>
  <c r="O22" i="57" s="1"/>
  <c r="L65" i="69"/>
  <c r="C22" i="12" s="1"/>
  <c r="C24" i="12" s="1"/>
  <c r="W65" i="69"/>
  <c r="C22" i="21" s="1"/>
  <c r="U22" i="57" s="1"/>
  <c r="U24" i="57" s="1"/>
  <c r="T65" i="69"/>
  <c r="C22" i="18" s="1"/>
  <c r="R22" i="57" s="1"/>
  <c r="R24" i="57" s="1"/>
  <c r="K65" i="69"/>
  <c r="C22" i="22" s="1"/>
  <c r="C24" i="22" s="1"/>
  <c r="N66" i="52"/>
  <c r="R66" i="52"/>
  <c r="Z66" i="52"/>
  <c r="Y8" i="58"/>
  <c r="D8" i="35" s="1"/>
  <c r="E47" i="35" s="1"/>
  <c r="R57" i="52"/>
  <c r="E19" i="69"/>
  <c r="N62" i="52"/>
  <c r="T62" i="69"/>
  <c r="C19" i="18" s="1"/>
  <c r="R19" i="57" s="1"/>
  <c r="G68" i="69"/>
  <c r="Z14" i="69"/>
  <c r="W58" i="69"/>
  <c r="O19" i="69"/>
  <c r="O63" i="69" s="1"/>
  <c r="C20" i="16" s="1"/>
  <c r="M20" i="57" s="1"/>
  <c r="R62" i="52"/>
  <c r="O17" i="69"/>
  <c r="O61" i="69" s="1"/>
  <c r="C18" i="16" s="1"/>
  <c r="M17" i="57" s="1"/>
  <c r="R60" i="52"/>
  <c r="Z60" i="52"/>
  <c r="S17" i="69"/>
  <c r="N58" i="52"/>
  <c r="E16" i="69"/>
  <c r="N59" i="52"/>
  <c r="Z63" i="52"/>
  <c r="S20" i="69"/>
  <c r="G16" i="8"/>
  <c r="F15" i="61" s="1"/>
  <c r="Q63" i="69"/>
  <c r="C20" i="14" s="1"/>
  <c r="E64" i="69"/>
  <c r="C21" i="9" s="1"/>
  <c r="C21" i="57" s="1"/>
  <c r="N20" i="69"/>
  <c r="O18" i="69"/>
  <c r="R61" i="52"/>
  <c r="S15" i="69"/>
  <c r="S59" i="69" s="1"/>
  <c r="C16" i="17" s="1"/>
  <c r="Q15" i="57" s="1"/>
  <c r="Z58" i="52"/>
  <c r="P7" i="71"/>
  <c r="M7" i="63"/>
  <c r="M7" i="62"/>
  <c r="M7" i="61"/>
  <c r="M7" i="60"/>
  <c r="M7" i="59"/>
  <c r="P12" i="58"/>
  <c r="Y12" i="58" s="1"/>
  <c r="D12" i="35" s="1"/>
  <c r="E51" i="35" s="1"/>
  <c r="M13" i="58"/>
  <c r="D14" i="4"/>
  <c r="D7" i="58"/>
  <c r="F15" i="57"/>
  <c r="D16" i="8"/>
  <c r="F15" i="58" s="1"/>
  <c r="Z59" i="52"/>
  <c r="S16" i="69"/>
  <c r="Z61" i="52"/>
  <c r="U18" i="69"/>
  <c r="U62" i="69" s="1"/>
  <c r="C19" i="19" s="1"/>
  <c r="S19" i="57" s="1"/>
  <c r="P61" i="69"/>
  <c r="C18" i="15" s="1"/>
  <c r="N17" i="57" s="1"/>
  <c r="N18" i="57" s="1"/>
  <c r="N22" i="69"/>
  <c r="O15" i="69"/>
  <c r="O59" i="69" s="1"/>
  <c r="C16" i="16" s="1"/>
  <c r="M15" i="57" s="1"/>
  <c r="R58" i="52"/>
  <c r="X12" i="70"/>
  <c r="P12" i="57"/>
  <c r="Y12" i="57" s="1"/>
  <c r="C12" i="35" s="1"/>
  <c r="M13" i="57"/>
  <c r="V59" i="69"/>
  <c r="C16" i="20" s="1"/>
  <c r="T15" i="57" s="1"/>
  <c r="J16" i="8"/>
  <c r="Z65" i="52"/>
  <c r="U22" i="69"/>
  <c r="U66" i="69" s="1"/>
  <c r="C23" i="19" s="1"/>
  <c r="S23" i="57" s="1"/>
  <c r="X23" i="57" s="1"/>
  <c r="L68" i="69"/>
  <c r="O16" i="69"/>
  <c r="R59" i="52"/>
  <c r="K14" i="17"/>
  <c r="N7" i="64"/>
  <c r="J14" i="15"/>
  <c r="D12" i="59"/>
  <c r="L12" i="59" s="1"/>
  <c r="Y12" i="59" s="1"/>
  <c r="E12" i="35" s="1"/>
  <c r="F51" i="35" s="1"/>
  <c r="R14" i="69"/>
  <c r="Q58" i="69"/>
  <c r="E61" i="69"/>
  <c r="C18" i="9" s="1"/>
  <c r="N17" i="69"/>
  <c r="F16" i="8"/>
  <c r="F15" i="60" s="1"/>
  <c r="O21" i="69"/>
  <c r="R64" i="52"/>
  <c r="E59" i="69"/>
  <c r="C16" i="9" s="1"/>
  <c r="C15" i="57" s="1"/>
  <c r="N15" i="69"/>
  <c r="V63" i="69"/>
  <c r="C20" i="20" s="1"/>
  <c r="T20" i="57" s="1"/>
  <c r="E65" i="69"/>
  <c r="C22" i="9" s="1"/>
  <c r="C22" i="57" s="1"/>
  <c r="N21" i="69"/>
  <c r="Q59" i="69"/>
  <c r="C16" i="14" s="1"/>
  <c r="O15" i="57" s="1"/>
  <c r="E16" i="8"/>
  <c r="F15" i="59" s="1"/>
  <c r="X5" i="70"/>
  <c r="G7" i="59"/>
  <c r="S19" i="69"/>
  <c r="S63" i="69" s="1"/>
  <c r="C20" i="17" s="1"/>
  <c r="Z62" i="52"/>
  <c r="P65" i="69"/>
  <c r="C22" i="15" s="1"/>
  <c r="N22" i="57" s="1"/>
  <c r="N24" i="57" s="1"/>
  <c r="E58" i="69"/>
  <c r="C15" i="9" s="1"/>
  <c r="N14" i="69"/>
  <c r="O22" i="69"/>
  <c r="O66" i="69" s="1"/>
  <c r="C23" i="16" s="1"/>
  <c r="M23" i="57" s="1"/>
  <c r="R65" i="52"/>
  <c r="O20" i="69"/>
  <c r="R63" i="52"/>
  <c r="Z64" i="52"/>
  <c r="S21" i="69"/>
  <c r="E62" i="69"/>
  <c r="C19" i="9" s="1"/>
  <c r="C19" i="57" s="1"/>
  <c r="N18" i="69"/>
  <c r="N7" i="70"/>
  <c r="K14" i="15"/>
  <c r="N65" i="52"/>
  <c r="N61" i="52"/>
  <c r="N57" i="52"/>
  <c r="Z57" i="52"/>
  <c r="J14" i="14"/>
  <c r="O7" i="64"/>
  <c r="O11" i="64" s="1"/>
  <c r="P7" i="57"/>
  <c r="L7" i="57"/>
  <c r="P7" i="58"/>
  <c r="X5" i="59"/>
  <c r="W5" i="60"/>
  <c r="W11" i="60" s="1"/>
  <c r="C6" i="61"/>
  <c r="L6" i="60"/>
  <c r="Y6" i="60" s="1"/>
  <c r="F6" i="35" s="1"/>
  <c r="G45" i="35" s="1"/>
  <c r="C13" i="60"/>
  <c r="W6" i="63"/>
  <c r="X6" i="62"/>
  <c r="H8" i="61"/>
  <c r="F68" i="69" l="1"/>
  <c r="J68" i="69"/>
  <c r="Y8" i="59"/>
  <c r="E8" i="35" s="1"/>
  <c r="F47" i="35" s="1"/>
  <c r="T25" i="57"/>
  <c r="I68" i="69"/>
  <c r="M68" i="69"/>
  <c r="W25" i="57"/>
  <c r="V25" i="57"/>
  <c r="Y68" i="69"/>
  <c r="H25" i="57"/>
  <c r="L15" i="58"/>
  <c r="Y15" i="58" s="1"/>
  <c r="D15" i="35" s="1"/>
  <c r="R25" i="57"/>
  <c r="X8" i="64"/>
  <c r="K68" i="69"/>
  <c r="L15" i="60"/>
  <c r="Y15" i="60" s="1"/>
  <c r="F15" i="35" s="1"/>
  <c r="L15" i="61"/>
  <c r="Y15" i="61" s="1"/>
  <c r="G15" i="35" s="1"/>
  <c r="L15" i="59"/>
  <c r="Y15" i="59" s="1"/>
  <c r="E15" i="35" s="1"/>
  <c r="X8" i="70"/>
  <c r="R11" i="71"/>
  <c r="X8" i="71"/>
  <c r="L19" i="57"/>
  <c r="X15" i="57"/>
  <c r="S24" i="57"/>
  <c r="L15" i="57"/>
  <c r="M8" i="62"/>
  <c r="P8" i="62" s="1"/>
  <c r="L10" i="16"/>
  <c r="M8" i="71" s="1"/>
  <c r="P8" i="71" s="1"/>
  <c r="K10" i="16"/>
  <c r="M8" i="70" s="1"/>
  <c r="P8" i="70" s="1"/>
  <c r="M8" i="64"/>
  <c r="P8" i="64" s="1"/>
  <c r="M8" i="63"/>
  <c r="P8" i="63" s="1"/>
  <c r="M8" i="61"/>
  <c r="P8" i="61" s="1"/>
  <c r="M8" i="60"/>
  <c r="P8" i="60" s="1"/>
  <c r="Y8" i="60" s="1"/>
  <c r="F8" i="35" s="1"/>
  <c r="G47" i="35" s="1"/>
  <c r="L8" i="71"/>
  <c r="L8" i="70"/>
  <c r="L21" i="57"/>
  <c r="C24" i="57"/>
  <c r="C24" i="11"/>
  <c r="O17" i="71"/>
  <c r="L24" i="14"/>
  <c r="C24" i="15"/>
  <c r="Z66" i="69"/>
  <c r="O18" i="59"/>
  <c r="P17" i="59"/>
  <c r="O17" i="64"/>
  <c r="J24" i="14"/>
  <c r="D18" i="59"/>
  <c r="X19" i="57"/>
  <c r="O18" i="58"/>
  <c r="P17" i="58"/>
  <c r="P17" i="63"/>
  <c r="O18" i="63"/>
  <c r="C24" i="23"/>
  <c r="C24" i="18"/>
  <c r="C24" i="20"/>
  <c r="C24" i="19"/>
  <c r="P17" i="60"/>
  <c r="O18" i="60"/>
  <c r="Z58" i="69"/>
  <c r="C15" i="21"/>
  <c r="C14" i="57"/>
  <c r="C17" i="57"/>
  <c r="L17" i="57" s="1"/>
  <c r="P15" i="57"/>
  <c r="P17" i="61"/>
  <c r="O18" i="61"/>
  <c r="C24" i="24"/>
  <c r="X68" i="69"/>
  <c r="R58" i="69"/>
  <c r="C15" i="14"/>
  <c r="P17" i="57"/>
  <c r="H68" i="69"/>
  <c r="O18" i="62"/>
  <c r="O25" i="62" s="1"/>
  <c r="P17" i="62"/>
  <c r="D47" i="35"/>
  <c r="D51" i="35"/>
  <c r="G11" i="59"/>
  <c r="G13" i="59" s="1"/>
  <c r="D11" i="58"/>
  <c r="D13" i="58" s="1"/>
  <c r="N11" i="70"/>
  <c r="N13" i="70" s="1"/>
  <c r="N11" i="64"/>
  <c r="N13" i="64" s="1"/>
  <c r="C11" i="61"/>
  <c r="C13" i="61" s="1"/>
  <c r="X13" i="59"/>
  <c r="X11" i="58"/>
  <c r="O65" i="69"/>
  <c r="C22" i="16" s="1"/>
  <c r="M22" i="57" s="1"/>
  <c r="P22" i="57" s="1"/>
  <c r="R66" i="69"/>
  <c r="AA66" i="69" s="1"/>
  <c r="X11" i="59"/>
  <c r="AA66" i="52"/>
  <c r="P7" i="62"/>
  <c r="P7" i="59"/>
  <c r="P7" i="63"/>
  <c r="P7" i="61"/>
  <c r="P7" i="60"/>
  <c r="R17" i="69"/>
  <c r="F7" i="61"/>
  <c r="R21" i="69"/>
  <c r="L7" i="58"/>
  <c r="Y7" i="58" s="1"/>
  <c r="D7" i="35" s="1"/>
  <c r="E46" i="35" s="1"/>
  <c r="Q13" i="57"/>
  <c r="X13" i="57" s="1"/>
  <c r="X11" i="57"/>
  <c r="R19" i="69"/>
  <c r="Z19" i="69"/>
  <c r="AA65" i="52"/>
  <c r="AA14" i="69"/>
  <c r="V68" i="69"/>
  <c r="R15" i="69"/>
  <c r="Q13" i="70"/>
  <c r="X13" i="70" s="1"/>
  <c r="P68" i="69"/>
  <c r="R20" i="69"/>
  <c r="O64" i="69"/>
  <c r="C21" i="16" s="1"/>
  <c r="M21" i="57" s="1"/>
  <c r="K16" i="8"/>
  <c r="F15" i="64"/>
  <c r="F25" i="64" s="1"/>
  <c r="J24" i="8"/>
  <c r="Z22" i="69"/>
  <c r="Z59" i="69"/>
  <c r="U68" i="69"/>
  <c r="N61" i="69"/>
  <c r="E14" i="4"/>
  <c r="D7" i="59"/>
  <c r="D11" i="59" s="1"/>
  <c r="N64" i="69"/>
  <c r="S17" i="57"/>
  <c r="Z18" i="69"/>
  <c r="G7" i="60"/>
  <c r="Z62" i="69"/>
  <c r="N67" i="69"/>
  <c r="S64" i="69"/>
  <c r="C21" i="17" s="1"/>
  <c r="Q21" i="57" s="1"/>
  <c r="Z20" i="69"/>
  <c r="AA58" i="52"/>
  <c r="AA62" i="52"/>
  <c r="N62" i="69"/>
  <c r="R22" i="69"/>
  <c r="N59" i="69"/>
  <c r="H16" i="8" s="1"/>
  <c r="F15" i="62" s="1"/>
  <c r="D12" i="60"/>
  <c r="L12" i="60" s="1"/>
  <c r="Y12" i="60" s="1"/>
  <c r="F12" i="35" s="1"/>
  <c r="G51" i="35" s="1"/>
  <c r="R16" i="69"/>
  <c r="O60" i="69"/>
  <c r="C17" i="16" s="1"/>
  <c r="M16" i="57" s="1"/>
  <c r="Z21" i="69"/>
  <c r="S65" i="69"/>
  <c r="C22" i="17" s="1"/>
  <c r="Q22" i="57" s="1"/>
  <c r="X22" i="57" s="1"/>
  <c r="Z63" i="69"/>
  <c r="N58" i="69"/>
  <c r="N65" i="69"/>
  <c r="D23" i="22"/>
  <c r="I23" i="57"/>
  <c r="R61" i="69"/>
  <c r="R63" i="69"/>
  <c r="E63" i="69"/>
  <c r="C20" i="9" s="1"/>
  <c r="C20" i="57" s="1"/>
  <c r="N19" i="69"/>
  <c r="D20" i="6"/>
  <c r="E20" i="57"/>
  <c r="I16" i="8"/>
  <c r="F15" i="63" s="1"/>
  <c r="R59" i="69"/>
  <c r="L16" i="8" s="1"/>
  <c r="M7" i="70"/>
  <c r="AA59" i="52"/>
  <c r="Z17" i="69"/>
  <c r="S61" i="69"/>
  <c r="C18" i="17" s="1"/>
  <c r="Q17" i="57" s="1"/>
  <c r="W68" i="69"/>
  <c r="Q68" i="69"/>
  <c r="AA61" i="52"/>
  <c r="Z15" i="69"/>
  <c r="Z67" i="69"/>
  <c r="T68" i="69"/>
  <c r="S60" i="69"/>
  <c r="C17" i="17" s="1"/>
  <c r="Z16" i="69"/>
  <c r="M7" i="64"/>
  <c r="O62" i="69"/>
  <c r="C19" i="16" s="1"/>
  <c r="R18" i="69"/>
  <c r="E60" i="69"/>
  <c r="C17" i="9" s="1"/>
  <c r="C16" i="57" s="1"/>
  <c r="N16" i="69"/>
  <c r="F7" i="62"/>
  <c r="N64" i="52"/>
  <c r="AA64" i="52" s="1"/>
  <c r="AA57" i="52"/>
  <c r="Y7" i="57"/>
  <c r="C7" i="35" s="1"/>
  <c r="O13" i="61"/>
  <c r="O13" i="62"/>
  <c r="O13" i="59"/>
  <c r="O13" i="58"/>
  <c r="P13" i="58" s="1"/>
  <c r="P11" i="58"/>
  <c r="O13" i="63"/>
  <c r="O13" i="60"/>
  <c r="O13" i="57"/>
  <c r="P13" i="57" s="1"/>
  <c r="P11" i="57"/>
  <c r="X5" i="60"/>
  <c r="W5" i="61"/>
  <c r="W11" i="61" s="1"/>
  <c r="L6" i="61"/>
  <c r="Y6" i="61" s="1"/>
  <c r="G6" i="35" s="1"/>
  <c r="H45" i="35" s="1"/>
  <c r="C6" i="62"/>
  <c r="X6" i="63"/>
  <c r="W6" i="64"/>
  <c r="L8" i="61"/>
  <c r="H8" i="62"/>
  <c r="Y8" i="71" l="1"/>
  <c r="L8" i="35" s="1"/>
  <c r="M47" i="35" s="1"/>
  <c r="P18" i="60"/>
  <c r="P18" i="63"/>
  <c r="L15" i="62"/>
  <c r="Y15" i="62" s="1"/>
  <c r="H15" i="35" s="1"/>
  <c r="R13" i="71"/>
  <c r="X13" i="71" s="1"/>
  <c r="X11" i="71"/>
  <c r="L15" i="63"/>
  <c r="Y15" i="63" s="1"/>
  <c r="I15" i="35" s="1"/>
  <c r="P18" i="58"/>
  <c r="P18" i="59"/>
  <c r="P18" i="61"/>
  <c r="Y15" i="57"/>
  <c r="C15" i="35" s="1"/>
  <c r="Y8" i="70"/>
  <c r="K8" i="35" s="1"/>
  <c r="L47" i="35" s="1"/>
  <c r="Y8" i="61"/>
  <c r="G8" i="35" s="1"/>
  <c r="H47" i="35" s="1"/>
  <c r="C24" i="14"/>
  <c r="O14" i="57"/>
  <c r="K24" i="9"/>
  <c r="C17" i="70"/>
  <c r="O18" i="64"/>
  <c r="O25" i="64" s="1"/>
  <c r="P17" i="64"/>
  <c r="C24" i="16"/>
  <c r="M19" i="57"/>
  <c r="R65" i="69"/>
  <c r="P16" i="57"/>
  <c r="M18" i="57"/>
  <c r="P18" i="57" s="1"/>
  <c r="L24" i="9"/>
  <c r="C17" i="71"/>
  <c r="O18" i="71"/>
  <c r="O25" i="71" s="1"/>
  <c r="P17" i="71"/>
  <c r="M24" i="57"/>
  <c r="P21" i="57"/>
  <c r="P18" i="62"/>
  <c r="P25" i="62" s="1"/>
  <c r="C24" i="9"/>
  <c r="L16" i="57"/>
  <c r="C18" i="57"/>
  <c r="L18" i="57" s="1"/>
  <c r="Q24" i="57"/>
  <c r="X24" i="57" s="1"/>
  <c r="X21" i="57"/>
  <c r="I24" i="9"/>
  <c r="C17" i="63"/>
  <c r="C24" i="21"/>
  <c r="U14" i="57"/>
  <c r="U25" i="57" s="1"/>
  <c r="F15" i="71"/>
  <c r="F25" i="71" s="1"/>
  <c r="L24" i="8"/>
  <c r="Q16" i="57"/>
  <c r="C24" i="17"/>
  <c r="H24" i="9"/>
  <c r="C17" i="62"/>
  <c r="D46" i="35"/>
  <c r="F11" i="61"/>
  <c r="F13" i="61" s="1"/>
  <c r="G11" i="60"/>
  <c r="G13" i="60" s="1"/>
  <c r="F11" i="62"/>
  <c r="F13" i="62" s="1"/>
  <c r="AA18" i="69"/>
  <c r="AA17" i="69"/>
  <c r="AA15" i="69"/>
  <c r="AA20" i="69"/>
  <c r="AA19" i="69"/>
  <c r="E68" i="69"/>
  <c r="AA22" i="69"/>
  <c r="AA21" i="69"/>
  <c r="AA16" i="69"/>
  <c r="R62" i="69"/>
  <c r="AA62" i="69" s="1"/>
  <c r="E23" i="22"/>
  <c r="I23" i="58"/>
  <c r="AA58" i="69"/>
  <c r="E24" i="19"/>
  <c r="S17" i="58"/>
  <c r="F14" i="4"/>
  <c r="D7" i="60"/>
  <c r="D11" i="60" s="1"/>
  <c r="R64" i="69"/>
  <c r="E20" i="6"/>
  <c r="D24" i="6"/>
  <c r="E20" i="58"/>
  <c r="E25" i="58" s="1"/>
  <c r="R67" i="69"/>
  <c r="AA67" i="69" s="1"/>
  <c r="D15" i="7"/>
  <c r="G14" i="57"/>
  <c r="S18" i="57"/>
  <c r="S25" i="57" s="1"/>
  <c r="X17" i="57"/>
  <c r="Y17" i="57" s="1"/>
  <c r="C17" i="35" s="1"/>
  <c r="AA59" i="69"/>
  <c r="L15" i="64"/>
  <c r="Y15" i="64" s="1"/>
  <c r="J15" i="35" s="1"/>
  <c r="P7" i="70"/>
  <c r="D12" i="61"/>
  <c r="L12" i="61" s="1"/>
  <c r="Y12" i="61" s="1"/>
  <c r="G12" i="35" s="1"/>
  <c r="F7" i="63"/>
  <c r="Z65" i="69"/>
  <c r="AA65" i="69" s="1"/>
  <c r="Z60" i="69"/>
  <c r="S68" i="69"/>
  <c r="Z61" i="69"/>
  <c r="AA61" i="69" s="1"/>
  <c r="N63" i="69"/>
  <c r="AA63" i="69" s="1"/>
  <c r="Z64" i="69"/>
  <c r="G7" i="61"/>
  <c r="L7" i="59"/>
  <c r="Y7" i="59" s="1"/>
  <c r="E7" i="35" s="1"/>
  <c r="F46" i="35" s="1"/>
  <c r="N60" i="69"/>
  <c r="P7" i="64"/>
  <c r="R60" i="69"/>
  <c r="F15" i="70"/>
  <c r="F25" i="70" s="1"/>
  <c r="K24" i="8"/>
  <c r="O68" i="69"/>
  <c r="N60" i="52"/>
  <c r="AA60" i="52" s="1"/>
  <c r="O13" i="64"/>
  <c r="W5" i="62"/>
  <c r="W11" i="62" s="1"/>
  <c r="X5" i="61"/>
  <c r="X11" i="60"/>
  <c r="W13" i="60"/>
  <c r="X13" i="60" s="1"/>
  <c r="C6" i="63"/>
  <c r="L6" i="62"/>
  <c r="Y6" i="62" s="1"/>
  <c r="H6" i="35" s="1"/>
  <c r="I45" i="35" s="1"/>
  <c r="X6" i="64"/>
  <c r="H8" i="63"/>
  <c r="L8" i="62"/>
  <c r="Y8" i="62" s="1"/>
  <c r="C14" i="24"/>
  <c r="D14" i="24"/>
  <c r="E14" i="24"/>
  <c r="F14" i="24"/>
  <c r="G14" i="24"/>
  <c r="H14" i="24"/>
  <c r="I14" i="24"/>
  <c r="C14" i="21"/>
  <c r="D14" i="21"/>
  <c r="E14" i="21"/>
  <c r="F14" i="21"/>
  <c r="G14" i="21"/>
  <c r="H14" i="21"/>
  <c r="I14" i="21"/>
  <c r="C14" i="20"/>
  <c r="D14" i="20"/>
  <c r="E14" i="20"/>
  <c r="F14" i="20"/>
  <c r="G14" i="20"/>
  <c r="H14" i="20"/>
  <c r="I14" i="20"/>
  <c r="C14" i="19"/>
  <c r="D14" i="19"/>
  <c r="E14" i="19"/>
  <c r="F14" i="19"/>
  <c r="G14" i="19"/>
  <c r="H14" i="19"/>
  <c r="I14" i="19"/>
  <c r="C14" i="18"/>
  <c r="D14" i="18"/>
  <c r="E14" i="18"/>
  <c r="F14" i="18"/>
  <c r="G14" i="18"/>
  <c r="H14" i="18"/>
  <c r="I14" i="18"/>
  <c r="C14" i="14"/>
  <c r="D14" i="14"/>
  <c r="E14" i="14"/>
  <c r="F14" i="14"/>
  <c r="G14" i="14"/>
  <c r="H14" i="14"/>
  <c r="I14" i="14"/>
  <c r="C14" i="15"/>
  <c r="D14" i="15"/>
  <c r="E14" i="15"/>
  <c r="F14" i="15"/>
  <c r="G14" i="15"/>
  <c r="H14" i="15"/>
  <c r="I14" i="15"/>
  <c r="G14" i="13"/>
  <c r="C14" i="16"/>
  <c r="D14" i="16"/>
  <c r="D14" i="11"/>
  <c r="D24" i="23"/>
  <c r="E24" i="23"/>
  <c r="E24" i="24"/>
  <c r="F24" i="24"/>
  <c r="D24" i="21"/>
  <c r="H24" i="21"/>
  <c r="F24" i="20"/>
  <c r="I24" i="20"/>
  <c r="D24" i="19"/>
  <c r="I24" i="18"/>
  <c r="D24" i="11"/>
  <c r="F24" i="11"/>
  <c r="G24" i="11"/>
  <c r="H24" i="11"/>
  <c r="D22" i="58"/>
  <c r="D22" i="60"/>
  <c r="H19" i="4"/>
  <c r="D19" i="62" s="1"/>
  <c r="H22" i="4"/>
  <c r="D22" i="62" s="1"/>
  <c r="D22" i="63"/>
  <c r="D24" i="63" s="1"/>
  <c r="D22" i="57"/>
  <c r="D24" i="57" s="1"/>
  <c r="D25" i="57" s="1"/>
  <c r="D22" i="59"/>
  <c r="D22" i="61"/>
  <c r="I22" i="57"/>
  <c r="I24" i="57" s="1"/>
  <c r="I25" i="57" s="1"/>
  <c r="D22" i="22"/>
  <c r="I22" i="58" s="1"/>
  <c r="E22" i="22"/>
  <c r="I22" i="59" s="1"/>
  <c r="F22" i="22"/>
  <c r="I22" i="60" s="1"/>
  <c r="G22" i="22"/>
  <c r="I22" i="61" s="1"/>
  <c r="H22" i="22"/>
  <c r="I22" i="62" s="1"/>
  <c r="I22" i="22"/>
  <c r="I22" i="63" s="1"/>
  <c r="C14" i="17"/>
  <c r="D14" i="17"/>
  <c r="E14" i="17"/>
  <c r="F14" i="17"/>
  <c r="G14" i="17"/>
  <c r="H14" i="17"/>
  <c r="I14" i="17"/>
  <c r="I23" i="14"/>
  <c r="O23" i="63" s="1"/>
  <c r="G23" i="14"/>
  <c r="O23" i="61" s="1"/>
  <c r="F23" i="14"/>
  <c r="O23" i="60" s="1"/>
  <c r="E23" i="14"/>
  <c r="O23" i="59" s="1"/>
  <c r="D23" i="14"/>
  <c r="O23" i="58" s="1"/>
  <c r="O23" i="57"/>
  <c r="O20" i="57"/>
  <c r="O20" i="58"/>
  <c r="O20" i="59"/>
  <c r="O20" i="60"/>
  <c r="O20" i="61"/>
  <c r="O20" i="62"/>
  <c r="O20" i="63"/>
  <c r="N22" i="63"/>
  <c r="K20" i="57"/>
  <c r="I22" i="13"/>
  <c r="K22" i="63" s="1"/>
  <c r="K24" i="63" s="1"/>
  <c r="K25" i="63" s="1"/>
  <c r="D20" i="13"/>
  <c r="K20" i="58" s="1"/>
  <c r="E20" i="13"/>
  <c r="K20" i="59" s="1"/>
  <c r="F20" i="13"/>
  <c r="K20" i="60" s="1"/>
  <c r="E14" i="12"/>
  <c r="F14" i="12"/>
  <c r="I14" i="12"/>
  <c r="J22" i="63"/>
  <c r="J24" i="63" s="1"/>
  <c r="J25" i="63" s="1"/>
  <c r="I24" i="16"/>
  <c r="G23" i="61"/>
  <c r="G23" i="63"/>
  <c r="G23" i="62"/>
  <c r="G23" i="60"/>
  <c r="G23" i="59"/>
  <c r="G23" i="58"/>
  <c r="G23" i="57"/>
  <c r="G22" i="63"/>
  <c r="G22" i="62"/>
  <c r="G24" i="62" s="1"/>
  <c r="G22" i="58"/>
  <c r="G22" i="59"/>
  <c r="G22" i="60"/>
  <c r="G22" i="57"/>
  <c r="G22" i="61"/>
  <c r="G20" i="7"/>
  <c r="G20" i="61" s="1"/>
  <c r="E20" i="7"/>
  <c r="G20" i="59" s="1"/>
  <c r="D20" i="7"/>
  <c r="G20" i="58" s="1"/>
  <c r="I20" i="7"/>
  <c r="G20" i="63" s="1"/>
  <c r="H20" i="7"/>
  <c r="G20" i="62" s="1"/>
  <c r="F20" i="7"/>
  <c r="G20" i="60" s="1"/>
  <c r="D14" i="7"/>
  <c r="E14" i="7"/>
  <c r="F14" i="7"/>
  <c r="G14" i="7"/>
  <c r="E22" i="8"/>
  <c r="F22" i="59" s="1"/>
  <c r="E23" i="8"/>
  <c r="F23" i="59" s="1"/>
  <c r="H23" i="8"/>
  <c r="F23" i="62" s="1"/>
  <c r="I22" i="8"/>
  <c r="F22" i="63" s="1"/>
  <c r="D22" i="8"/>
  <c r="F22" i="8"/>
  <c r="F22" i="60" s="1"/>
  <c r="F24" i="60" s="1"/>
  <c r="F25" i="60" s="1"/>
  <c r="G22" i="8"/>
  <c r="F22" i="61" s="1"/>
  <c r="F24" i="61" s="1"/>
  <c r="F25" i="61" s="1"/>
  <c r="H22" i="8"/>
  <c r="F22" i="62" s="1"/>
  <c r="I14" i="8"/>
  <c r="D14" i="8"/>
  <c r="E14" i="8"/>
  <c r="F14" i="8"/>
  <c r="G14" i="8"/>
  <c r="H14" i="8"/>
  <c r="H14" i="6"/>
  <c r="F14" i="6"/>
  <c r="D14" i="6"/>
  <c r="E22" i="63"/>
  <c r="E24" i="63" s="1"/>
  <c r="E22" i="61"/>
  <c r="E24" i="61" s="1"/>
  <c r="E22" i="59"/>
  <c r="E24" i="59" s="1"/>
  <c r="E22" i="57"/>
  <c r="E24" i="16"/>
  <c r="G24" i="16"/>
  <c r="H24" i="24"/>
  <c r="D24" i="24"/>
  <c r="H24" i="23"/>
  <c r="G24" i="23"/>
  <c r="F24" i="23"/>
  <c r="G24" i="20"/>
  <c r="D20" i="15"/>
  <c r="N20" i="58" s="1"/>
  <c r="E20" i="15"/>
  <c r="N20" i="59" s="1"/>
  <c r="F20" i="15"/>
  <c r="N20" i="60" s="1"/>
  <c r="G20" i="15"/>
  <c r="N20" i="61" s="1"/>
  <c r="H20" i="15"/>
  <c r="N20" i="62" s="1"/>
  <c r="N20" i="57"/>
  <c r="N25" i="57" s="1"/>
  <c r="H24" i="13"/>
  <c r="K23" i="61"/>
  <c r="K23" i="60"/>
  <c r="K23" i="59"/>
  <c r="K23" i="57"/>
  <c r="K22" i="61"/>
  <c r="K22" i="60"/>
  <c r="K22" i="59"/>
  <c r="D22" i="13"/>
  <c r="K22" i="58" s="1"/>
  <c r="K24" i="58" s="1"/>
  <c r="K25" i="58" s="1"/>
  <c r="K22" i="57"/>
  <c r="G22" i="12"/>
  <c r="J22" i="61" s="1"/>
  <c r="J23" i="60"/>
  <c r="J22" i="60"/>
  <c r="J20" i="60"/>
  <c r="G23" i="12"/>
  <c r="J23" i="61" s="1"/>
  <c r="J20" i="59"/>
  <c r="E23" i="12"/>
  <c r="J23" i="59" s="1"/>
  <c r="J24" i="59" s="1"/>
  <c r="J25" i="59" s="1"/>
  <c r="J20" i="58"/>
  <c r="J23" i="57"/>
  <c r="J22" i="57"/>
  <c r="J20" i="57"/>
  <c r="E24" i="11"/>
  <c r="G24" i="4"/>
  <c r="M25" i="57" l="1"/>
  <c r="C25" i="57"/>
  <c r="Y21" i="57"/>
  <c r="C21" i="35" s="1"/>
  <c r="M21" i="35" s="1"/>
  <c r="Q18" i="57"/>
  <c r="X16" i="57"/>
  <c r="Y16" i="57" s="1"/>
  <c r="C16" i="35" s="1"/>
  <c r="C18" i="35" s="1"/>
  <c r="C18" i="63"/>
  <c r="C25" i="63" s="1"/>
  <c r="P18" i="64"/>
  <c r="P25" i="64" s="1"/>
  <c r="P18" i="71"/>
  <c r="P25" i="71" s="1"/>
  <c r="C18" i="70"/>
  <c r="C25" i="70" s="1"/>
  <c r="L15" i="71"/>
  <c r="Y15" i="71" s="1"/>
  <c r="L15" i="35" s="1"/>
  <c r="D18" i="61"/>
  <c r="L17" i="61"/>
  <c r="C18" i="62"/>
  <c r="C25" i="62" s="1"/>
  <c r="L17" i="62"/>
  <c r="D17" i="63"/>
  <c r="D18" i="63" s="1"/>
  <c r="D25" i="63" s="1"/>
  <c r="I24" i="4"/>
  <c r="P19" i="57"/>
  <c r="P14" i="57"/>
  <c r="L14" i="57"/>
  <c r="X14" i="57"/>
  <c r="L17" i="71"/>
  <c r="C18" i="71"/>
  <c r="C25" i="71" s="1"/>
  <c r="H51" i="35"/>
  <c r="F11" i="63"/>
  <c r="F13" i="63" s="1"/>
  <c r="G11" i="61"/>
  <c r="G13" i="61" s="1"/>
  <c r="L23" i="58"/>
  <c r="L6" i="71"/>
  <c r="Y6" i="71" s="1"/>
  <c r="L6" i="35" s="1"/>
  <c r="M45" i="35" s="1"/>
  <c r="G24" i="60"/>
  <c r="G24" i="58"/>
  <c r="F24" i="8"/>
  <c r="I24" i="58"/>
  <c r="I25" i="58" s="1"/>
  <c r="N68" i="69"/>
  <c r="R68" i="69"/>
  <c r="AA64" i="69"/>
  <c r="G7" i="62"/>
  <c r="D12" i="62"/>
  <c r="L12" i="62" s="1"/>
  <c r="Y12" i="62" s="1"/>
  <c r="H12" i="35" s="1"/>
  <c r="I51" i="35" s="1"/>
  <c r="E24" i="6"/>
  <c r="F20" i="6"/>
  <c r="E20" i="59"/>
  <c r="E25" i="59" s="1"/>
  <c r="S18" i="58"/>
  <c r="X17" i="58"/>
  <c r="Y17" i="58" s="1"/>
  <c r="D17" i="35" s="1"/>
  <c r="F23" i="22"/>
  <c r="F24" i="22" s="1"/>
  <c r="I23" i="59"/>
  <c r="L23" i="59" s="1"/>
  <c r="L15" i="70"/>
  <c r="Y15" i="70" s="1"/>
  <c r="D20" i="17"/>
  <c r="Q20" i="57"/>
  <c r="F7" i="64"/>
  <c r="J14" i="8"/>
  <c r="H14" i="7"/>
  <c r="C17" i="64"/>
  <c r="E15" i="7"/>
  <c r="G14" i="58"/>
  <c r="L7" i="60"/>
  <c r="Y7" i="60" s="1"/>
  <c r="F7" i="35" s="1"/>
  <c r="D13" i="59"/>
  <c r="Z68" i="69"/>
  <c r="AA60" i="69"/>
  <c r="G14" i="4"/>
  <c r="D7" i="61"/>
  <c r="D11" i="61" s="1"/>
  <c r="C6" i="70"/>
  <c r="D24" i="14"/>
  <c r="K24" i="60"/>
  <c r="K25" i="60" s="1"/>
  <c r="K24" i="61"/>
  <c r="K25" i="61" s="1"/>
  <c r="F24" i="62"/>
  <c r="F25" i="62" s="1"/>
  <c r="W5" i="63"/>
  <c r="W11" i="63" s="1"/>
  <c r="X5" i="62"/>
  <c r="W13" i="61"/>
  <c r="X13" i="61" s="1"/>
  <c r="X11" i="61"/>
  <c r="G24" i="61"/>
  <c r="I24" i="15"/>
  <c r="E24" i="4"/>
  <c r="C6" i="64"/>
  <c r="C11" i="64" s="1"/>
  <c r="J14" i="9"/>
  <c r="L6" i="63"/>
  <c r="Y6" i="63" s="1"/>
  <c r="I6" i="35" s="1"/>
  <c r="J45" i="35" s="1"/>
  <c r="G24" i="63"/>
  <c r="E24" i="15"/>
  <c r="L22" i="61"/>
  <c r="Y22" i="61" s="1"/>
  <c r="G22" i="35" s="1"/>
  <c r="D24" i="61"/>
  <c r="L19" i="62"/>
  <c r="F24" i="14"/>
  <c r="P20" i="57"/>
  <c r="P20" i="63"/>
  <c r="P23" i="59"/>
  <c r="O24" i="59"/>
  <c r="O25" i="59" s="1"/>
  <c r="D24" i="62"/>
  <c r="D25" i="62" s="1"/>
  <c r="L22" i="62"/>
  <c r="Y22" i="62" s="1"/>
  <c r="H22" i="35" s="1"/>
  <c r="D24" i="58"/>
  <c r="D25" i="58" s="1"/>
  <c r="J24" i="61"/>
  <c r="J25" i="61" s="1"/>
  <c r="P20" i="58"/>
  <c r="E24" i="57"/>
  <c r="E25" i="57" s="1"/>
  <c r="L22" i="63"/>
  <c r="F24" i="63"/>
  <c r="F25" i="63" s="1"/>
  <c r="D24" i="7"/>
  <c r="L20" i="58"/>
  <c r="O24" i="60"/>
  <c r="O25" i="60" s="1"/>
  <c r="P23" i="60"/>
  <c r="P20" i="61"/>
  <c r="H24" i="14"/>
  <c r="P23" i="57"/>
  <c r="O24" i="57"/>
  <c r="P24" i="57" s="1"/>
  <c r="O24" i="61"/>
  <c r="O25" i="61" s="1"/>
  <c r="P23" i="61"/>
  <c r="L22" i="59"/>
  <c r="Y22" i="59" s="1"/>
  <c r="E22" i="35" s="1"/>
  <c r="D24" i="59"/>
  <c r="D25" i="59" s="1"/>
  <c r="G24" i="8"/>
  <c r="I24" i="13"/>
  <c r="E24" i="22"/>
  <c r="K24" i="59"/>
  <c r="K25" i="59" s="1"/>
  <c r="P20" i="59"/>
  <c r="F22" i="57"/>
  <c r="F24" i="57" s="1"/>
  <c r="F25" i="57" s="1"/>
  <c r="D24" i="60"/>
  <c r="D25" i="60" s="1"/>
  <c r="L22" i="60"/>
  <c r="Y22" i="60" s="1"/>
  <c r="F22" i="35" s="1"/>
  <c r="J24" i="57"/>
  <c r="J25" i="57" s="1"/>
  <c r="P20" i="62"/>
  <c r="L20" i="57"/>
  <c r="J24" i="60"/>
  <c r="J25" i="60" s="1"/>
  <c r="K24" i="57"/>
  <c r="K25" i="57" s="1"/>
  <c r="P20" i="60"/>
  <c r="D24" i="8"/>
  <c r="F22" i="58"/>
  <c r="F24" i="58" s="1"/>
  <c r="F25" i="58" s="1"/>
  <c r="F24" i="59"/>
  <c r="F25" i="59" s="1"/>
  <c r="G24" i="59"/>
  <c r="G24" i="57"/>
  <c r="G25" i="57" s="1"/>
  <c r="L23" i="57"/>
  <c r="N24" i="63"/>
  <c r="P22" i="63"/>
  <c r="P23" i="58"/>
  <c r="O24" i="58"/>
  <c r="O25" i="58" s="1"/>
  <c r="P23" i="63"/>
  <c r="O24" i="63"/>
  <c r="O25" i="63" s="1"/>
  <c r="I24" i="8"/>
  <c r="G24" i="15"/>
  <c r="H8" i="35"/>
  <c r="I47" i="35" s="1"/>
  <c r="L8" i="63"/>
  <c r="Y8" i="63" s="1"/>
  <c r="H8" i="64"/>
  <c r="I24" i="24"/>
  <c r="G24" i="24"/>
  <c r="I24" i="21"/>
  <c r="E24" i="21"/>
  <c r="G24" i="21"/>
  <c r="F24" i="21"/>
  <c r="E24" i="20"/>
  <c r="H24" i="20"/>
  <c r="D24" i="20"/>
  <c r="E24" i="18"/>
  <c r="H24" i="18"/>
  <c r="D24" i="18"/>
  <c r="G24" i="18"/>
  <c r="E24" i="14"/>
  <c r="G24" i="14"/>
  <c r="I24" i="14"/>
  <c r="D24" i="15"/>
  <c r="F24" i="15"/>
  <c r="H24" i="15"/>
  <c r="H24" i="16"/>
  <c r="D24" i="16"/>
  <c r="G24" i="13"/>
  <c r="F24" i="13"/>
  <c r="D24" i="13"/>
  <c r="I24" i="12"/>
  <c r="E24" i="12"/>
  <c r="H24" i="12"/>
  <c r="D24" i="12"/>
  <c r="G24" i="12"/>
  <c r="F24" i="12"/>
  <c r="D24" i="22"/>
  <c r="E24" i="8"/>
  <c r="F24" i="4"/>
  <c r="E24" i="13"/>
  <c r="F24" i="16"/>
  <c r="H24" i="8"/>
  <c r="F24" i="18"/>
  <c r="I24" i="23"/>
  <c r="H24" i="4"/>
  <c r="I24" i="11"/>
  <c r="L14" i="58" l="1"/>
  <c r="G25" i="58"/>
  <c r="P25" i="57"/>
  <c r="O25" i="57"/>
  <c r="X18" i="57"/>
  <c r="Q25" i="57"/>
  <c r="L18" i="61"/>
  <c r="D25" i="61"/>
  <c r="L17" i="63"/>
  <c r="L18" i="71"/>
  <c r="D17" i="70"/>
  <c r="K24" i="4"/>
  <c r="L18" i="63"/>
  <c r="M16" i="35"/>
  <c r="Y19" i="57"/>
  <c r="C19" i="35" s="1"/>
  <c r="L18" i="62"/>
  <c r="Y14" i="57"/>
  <c r="P24" i="61"/>
  <c r="P25" i="61" s="1"/>
  <c r="P24" i="60"/>
  <c r="P25" i="60" s="1"/>
  <c r="P24" i="59"/>
  <c r="P25" i="59" s="1"/>
  <c r="P24" i="58"/>
  <c r="P25" i="58" s="1"/>
  <c r="K15" i="35"/>
  <c r="Y23" i="58"/>
  <c r="D23" i="35" s="1"/>
  <c r="G11" i="62"/>
  <c r="G13" i="62" s="1"/>
  <c r="F11" i="64"/>
  <c r="F13" i="64" s="1"/>
  <c r="AA68" i="69"/>
  <c r="L20" i="59"/>
  <c r="I24" i="59"/>
  <c r="I25" i="59" s="1"/>
  <c r="C18" i="59"/>
  <c r="L17" i="59"/>
  <c r="S18" i="59"/>
  <c r="X17" i="59"/>
  <c r="D12" i="63"/>
  <c r="L12" i="63" s="1"/>
  <c r="Y12" i="63" s="1"/>
  <c r="I12" i="35" s="1"/>
  <c r="L7" i="61"/>
  <c r="Y7" i="61" s="1"/>
  <c r="G7" i="35" s="1"/>
  <c r="H46" i="35" s="1"/>
  <c r="F15" i="7"/>
  <c r="G14" i="59"/>
  <c r="F24" i="19"/>
  <c r="F24" i="6"/>
  <c r="G20" i="6"/>
  <c r="E20" i="60"/>
  <c r="E25" i="60" s="1"/>
  <c r="X20" i="57"/>
  <c r="G7" i="63"/>
  <c r="I14" i="7"/>
  <c r="H14" i="4"/>
  <c r="D7" i="62"/>
  <c r="D11" i="62" s="1"/>
  <c r="C18" i="64"/>
  <c r="C25" i="64" s="1"/>
  <c r="L17" i="64"/>
  <c r="E20" i="17"/>
  <c r="Q20" i="58"/>
  <c r="Q25" i="58" s="1"/>
  <c r="D24" i="17"/>
  <c r="G23" i="22"/>
  <c r="I23" i="60"/>
  <c r="G46" i="35"/>
  <c r="F7" i="70"/>
  <c r="K14" i="8"/>
  <c r="D18" i="35"/>
  <c r="E24" i="7"/>
  <c r="D13" i="60"/>
  <c r="X18" i="58"/>
  <c r="L6" i="70"/>
  <c r="Y6" i="70" s="1"/>
  <c r="K6" i="35" s="1"/>
  <c r="Y23" i="59"/>
  <c r="E23" i="35" s="1"/>
  <c r="N63" i="52"/>
  <c r="AA63" i="52" s="1"/>
  <c r="W5" i="64"/>
  <c r="W11" i="64" s="1"/>
  <c r="W13" i="62"/>
  <c r="X13" i="62" s="1"/>
  <c r="X11" i="62"/>
  <c r="X5" i="63"/>
  <c r="L22" i="57"/>
  <c r="Y22" i="57" s="1"/>
  <c r="C22" i="35" s="1"/>
  <c r="C13" i="64"/>
  <c r="L6" i="64"/>
  <c r="Y6" i="64" s="1"/>
  <c r="J6" i="35" s="1"/>
  <c r="K45" i="35" s="1"/>
  <c r="L24" i="58"/>
  <c r="Y22" i="63"/>
  <c r="I22" i="35" s="1"/>
  <c r="L22" i="58"/>
  <c r="Y22" i="58" s="1"/>
  <c r="D22" i="35" s="1"/>
  <c r="L24" i="57"/>
  <c r="Y24" i="57" s="1"/>
  <c r="P24" i="63"/>
  <c r="P25" i="63" s="1"/>
  <c r="Y19" i="62"/>
  <c r="Y23" i="57"/>
  <c r="C23" i="35" s="1"/>
  <c r="D22" i="64"/>
  <c r="J24" i="4"/>
  <c r="G40" i="35"/>
  <c r="E40" i="35"/>
  <c r="D40" i="35"/>
  <c r="C40" i="35"/>
  <c r="I8" i="35"/>
  <c r="J47" i="35" s="1"/>
  <c r="L8" i="64"/>
  <c r="Y8" i="64" s="1"/>
  <c r="H40" i="35"/>
  <c r="F40" i="35"/>
  <c r="S25" i="59" l="1"/>
  <c r="C25" i="59"/>
  <c r="X25" i="57"/>
  <c r="Y18" i="57"/>
  <c r="L14" i="59"/>
  <c r="Y14" i="59" s="1"/>
  <c r="E14" i="35" s="1"/>
  <c r="G25" i="59"/>
  <c r="L25" i="57"/>
  <c r="Y14" i="58"/>
  <c r="D14" i="35" s="1"/>
  <c r="L25" i="58"/>
  <c r="C14" i="35"/>
  <c r="D18" i="70"/>
  <c r="D25" i="70" s="1"/>
  <c r="L17" i="70"/>
  <c r="M15" i="35"/>
  <c r="Y24" i="58"/>
  <c r="J51" i="35"/>
  <c r="L45" i="35"/>
  <c r="N45" i="35" s="1"/>
  <c r="M6" i="35"/>
  <c r="F11" i="70"/>
  <c r="F13" i="70" s="1"/>
  <c r="G11" i="63"/>
  <c r="G13" i="63" s="1"/>
  <c r="Y20" i="57"/>
  <c r="L24" i="59"/>
  <c r="Y24" i="59" s="1"/>
  <c r="X20" i="58"/>
  <c r="X25" i="58" s="1"/>
  <c r="I14" i="4"/>
  <c r="D7" i="63"/>
  <c r="D11" i="63" s="1"/>
  <c r="D13" i="61"/>
  <c r="I24" i="60"/>
  <c r="I25" i="60" s="1"/>
  <c r="L23" i="60"/>
  <c r="Y23" i="60" s="1"/>
  <c r="F23" i="35" s="1"/>
  <c r="F20" i="17"/>
  <c r="Q20" i="59"/>
  <c r="Q25" i="59" s="1"/>
  <c r="E24" i="17"/>
  <c r="S18" i="60"/>
  <c r="X17" i="60"/>
  <c r="Y17" i="60" s="1"/>
  <c r="F17" i="35" s="1"/>
  <c r="L18" i="59"/>
  <c r="H23" i="22"/>
  <c r="I23" i="61"/>
  <c r="G24" i="22"/>
  <c r="G24" i="19"/>
  <c r="L18" i="64"/>
  <c r="L20" i="60"/>
  <c r="L12" i="71"/>
  <c r="Y12" i="71" s="1"/>
  <c r="L12" i="35" s="1"/>
  <c r="D12" i="64"/>
  <c r="L12" i="64" s="1"/>
  <c r="Y12" i="64" s="1"/>
  <c r="J12" i="35" s="1"/>
  <c r="L7" i="62"/>
  <c r="Y7" i="62" s="1"/>
  <c r="H7" i="35" s="1"/>
  <c r="G24" i="6"/>
  <c r="H20" i="6"/>
  <c r="E20" i="61"/>
  <c r="E25" i="61" s="1"/>
  <c r="G15" i="7"/>
  <c r="G14" i="60"/>
  <c r="G25" i="60" s="1"/>
  <c r="F24" i="7"/>
  <c r="Y17" i="59"/>
  <c r="E17" i="35" s="1"/>
  <c r="Y18" i="58"/>
  <c r="G7" i="64"/>
  <c r="J14" i="7"/>
  <c r="X18" i="59"/>
  <c r="E24" i="35"/>
  <c r="W13" i="63"/>
  <c r="X13" i="63" s="1"/>
  <c r="X11" i="63"/>
  <c r="X5" i="64"/>
  <c r="H19" i="35"/>
  <c r="D24" i="35"/>
  <c r="C24" i="35"/>
  <c r="L22" i="64"/>
  <c r="Y22" i="64" s="1"/>
  <c r="J22" i="35" s="1"/>
  <c r="M22" i="35" s="1"/>
  <c r="D24" i="64"/>
  <c r="D25" i="64" s="1"/>
  <c r="I40" i="35"/>
  <c r="J8" i="35"/>
  <c r="M8" i="35" s="1"/>
  <c r="S25" i="60" l="1"/>
  <c r="L25" i="59"/>
  <c r="Y25" i="57"/>
  <c r="Z25" i="57"/>
  <c r="C20" i="35"/>
  <c r="C25" i="35" s="1"/>
  <c r="M51" i="35"/>
  <c r="L18" i="70"/>
  <c r="Y20" i="58"/>
  <c r="D20" i="35" s="1"/>
  <c r="M19" i="35"/>
  <c r="G11" i="64"/>
  <c r="G13" i="64" s="1"/>
  <c r="L14" i="7"/>
  <c r="D12" i="70"/>
  <c r="L12" i="70" s="1"/>
  <c r="Y12" i="70" s="1"/>
  <c r="K12" i="35" s="1"/>
  <c r="M12" i="35" s="1"/>
  <c r="F24" i="35"/>
  <c r="I46" i="35"/>
  <c r="S17" i="62"/>
  <c r="H24" i="19"/>
  <c r="L14" i="60"/>
  <c r="D13" i="62"/>
  <c r="K51" i="35"/>
  <c r="F18" i="35"/>
  <c r="L24" i="60"/>
  <c r="L7" i="63"/>
  <c r="Y7" i="63" s="1"/>
  <c r="I7" i="35" s="1"/>
  <c r="J46" i="35" s="1"/>
  <c r="G7" i="70"/>
  <c r="K14" i="7"/>
  <c r="H15" i="7"/>
  <c r="G14" i="61"/>
  <c r="G25" i="61" s="1"/>
  <c r="G24" i="7"/>
  <c r="L23" i="61"/>
  <c r="Y23" i="61" s="1"/>
  <c r="G23" i="35" s="1"/>
  <c r="I24" i="61"/>
  <c r="I25" i="61" s="1"/>
  <c r="X18" i="60"/>
  <c r="L20" i="61"/>
  <c r="I23" i="22"/>
  <c r="I23" i="62"/>
  <c r="H24" i="22"/>
  <c r="J14" i="4"/>
  <c r="D7" i="64"/>
  <c r="D11" i="64" s="1"/>
  <c r="H24" i="6"/>
  <c r="I20" i="6"/>
  <c r="E20" i="62"/>
  <c r="E25" i="62" s="1"/>
  <c r="X20" i="59"/>
  <c r="X25" i="59" s="1"/>
  <c r="E18" i="35"/>
  <c r="S18" i="61"/>
  <c r="X17" i="61"/>
  <c r="Y17" i="61" s="1"/>
  <c r="G17" i="35" s="1"/>
  <c r="Y18" i="59"/>
  <c r="G20" i="17"/>
  <c r="Q20" i="60"/>
  <c r="Q25" i="60" s="1"/>
  <c r="F24" i="17"/>
  <c r="K47" i="35"/>
  <c r="N47" i="35" s="1"/>
  <c r="J40" i="35"/>
  <c r="K40" i="35"/>
  <c r="W13" i="64"/>
  <c r="X13" i="64" s="1"/>
  <c r="X11" i="64"/>
  <c r="S25" i="61" l="1"/>
  <c r="L25" i="60"/>
  <c r="Y25" i="58"/>
  <c r="D25" i="35"/>
  <c r="Y20" i="59"/>
  <c r="E20" i="35" s="1"/>
  <c r="Y24" i="60"/>
  <c r="G11" i="71"/>
  <c r="G13" i="71" s="1"/>
  <c r="G11" i="70"/>
  <c r="G13" i="70" s="1"/>
  <c r="L51" i="35"/>
  <c r="N51" i="35" s="1"/>
  <c r="L14" i="4"/>
  <c r="D11" i="71"/>
  <c r="L20" i="62"/>
  <c r="D7" i="70"/>
  <c r="D11" i="70" s="1"/>
  <c r="K14" i="4"/>
  <c r="D13" i="63"/>
  <c r="S18" i="62"/>
  <c r="X17" i="62"/>
  <c r="Y17" i="62" s="1"/>
  <c r="H17" i="35" s="1"/>
  <c r="J20" i="6"/>
  <c r="I24" i="6"/>
  <c r="E20" i="63"/>
  <c r="E25" i="63" s="1"/>
  <c r="L14" i="61"/>
  <c r="S17" i="63"/>
  <c r="I24" i="19"/>
  <c r="X18" i="61"/>
  <c r="I24" i="62"/>
  <c r="I25" i="62" s="1"/>
  <c r="L23" i="62"/>
  <c r="Y23" i="62" s="1"/>
  <c r="H23" i="35" s="1"/>
  <c r="Y18" i="60"/>
  <c r="I15" i="7"/>
  <c r="G14" i="62"/>
  <c r="G25" i="62" s="1"/>
  <c r="H24" i="7"/>
  <c r="J23" i="22"/>
  <c r="I23" i="63"/>
  <c r="I24" i="22"/>
  <c r="G18" i="35"/>
  <c r="X20" i="60"/>
  <c r="X25" i="60" s="1"/>
  <c r="L7" i="64"/>
  <c r="Y7" i="64" s="1"/>
  <c r="J7" i="35" s="1"/>
  <c r="L24" i="61"/>
  <c r="Y14" i="60"/>
  <c r="H20" i="17"/>
  <c r="Q20" i="61"/>
  <c r="Q25" i="61" s="1"/>
  <c r="G24" i="17"/>
  <c r="G24" i="35"/>
  <c r="N38" i="35"/>
  <c r="N40" i="35" s="1"/>
  <c r="Y25" i="59" l="1"/>
  <c r="L25" i="61"/>
  <c r="E25" i="35"/>
  <c r="Y20" i="60"/>
  <c r="F20" i="35" s="1"/>
  <c r="Y24" i="61"/>
  <c r="L7" i="71"/>
  <c r="Y7" i="71" s="1"/>
  <c r="L7" i="35" s="1"/>
  <c r="M46" i="35" s="1"/>
  <c r="D13" i="71"/>
  <c r="D13" i="64"/>
  <c r="I24" i="63"/>
  <c r="I25" i="63" s="1"/>
  <c r="L23" i="63"/>
  <c r="Y23" i="63" s="1"/>
  <c r="I23" i="35" s="1"/>
  <c r="S18" i="63"/>
  <c r="X17" i="63"/>
  <c r="Y17" i="63" s="1"/>
  <c r="I17" i="35" s="1"/>
  <c r="H24" i="35"/>
  <c r="S17" i="64"/>
  <c r="J24" i="19"/>
  <c r="K20" i="6"/>
  <c r="L20" i="6" s="1"/>
  <c r="J24" i="6"/>
  <c r="E20" i="64"/>
  <c r="E25" i="64" s="1"/>
  <c r="F14" i="35"/>
  <c r="L24" i="62"/>
  <c r="H18" i="35"/>
  <c r="L7" i="70"/>
  <c r="Y7" i="70" s="1"/>
  <c r="K7" i="35" s="1"/>
  <c r="K23" i="22"/>
  <c r="L23" i="22" s="1"/>
  <c r="I23" i="64"/>
  <c r="J24" i="22"/>
  <c r="L14" i="62"/>
  <c r="Y18" i="61"/>
  <c r="Y14" i="61"/>
  <c r="X20" i="61"/>
  <c r="X25" i="61" s="1"/>
  <c r="I20" i="17"/>
  <c r="Q20" i="62"/>
  <c r="Q25" i="62" s="1"/>
  <c r="H24" i="17"/>
  <c r="X18" i="62"/>
  <c r="J15" i="7"/>
  <c r="G14" i="63"/>
  <c r="G25" i="63" s="1"/>
  <c r="I24" i="7"/>
  <c r="K46" i="35"/>
  <c r="L20" i="63"/>
  <c r="L25" i="62" l="1"/>
  <c r="Y25" i="60"/>
  <c r="F25" i="35"/>
  <c r="L24" i="6"/>
  <c r="E20" i="71"/>
  <c r="E25" i="71" s="1"/>
  <c r="Y20" i="61"/>
  <c r="G20" i="35" s="1"/>
  <c r="L24" i="22"/>
  <c r="I23" i="71"/>
  <c r="M7" i="35"/>
  <c r="Y24" i="62"/>
  <c r="L24" i="19"/>
  <c r="L46" i="35"/>
  <c r="N46" i="35" s="1"/>
  <c r="X17" i="64"/>
  <c r="Y17" i="64" s="1"/>
  <c r="J17" i="35" s="1"/>
  <c r="S18" i="64"/>
  <c r="I24" i="35"/>
  <c r="G14" i="35"/>
  <c r="L20" i="64"/>
  <c r="L24" i="63"/>
  <c r="X20" i="62"/>
  <c r="X25" i="62" s="1"/>
  <c r="I23" i="70"/>
  <c r="K24" i="22"/>
  <c r="K15" i="7"/>
  <c r="L15" i="7" s="1"/>
  <c r="G14" i="64"/>
  <c r="G25" i="64" s="1"/>
  <c r="J24" i="7"/>
  <c r="J20" i="17"/>
  <c r="Q20" i="63"/>
  <c r="Q25" i="63" s="1"/>
  <c r="I24" i="17"/>
  <c r="Y18" i="62"/>
  <c r="D13" i="70"/>
  <c r="K24" i="6"/>
  <c r="E20" i="70"/>
  <c r="E25" i="70" s="1"/>
  <c r="I18" i="35"/>
  <c r="L14" i="63"/>
  <c r="L23" i="64"/>
  <c r="Y23" i="64" s="1"/>
  <c r="J23" i="35" s="1"/>
  <c r="I24" i="64"/>
  <c r="I25" i="64" s="1"/>
  <c r="Y14" i="62"/>
  <c r="K24" i="19"/>
  <c r="S17" i="70"/>
  <c r="X18" i="63"/>
  <c r="L25" i="63" l="1"/>
  <c r="Y25" i="61"/>
  <c r="G25" i="35"/>
  <c r="L23" i="71"/>
  <c r="Y23" i="71" s="1"/>
  <c r="L23" i="35" s="1"/>
  <c r="I24" i="71"/>
  <c r="I25" i="71" s="1"/>
  <c r="L20" i="71"/>
  <c r="Y20" i="62"/>
  <c r="H20" i="35" s="1"/>
  <c r="L24" i="7"/>
  <c r="G14" i="71"/>
  <c r="G25" i="71" s="1"/>
  <c r="Y24" i="63"/>
  <c r="S18" i="71"/>
  <c r="X17" i="71"/>
  <c r="Y17" i="71" s="1"/>
  <c r="L17" i="35" s="1"/>
  <c r="L14" i="64"/>
  <c r="Y18" i="63"/>
  <c r="L20" i="70"/>
  <c r="S18" i="70"/>
  <c r="X17" i="70"/>
  <c r="Y17" i="70" s="1"/>
  <c r="X20" i="63"/>
  <c r="X25" i="63" s="1"/>
  <c r="X18" i="64"/>
  <c r="K20" i="17"/>
  <c r="L20" i="17" s="1"/>
  <c r="Q20" i="64"/>
  <c r="Q25" i="64" s="1"/>
  <c r="J24" i="17"/>
  <c r="L24" i="64"/>
  <c r="H14" i="35"/>
  <c r="J24" i="35"/>
  <c r="I24" i="70"/>
  <c r="I25" i="70" s="1"/>
  <c r="L23" i="70"/>
  <c r="Y23" i="70" s="1"/>
  <c r="Y14" i="63"/>
  <c r="K24" i="7"/>
  <c r="G14" i="70"/>
  <c r="G25" i="70" s="1"/>
  <c r="J18" i="35"/>
  <c r="L25" i="64" l="1"/>
  <c r="Y25" i="62"/>
  <c r="H25" i="35"/>
  <c r="L24" i="17"/>
  <c r="Q20" i="71"/>
  <c r="Q25" i="71" s="1"/>
  <c r="L14" i="71"/>
  <c r="Y20" i="63"/>
  <c r="I20" i="35" s="1"/>
  <c r="K23" i="35"/>
  <c r="K24" i="35" s="1"/>
  <c r="L24" i="35"/>
  <c r="L24" i="71"/>
  <c r="Y24" i="71" s="1"/>
  <c r="K17" i="35"/>
  <c r="L18" i="35"/>
  <c r="Y24" i="64"/>
  <c r="X18" i="71"/>
  <c r="X20" i="64"/>
  <c r="X25" i="64" s="1"/>
  <c r="I14" i="35"/>
  <c r="Q20" i="70"/>
  <c r="Q25" i="70" s="1"/>
  <c r="K24" i="17"/>
  <c r="L14" i="70"/>
  <c r="L24" i="70"/>
  <c r="Y14" i="64"/>
  <c r="J14" i="35" s="1"/>
  <c r="Y18" i="64"/>
  <c r="X18" i="70"/>
  <c r="K18" i="35" l="1"/>
  <c r="M18" i="35" s="1"/>
  <c r="L25" i="71"/>
  <c r="L25" i="70"/>
  <c r="Y25" i="63"/>
  <c r="I25" i="35"/>
  <c r="Y14" i="71"/>
  <c r="L14" i="35" s="1"/>
  <c r="X20" i="71"/>
  <c r="Y20" i="64"/>
  <c r="J20" i="35" s="1"/>
  <c r="M24" i="35"/>
  <c r="M23" i="35"/>
  <c r="M17" i="35"/>
  <c r="Y24" i="70"/>
  <c r="Y18" i="71"/>
  <c r="Y14" i="70"/>
  <c r="X20" i="70"/>
  <c r="X25" i="70" s="1"/>
  <c r="Y18" i="70"/>
  <c r="Y25" i="64" l="1"/>
  <c r="Y20" i="71"/>
  <c r="L20" i="35" s="1"/>
  <c r="L25" i="35" s="1"/>
  <c r="X25" i="71"/>
  <c r="J25" i="35"/>
  <c r="Y20" i="70"/>
  <c r="Y25" i="70" s="1"/>
  <c r="K14" i="35"/>
  <c r="Y25" i="71" l="1"/>
  <c r="M14" i="35"/>
  <c r="K20" i="35"/>
  <c r="K25" i="35" s="1"/>
  <c r="M20" i="35" l="1"/>
  <c r="M25" i="35" s="1"/>
  <c r="J49" i="52"/>
  <c r="J5" i="69" s="1"/>
  <c r="J49" i="69" s="1"/>
  <c r="C7" i="11" s="1"/>
  <c r="K49" i="52"/>
  <c r="K5" i="69" s="1"/>
  <c r="K49" i="69" s="1"/>
  <c r="C7" i="22" s="1"/>
  <c r="L49" i="52"/>
  <c r="L5" i="69" s="1"/>
  <c r="L49" i="69" s="1"/>
  <c r="C7" i="12" s="1"/>
  <c r="L7" i="12" s="1"/>
  <c r="J5" i="71" s="1"/>
  <c r="J11" i="71" s="1"/>
  <c r="J13" i="71" s="1"/>
  <c r="M49" i="52"/>
  <c r="M5" i="69" s="1"/>
  <c r="M49" i="69" s="1"/>
  <c r="C7" i="13" s="1"/>
  <c r="I49" i="52"/>
  <c r="I5" i="69" s="1"/>
  <c r="I49" i="69" s="1"/>
  <c r="C7" i="7" s="1"/>
  <c r="I38" i="52"/>
  <c r="H49" i="52"/>
  <c r="H5" i="69" s="1"/>
  <c r="H49" i="69" s="1"/>
  <c r="C7" i="8" s="1"/>
  <c r="L7" i="8" s="1"/>
  <c r="H38" i="52"/>
  <c r="J38" i="52"/>
  <c r="K38" i="52"/>
  <c r="F49" i="52"/>
  <c r="F5" i="69" s="1"/>
  <c r="F49" i="69" s="1"/>
  <c r="C7" i="4" s="1"/>
  <c r="F38" i="52"/>
  <c r="L38" i="52"/>
  <c r="G49" i="52"/>
  <c r="G5" i="69" s="1"/>
  <c r="G49" i="69" s="1"/>
  <c r="C7" i="6" s="1"/>
  <c r="G38" i="52"/>
  <c r="M38" i="52"/>
  <c r="F5" i="71" l="1"/>
  <c r="L14" i="8"/>
  <c r="K7" i="6"/>
  <c r="I7" i="6"/>
  <c r="G7" i="6"/>
  <c r="E7" i="6"/>
  <c r="H7" i="22"/>
  <c r="F7" i="22"/>
  <c r="L7" i="22"/>
  <c r="K7" i="22"/>
  <c r="J7" i="22"/>
  <c r="G7" i="22"/>
  <c r="I7" i="22"/>
  <c r="E7" i="22"/>
  <c r="C14" i="4"/>
  <c r="J5" i="57"/>
  <c r="C14" i="12"/>
  <c r="C14" i="6"/>
  <c r="C14" i="7"/>
  <c r="C14" i="8"/>
  <c r="F56" i="69"/>
  <c r="K56" i="69"/>
  <c r="I56" i="69"/>
  <c r="J56" i="69"/>
  <c r="H56" i="69"/>
  <c r="M56" i="69"/>
  <c r="G56" i="69"/>
  <c r="L56" i="69"/>
  <c r="E11" i="59" l="1"/>
  <c r="E13" i="59" s="1"/>
  <c r="E14" i="6"/>
  <c r="E5" i="63"/>
  <c r="E11" i="63" s="1"/>
  <c r="E13" i="63" s="1"/>
  <c r="I14" i="6"/>
  <c r="M5" i="60"/>
  <c r="M11" i="60" s="1"/>
  <c r="I5" i="60"/>
  <c r="I11" i="60" s="1"/>
  <c r="I13" i="60" s="1"/>
  <c r="F14" i="22"/>
  <c r="I5" i="70"/>
  <c r="I11" i="70" s="1"/>
  <c r="I13" i="70" s="1"/>
  <c r="K14" i="22"/>
  <c r="I5" i="71"/>
  <c r="I11" i="71" s="1"/>
  <c r="I13" i="71" s="1"/>
  <c r="L14" i="22"/>
  <c r="E5" i="70"/>
  <c r="E11" i="70" s="1"/>
  <c r="E13" i="70" s="1"/>
  <c r="K14" i="6"/>
  <c r="F11" i="71"/>
  <c r="J11" i="57"/>
  <c r="J13" i="57" s="1"/>
  <c r="E11" i="57"/>
  <c r="E13" i="57" s="1"/>
  <c r="F11" i="57"/>
  <c r="F13" i="57" s="1"/>
  <c r="G11" i="57"/>
  <c r="G13" i="57" s="1"/>
  <c r="D11" i="57"/>
  <c r="D13" i="57" s="1"/>
  <c r="E5" i="61"/>
  <c r="G14" i="6"/>
  <c r="L14" i="13"/>
  <c r="L14" i="12"/>
  <c r="L14" i="11"/>
  <c r="H5" i="63"/>
  <c r="G14" i="11"/>
  <c r="J5" i="70"/>
  <c r="J11" i="70" s="1"/>
  <c r="H14" i="13"/>
  <c r="C14" i="13"/>
  <c r="J5" i="61"/>
  <c r="K5" i="64"/>
  <c r="F14" i="13"/>
  <c r="G14" i="22"/>
  <c r="H5" i="60"/>
  <c r="F14" i="11"/>
  <c r="H5" i="70"/>
  <c r="K14" i="11"/>
  <c r="H14" i="12"/>
  <c r="K14" i="13"/>
  <c r="I5" i="63"/>
  <c r="I11" i="63" s="1"/>
  <c r="E14" i="16"/>
  <c r="H5" i="59"/>
  <c r="E14" i="11"/>
  <c r="D14" i="12"/>
  <c r="E14" i="13"/>
  <c r="J14" i="22"/>
  <c r="E14" i="22"/>
  <c r="C14" i="11"/>
  <c r="H5" i="62"/>
  <c r="H14" i="11"/>
  <c r="J5" i="64"/>
  <c r="D14" i="13"/>
  <c r="I5" i="58"/>
  <c r="I11" i="58" s="1"/>
  <c r="C14" i="22"/>
  <c r="H5" i="64"/>
  <c r="J14" i="11"/>
  <c r="I14" i="13"/>
  <c r="K5" i="63"/>
  <c r="H14" i="22"/>
  <c r="I5" i="62"/>
  <c r="I11" i="62" s="1"/>
  <c r="F13" i="71" l="1"/>
  <c r="L13" i="71" s="1"/>
  <c r="L11" i="71"/>
  <c r="L7" i="16"/>
  <c r="K7" i="16"/>
  <c r="K14" i="16" s="1"/>
  <c r="G14" i="16"/>
  <c r="I14" i="16"/>
  <c r="M5" i="62"/>
  <c r="M11" i="62" s="1"/>
  <c r="L5" i="71"/>
  <c r="H11" i="62"/>
  <c r="H13" i="62" s="1"/>
  <c r="E11" i="61"/>
  <c r="E13" i="61" s="1"/>
  <c r="H11" i="63"/>
  <c r="H13" i="63" s="1"/>
  <c r="H11" i="64"/>
  <c r="H13" i="64" s="1"/>
  <c r="H11" i="59"/>
  <c r="H13" i="59" s="1"/>
  <c r="H11" i="70"/>
  <c r="H13" i="70" s="1"/>
  <c r="K11" i="64"/>
  <c r="K13" i="64" s="1"/>
  <c r="K11" i="63"/>
  <c r="K13" i="63" s="1"/>
  <c r="J11" i="61"/>
  <c r="J13" i="61" s="1"/>
  <c r="J11" i="64"/>
  <c r="J13" i="64" s="1"/>
  <c r="H11" i="60"/>
  <c r="H13" i="60" s="1"/>
  <c r="H11" i="57"/>
  <c r="H13" i="57" s="1"/>
  <c r="M5" i="70"/>
  <c r="M11" i="70" s="1"/>
  <c r="M5" i="63"/>
  <c r="K14" i="12"/>
  <c r="I5" i="61"/>
  <c r="J14" i="13"/>
  <c r="K5" i="60"/>
  <c r="I14" i="11"/>
  <c r="K5" i="62"/>
  <c r="I5" i="59"/>
  <c r="M5" i="59"/>
  <c r="F14" i="16"/>
  <c r="J5" i="58"/>
  <c r="H5" i="61"/>
  <c r="I5" i="64"/>
  <c r="J14" i="12"/>
  <c r="K5" i="70"/>
  <c r="G14" i="12"/>
  <c r="J5" i="62"/>
  <c r="K5" i="57"/>
  <c r="K5" i="58"/>
  <c r="I14" i="22"/>
  <c r="D14" i="22"/>
  <c r="I13" i="62"/>
  <c r="I13" i="63"/>
  <c r="J13" i="70"/>
  <c r="P5" i="60"/>
  <c r="P5" i="62"/>
  <c r="H14" i="16" l="1"/>
  <c r="M5" i="64"/>
  <c r="J14" i="16"/>
  <c r="M5" i="71"/>
  <c r="M11" i="71" s="1"/>
  <c r="L14" i="16"/>
  <c r="M5" i="61"/>
  <c r="M11" i="61" s="1"/>
  <c r="P11" i="61" s="1"/>
  <c r="I11" i="59"/>
  <c r="I13" i="59" s="1"/>
  <c r="P5" i="59"/>
  <c r="M11" i="59"/>
  <c r="M13" i="59" s="1"/>
  <c r="P13" i="59" s="1"/>
  <c r="I11" i="61"/>
  <c r="I13" i="61" s="1"/>
  <c r="K11" i="58"/>
  <c r="K13" i="58" s="1"/>
  <c r="J11" i="62"/>
  <c r="J13" i="62" s="1"/>
  <c r="H11" i="61"/>
  <c r="K11" i="62"/>
  <c r="K13" i="62" s="1"/>
  <c r="I11" i="64"/>
  <c r="I13" i="64" s="1"/>
  <c r="L13" i="64" s="1"/>
  <c r="P5" i="70"/>
  <c r="J11" i="58"/>
  <c r="J13" i="58" s="1"/>
  <c r="P5" i="63"/>
  <c r="M11" i="63"/>
  <c r="M13" i="63" s="1"/>
  <c r="P13" i="63" s="1"/>
  <c r="K11" i="59"/>
  <c r="K13" i="59" s="1"/>
  <c r="K11" i="70"/>
  <c r="K13" i="70" s="1"/>
  <c r="K11" i="60"/>
  <c r="L11" i="60" s="1"/>
  <c r="I11" i="57"/>
  <c r="I13" i="57" s="1"/>
  <c r="K11" i="57"/>
  <c r="K13" i="57" s="1"/>
  <c r="L5" i="60"/>
  <c r="Y5" i="60" s="1"/>
  <c r="F5" i="35" s="1"/>
  <c r="G44" i="35" s="1"/>
  <c r="L5" i="58"/>
  <c r="Y5" i="58" s="1"/>
  <c r="D5" i="35" s="1"/>
  <c r="E44" i="35" s="1"/>
  <c r="L5" i="61"/>
  <c r="L5" i="64"/>
  <c r="I13" i="58"/>
  <c r="P11" i="62"/>
  <c r="M13" i="62"/>
  <c r="P13" i="62" s="1"/>
  <c r="P11" i="70"/>
  <c r="M13" i="70"/>
  <c r="P13" i="70" s="1"/>
  <c r="M13" i="60"/>
  <c r="P13" i="60" s="1"/>
  <c r="P11" i="60"/>
  <c r="P5" i="71" l="1"/>
  <c r="Y5" i="71" s="1"/>
  <c r="L5" i="35" s="1"/>
  <c r="M44" i="35" s="1"/>
  <c r="M50" i="35" s="1"/>
  <c r="M13" i="61"/>
  <c r="P13" i="61" s="1"/>
  <c r="P5" i="61"/>
  <c r="Y5" i="61" s="1"/>
  <c r="G5" i="35" s="1"/>
  <c r="H44" i="35" s="1"/>
  <c r="P5" i="64"/>
  <c r="Y5" i="64" s="1"/>
  <c r="J5" i="35" s="1"/>
  <c r="K44" i="35" s="1"/>
  <c r="K50" i="35" s="1"/>
  <c r="K52" i="35" s="1"/>
  <c r="M11" i="64"/>
  <c r="E50" i="35"/>
  <c r="E52" i="35" s="1"/>
  <c r="G50" i="35"/>
  <c r="G52" i="35" s="1"/>
  <c r="P11" i="63"/>
  <c r="L11" i="58"/>
  <c r="Y11" i="58" s="1"/>
  <c r="D11" i="35" s="1"/>
  <c r="D13" i="35" s="1"/>
  <c r="L11" i="64"/>
  <c r="L11" i="61"/>
  <c r="Y11" i="61" s="1"/>
  <c r="G11" i="35" s="1"/>
  <c r="G13" i="35" s="1"/>
  <c r="L13" i="58"/>
  <c r="Y13" i="58" s="1"/>
  <c r="Z40" i="58" s="1"/>
  <c r="H13" i="61"/>
  <c r="L13" i="61" s="1"/>
  <c r="Y11" i="60"/>
  <c r="F11" i="35" s="1"/>
  <c r="F13" i="35" s="1"/>
  <c r="K13" i="60"/>
  <c r="L13" i="60" s="1"/>
  <c r="Y13" i="60" s="1"/>
  <c r="P11" i="71"/>
  <c r="Y11" i="71" s="1"/>
  <c r="L11" i="35" s="1"/>
  <c r="L13" i="35" s="1"/>
  <c r="M13" i="71"/>
  <c r="P13" i="71" s="1"/>
  <c r="Y13" i="71" s="1"/>
  <c r="Z40" i="71" s="1"/>
  <c r="P11" i="59"/>
  <c r="N15" i="52"/>
  <c r="N38" i="52" s="1"/>
  <c r="E49" i="52"/>
  <c r="N49" i="52" s="1"/>
  <c r="AA49" i="52" s="1"/>
  <c r="E38" i="52"/>
  <c r="N54" i="52" s="1"/>
  <c r="AA54" i="52" s="1"/>
  <c r="AA14" i="60" l="1"/>
  <c r="Z40" i="60"/>
  <c r="Y13" i="61"/>
  <c r="Z40" i="61" s="1"/>
  <c r="M13" i="64"/>
  <c r="P13" i="64" s="1"/>
  <c r="Y13" i="64" s="1"/>
  <c r="Z40" i="64" s="1"/>
  <c r="P11" i="64"/>
  <c r="Y11" i="64" s="1"/>
  <c r="J11" i="35" s="1"/>
  <c r="J13" i="35" s="1"/>
  <c r="H50" i="35"/>
  <c r="H52" i="35" s="1"/>
  <c r="AA13" i="60"/>
  <c r="AB13" i="60"/>
  <c r="E5" i="69"/>
  <c r="E49" i="69" s="1"/>
  <c r="AA15" i="52"/>
  <c r="AA38" i="52" s="1"/>
  <c r="AB38" i="52" s="1"/>
  <c r="N5" i="69"/>
  <c r="AA5" i="69" s="1"/>
  <c r="E56" i="69" l="1"/>
  <c r="C7" i="9"/>
  <c r="L14" i="9"/>
  <c r="AB15" i="52"/>
  <c r="N49" i="69"/>
  <c r="C11" i="59" l="1"/>
  <c r="E14" i="9"/>
  <c r="C5" i="70"/>
  <c r="C11" i="70" s="1"/>
  <c r="K14" i="9"/>
  <c r="C5" i="63"/>
  <c r="C11" i="63" s="1"/>
  <c r="I14" i="9"/>
  <c r="C5" i="62"/>
  <c r="C11" i="62" s="1"/>
  <c r="H14" i="9"/>
  <c r="C11" i="57"/>
  <c r="C14" i="9"/>
  <c r="AA49" i="69"/>
  <c r="AA56" i="69" s="1"/>
  <c r="N56" i="69"/>
  <c r="L5" i="70" l="1"/>
  <c r="Y5" i="70" s="1"/>
  <c r="K5" i="35" s="1"/>
  <c r="L5" i="63"/>
  <c r="Y5" i="63" s="1"/>
  <c r="I5" i="35" s="1"/>
  <c r="J44" i="35" s="1"/>
  <c r="L5" i="57"/>
  <c r="Y5" i="57" s="1"/>
  <c r="C5" i="35" s="1"/>
  <c r="L5" i="62"/>
  <c r="Y5" i="62" s="1"/>
  <c r="H5" i="35" s="1"/>
  <c r="I44" i="35" s="1"/>
  <c r="L5" i="59"/>
  <c r="Y5" i="59" s="1"/>
  <c r="E5" i="35" s="1"/>
  <c r="F44" i="35" s="1"/>
  <c r="F50" i="35" l="1"/>
  <c r="F52" i="35" s="1"/>
  <c r="I50" i="35"/>
  <c r="I52" i="35" s="1"/>
  <c r="J50" i="35"/>
  <c r="J52" i="35" s="1"/>
  <c r="M5" i="35"/>
  <c r="M52" i="35"/>
  <c r="L44" i="35"/>
  <c r="C13" i="63"/>
  <c r="L13" i="63" s="1"/>
  <c r="Y13" i="63" s="1"/>
  <c r="Z40" i="63" s="1"/>
  <c r="L11" i="63"/>
  <c r="Y11" i="63" s="1"/>
  <c r="I11" i="35" s="1"/>
  <c r="I13" i="35" s="1"/>
  <c r="C13" i="62"/>
  <c r="L13" i="62" s="1"/>
  <c r="Y13" i="62" s="1"/>
  <c r="Z40" i="62" s="1"/>
  <c r="L11" i="62"/>
  <c r="Y11" i="62" s="1"/>
  <c r="H11" i="35" s="1"/>
  <c r="H13" i="35" s="1"/>
  <c r="D44" i="35"/>
  <c r="C13" i="59"/>
  <c r="L13" i="59" s="1"/>
  <c r="Y13" i="59" s="1"/>
  <c r="Z40" i="59" s="1"/>
  <c r="L11" i="59"/>
  <c r="Y11" i="59" s="1"/>
  <c r="E11" i="35" s="1"/>
  <c r="E13" i="35" s="1"/>
  <c r="C13" i="57"/>
  <c r="L13" i="57" s="1"/>
  <c r="Y13" i="57" s="1"/>
  <c r="Z13" i="57" s="1"/>
  <c r="L11" i="57"/>
  <c r="Y11" i="57" s="1"/>
  <c r="C11" i="35" s="1"/>
  <c r="C13" i="70"/>
  <c r="L13" i="70" s="1"/>
  <c r="Y13" i="70" s="1"/>
  <c r="Z40" i="70" s="1"/>
  <c r="L11" i="70"/>
  <c r="Y11" i="70" s="1"/>
  <c r="K11" i="35" l="1"/>
  <c r="K13" i="35" s="1"/>
  <c r="N44" i="35"/>
  <c r="N50" i="35" s="1"/>
  <c r="N52" i="35" s="1"/>
  <c r="D50" i="35"/>
  <c r="D52" i="35" s="1"/>
  <c r="L50" i="35"/>
  <c r="L52" i="35" s="1"/>
  <c r="C13" i="35"/>
  <c r="M11" i="35"/>
  <c r="M13" i="35" l="1"/>
</calcChain>
</file>

<file path=xl/comments1.xml><?xml version="1.0" encoding="utf-8"?>
<comments xmlns="http://schemas.openxmlformats.org/spreadsheetml/2006/main">
  <authors>
    <author>ProfileAdm</author>
  </authors>
  <commentList>
    <comment ref="E18" authorId="0" shapeId="0">
      <text>
        <r>
          <rPr>
            <b/>
            <sz val="9"/>
            <color indexed="81"/>
            <rFont val="돋움"/>
            <family val="3"/>
            <charset val="129"/>
          </rPr>
          <t>신규로터</t>
        </r>
        <r>
          <rPr>
            <b/>
            <sz val="9"/>
            <color indexed="81"/>
            <rFont val="Tahoma"/>
            <family val="2"/>
          </rPr>
          <t xml:space="preserve"> 145</t>
        </r>
        <r>
          <rPr>
            <b/>
            <sz val="9"/>
            <color indexed="81"/>
            <rFont val="돋움"/>
            <family val="3"/>
            <charset val="129"/>
          </rPr>
          <t>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</t>
        </r>
      </text>
    </comment>
  </commentList>
</comments>
</file>

<file path=xl/comments2.xml><?xml version="1.0" encoding="utf-8"?>
<comments xmlns="http://schemas.openxmlformats.org/spreadsheetml/2006/main">
  <authors>
    <author>ProfileAdm</author>
  </authors>
  <commentList>
    <comment ref="D17" authorId="0" shapeId="0">
      <text>
        <r>
          <rPr>
            <b/>
            <sz val="9"/>
            <color indexed="81"/>
            <rFont val="Tahoma"/>
            <family val="2"/>
          </rPr>
          <t>CRI 30</t>
        </r>
        <r>
          <rPr>
            <b/>
            <sz val="9"/>
            <color indexed="81"/>
            <rFont val="돋움"/>
            <family val="3"/>
            <charset val="129"/>
          </rPr>
          <t>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</t>
        </r>
      </text>
    </comment>
  </commentList>
</comments>
</file>

<file path=xl/comments3.xml><?xml version="1.0" encoding="utf-8"?>
<comments xmlns="http://schemas.openxmlformats.org/spreadsheetml/2006/main">
  <authors>
    <author>ProfileAdm</author>
  </authors>
  <commentList>
    <comment ref="D25" authorId="0" shapeId="0">
      <text>
        <r>
          <rPr>
            <sz val="9"/>
            <color indexed="81"/>
            <rFont val="돋움"/>
            <family val="3"/>
            <charset val="129"/>
          </rPr>
          <t>파주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로터</t>
        </r>
        <r>
          <rPr>
            <sz val="9"/>
            <color indexed="81"/>
            <rFont val="Tahoma"/>
            <family val="2"/>
          </rPr>
          <t xml:space="preserve"> 200</t>
        </r>
        <r>
          <rPr>
            <sz val="9"/>
            <color indexed="81"/>
            <rFont val="돋움"/>
            <family val="3"/>
            <charset val="129"/>
          </rPr>
          <t>억</t>
        </r>
      </text>
    </comment>
  </commentList>
</comments>
</file>

<file path=xl/comments4.xml><?xml version="1.0" encoding="utf-8"?>
<comments xmlns="http://schemas.openxmlformats.org/spreadsheetml/2006/main">
  <authors>
    <author>ProfileAdm</author>
  </authors>
  <commentList>
    <comment ref="D9" authorId="0" shapeId="0">
      <text>
        <r>
          <rPr>
            <sz val="9"/>
            <color indexed="81"/>
            <rFont val="돋움"/>
            <family val="3"/>
            <charset val="129"/>
          </rPr>
          <t>광교지사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용역</t>
        </r>
        <r>
          <rPr>
            <sz val="9"/>
            <color indexed="81"/>
            <rFont val="Tahoma"/>
            <family val="2"/>
          </rPr>
          <t xml:space="preserve"> 8</t>
        </r>
        <r>
          <rPr>
            <sz val="9"/>
            <color indexed="81"/>
            <rFont val="돋움"/>
            <family val="3"/>
            <charset val="129"/>
          </rPr>
          <t>억</t>
        </r>
      </text>
    </comment>
    <comment ref="E9" authorId="0" shapeId="0">
      <text>
        <r>
          <rPr>
            <sz val="9"/>
            <color indexed="81"/>
            <rFont val="돋움"/>
            <family val="3"/>
            <charset val="129"/>
          </rPr>
          <t>광교지사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용역</t>
        </r>
        <r>
          <rPr>
            <sz val="9"/>
            <color indexed="81"/>
            <rFont val="Tahoma"/>
            <family val="2"/>
          </rPr>
          <t xml:space="preserve"> 8</t>
        </r>
        <r>
          <rPr>
            <sz val="9"/>
            <color indexed="81"/>
            <rFont val="돋움"/>
            <family val="3"/>
            <charset val="129"/>
          </rPr>
          <t>억</t>
        </r>
      </text>
    </comment>
  </commentList>
</comments>
</file>

<file path=xl/comments5.xml><?xml version="1.0" encoding="utf-8"?>
<comments xmlns="http://schemas.openxmlformats.org/spreadsheetml/2006/main">
  <authors>
    <author>ProfileAdm</author>
  </authors>
  <commentList>
    <comment ref="F7" authorId="0" shapeId="0">
      <text>
        <r>
          <rPr>
            <sz val="9"/>
            <color indexed="81"/>
            <rFont val="돋움"/>
            <family val="3"/>
            <charset val="129"/>
          </rPr>
          <t>양산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기입</t>
        </r>
      </text>
    </comment>
  </commentList>
</comments>
</file>

<file path=xl/comments6.xml><?xml version="1.0" encoding="utf-8"?>
<comments xmlns="http://schemas.openxmlformats.org/spreadsheetml/2006/main">
  <authors>
    <author>ProfileAdm</author>
  </authors>
  <commentList>
    <comment ref="K7" authorId="0" shapeId="0">
      <text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</t>
        </r>
      </text>
    </comment>
    <comment ref="D25" authorId="0" shapeId="0">
      <text>
        <r>
          <rPr>
            <sz val="9"/>
            <color indexed="81"/>
            <rFont val="돋움"/>
            <family val="3"/>
            <charset val="129"/>
          </rPr>
          <t>동남권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복구비용</t>
        </r>
        <r>
          <rPr>
            <sz val="9"/>
            <color indexed="81"/>
            <rFont val="Tahoma"/>
            <family val="2"/>
          </rPr>
          <t xml:space="preserve"> 70</t>
        </r>
        <r>
          <rPr>
            <sz val="9"/>
            <color indexed="81"/>
            <rFont val="돋움"/>
            <family val="3"/>
            <charset val="129"/>
          </rPr>
          <t>억</t>
        </r>
      </text>
    </comment>
  </commentList>
</comments>
</file>

<file path=xl/comments7.xml><?xml version="1.0" encoding="utf-8"?>
<comments xmlns="http://schemas.openxmlformats.org/spreadsheetml/2006/main">
  <authors>
    <author>ProfileAdm</author>
  </authors>
  <commentList>
    <comment ref="K6" authorId="0" shapeId="0">
      <text>
        <r>
          <rPr>
            <b/>
            <sz val="14"/>
            <color indexed="81"/>
            <rFont val="돋움"/>
            <family val="3"/>
            <charset val="129"/>
          </rPr>
          <t>기존</t>
        </r>
        <r>
          <rPr>
            <b/>
            <sz val="14"/>
            <color indexed="81"/>
            <rFont val="Tahoma"/>
            <family val="2"/>
          </rPr>
          <t xml:space="preserve"> LTSA -&gt; LTPM </t>
        </r>
        <r>
          <rPr>
            <b/>
            <sz val="14"/>
            <color indexed="81"/>
            <rFont val="돋움"/>
            <family val="3"/>
            <charset val="129"/>
          </rPr>
          <t>계약으로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변경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가정
고온부품</t>
        </r>
        <r>
          <rPr>
            <b/>
            <sz val="14"/>
            <color indexed="81"/>
            <rFont val="Tahoma"/>
            <family val="2"/>
          </rPr>
          <t xml:space="preserve"> 3 Sets</t>
        </r>
      </text>
    </comment>
  </commentList>
</comments>
</file>

<file path=xl/comments8.xml><?xml version="1.0" encoding="utf-8"?>
<comments xmlns="http://schemas.openxmlformats.org/spreadsheetml/2006/main">
  <authors>
    <author>ProfileAdm</author>
  </authors>
  <commentList>
    <comment ref="K15" authorId="0" shapeId="0">
      <text>
        <r>
          <rPr>
            <b/>
            <sz val="9"/>
            <color indexed="81"/>
            <rFont val="돋움"/>
            <family val="3"/>
            <charset val="129"/>
          </rPr>
          <t>개체공사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준공일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
변경전</t>
        </r>
        <r>
          <rPr>
            <b/>
            <sz val="9"/>
            <color indexed="81"/>
            <rFont val="Tahoma"/>
            <family val="2"/>
          </rPr>
          <t xml:space="preserve"> : 2028.12.01
</t>
        </r>
        <r>
          <rPr>
            <b/>
            <sz val="9"/>
            <color indexed="81"/>
            <rFont val="돋움"/>
            <family val="3"/>
            <charset val="129"/>
          </rPr>
          <t>변경후</t>
        </r>
        <r>
          <rPr>
            <b/>
            <sz val="9"/>
            <color indexed="81"/>
            <rFont val="Tahoma"/>
            <family val="2"/>
          </rPr>
          <t xml:space="preserve"> : 2029.02.27</t>
        </r>
      </text>
    </comment>
  </commentList>
</comments>
</file>

<file path=xl/sharedStrings.xml><?xml version="1.0" encoding="utf-8"?>
<sst xmlns="http://schemas.openxmlformats.org/spreadsheetml/2006/main" count="2809" uniqueCount="406">
  <si>
    <t>동탄</t>
    <phoneticPr fontId="1" type="noConversion"/>
  </si>
  <si>
    <t>계약방식</t>
    <phoneticPr fontId="1" type="noConversion"/>
  </si>
  <si>
    <t>계약기간</t>
    <phoneticPr fontId="1" type="noConversion"/>
  </si>
  <si>
    <t>광교</t>
  </si>
  <si>
    <t>광교</t>
    <phoneticPr fontId="1" type="noConversion"/>
  </si>
  <si>
    <t>판교</t>
  </si>
  <si>
    <t>판교</t>
    <phoneticPr fontId="1" type="noConversion"/>
  </si>
  <si>
    <t>양산</t>
  </si>
  <si>
    <t>양산</t>
    <phoneticPr fontId="1" type="noConversion"/>
  </si>
  <si>
    <t>구  분</t>
    <phoneticPr fontId="1" type="noConversion"/>
  </si>
  <si>
    <t>25년</t>
  </si>
  <si>
    <t>26년</t>
  </si>
  <si>
    <t>27년</t>
  </si>
  <si>
    <t>28년</t>
  </si>
  <si>
    <t>29년</t>
  </si>
  <si>
    <t>30년</t>
  </si>
  <si>
    <t>31년</t>
  </si>
  <si>
    <t>소계</t>
    <phoneticPr fontId="1" type="noConversion"/>
  </si>
  <si>
    <t>화성</t>
  </si>
  <si>
    <t>파주</t>
  </si>
  <si>
    <t>삼송</t>
  </si>
  <si>
    <t>수원</t>
  </si>
  <si>
    <t>대구</t>
  </si>
  <si>
    <t>청주</t>
  </si>
  <si>
    <t>광주전남</t>
  </si>
  <si>
    <t>강남</t>
  </si>
  <si>
    <t>중앙</t>
  </si>
  <si>
    <t>고양</t>
  </si>
  <si>
    <t>용인</t>
  </si>
  <si>
    <t>분당</t>
  </si>
  <si>
    <t>세종</t>
  </si>
  <si>
    <t>김해</t>
  </si>
  <si>
    <t>평택</t>
  </si>
  <si>
    <t>건물/구축물</t>
    <phoneticPr fontId="1" type="noConversion"/>
  </si>
  <si>
    <t>기계장치</t>
    <phoneticPr fontId="1" type="noConversion"/>
  </si>
  <si>
    <t>계</t>
    <phoneticPr fontId="1" type="noConversion"/>
  </si>
  <si>
    <t>예비품</t>
    <phoneticPr fontId="1" type="noConversion"/>
  </si>
  <si>
    <t>저장품</t>
    <phoneticPr fontId="1" type="noConversion"/>
  </si>
  <si>
    <t>재생고온부품</t>
    <phoneticPr fontId="1" type="noConversion"/>
  </si>
  <si>
    <t>자산화예비품</t>
    <phoneticPr fontId="1" type="noConversion"/>
  </si>
  <si>
    <t>(단위 : 천원)</t>
    <phoneticPr fontId="1" type="noConversion"/>
  </si>
  <si>
    <t>합계</t>
    <phoneticPr fontId="1" type="noConversion"/>
  </si>
  <si>
    <t>등급</t>
  </si>
  <si>
    <t>GT</t>
  </si>
  <si>
    <t>ST</t>
  </si>
  <si>
    <t>화 성</t>
  </si>
  <si>
    <t>간이</t>
  </si>
  <si>
    <t>C</t>
  </si>
  <si>
    <t>TI</t>
  </si>
  <si>
    <t>B</t>
  </si>
  <si>
    <t>MI</t>
  </si>
  <si>
    <t>A</t>
  </si>
  <si>
    <t>판 교</t>
  </si>
  <si>
    <t>HGPI</t>
  </si>
  <si>
    <t>파 주</t>
  </si>
  <si>
    <t>CI</t>
  </si>
  <si>
    <t>광 교</t>
  </si>
  <si>
    <t>준공</t>
  </si>
  <si>
    <t>-</t>
  </si>
  <si>
    <t>수 원</t>
  </si>
  <si>
    <t>고온부품재생</t>
    <phoneticPr fontId="1" type="noConversion"/>
  </si>
  <si>
    <t>건설중인자산</t>
    <phoneticPr fontId="1" type="noConversion"/>
  </si>
  <si>
    <t>예산과목</t>
    <phoneticPr fontId="1" type="noConversion"/>
  </si>
  <si>
    <t>공구와기구</t>
    <phoneticPr fontId="1" type="noConversion"/>
  </si>
  <si>
    <t>기타기계장치</t>
    <phoneticPr fontId="1" type="noConversion"/>
  </si>
  <si>
    <t>건물</t>
    <phoneticPr fontId="1" type="noConversion"/>
  </si>
  <si>
    <t>구축물</t>
    <phoneticPr fontId="1" type="noConversion"/>
  </si>
  <si>
    <t>자산</t>
    <phoneticPr fontId="1" type="noConversion"/>
  </si>
  <si>
    <t>정비등급</t>
    <phoneticPr fontId="1" type="noConversion"/>
  </si>
  <si>
    <t>화성</t>
    <phoneticPr fontId="1" type="noConversion"/>
  </si>
  <si>
    <t>파주</t>
    <phoneticPr fontId="1" type="noConversion"/>
  </si>
  <si>
    <t>삼송</t>
    <phoneticPr fontId="1" type="noConversion"/>
  </si>
  <si>
    <t>대구</t>
    <phoneticPr fontId="1" type="noConversion"/>
  </si>
  <si>
    <t>청주</t>
    <phoneticPr fontId="1" type="noConversion"/>
  </si>
  <si>
    <t>수원</t>
    <phoneticPr fontId="1" type="noConversion"/>
  </si>
  <si>
    <t>광주전남</t>
    <phoneticPr fontId="1" type="noConversion"/>
  </si>
  <si>
    <t>A</t>
    <phoneticPr fontId="1" type="noConversion"/>
  </si>
  <si>
    <t>[단위 : 백만원]</t>
    <phoneticPr fontId="1" type="noConversion"/>
  </si>
  <si>
    <t>합  계</t>
    <phoneticPr fontId="1" type="noConversion"/>
  </si>
  <si>
    <t>22년 MI</t>
    <phoneticPr fontId="1" type="noConversion"/>
  </si>
  <si>
    <t>20년 TI</t>
    <phoneticPr fontId="1" type="noConversion"/>
  </si>
  <si>
    <t>고온부품재생+LTSA</t>
    <phoneticPr fontId="1" type="noConversion"/>
  </si>
  <si>
    <t>간이</t>
    <phoneticPr fontId="1" type="noConversion"/>
  </si>
  <si>
    <t>대구동일</t>
    <phoneticPr fontId="1" type="noConversion"/>
  </si>
  <si>
    <t>HGPI</t>
    <phoneticPr fontId="1" type="noConversion"/>
  </si>
  <si>
    <t>소계</t>
  </si>
  <si>
    <t>중앙</t>
    <phoneticPr fontId="1" type="noConversion"/>
  </si>
  <si>
    <t>고양</t>
    <phoneticPr fontId="1" type="noConversion"/>
  </si>
  <si>
    <t>용인</t>
    <phoneticPr fontId="1" type="noConversion"/>
  </si>
  <si>
    <t>분당</t>
    <phoneticPr fontId="1" type="noConversion"/>
  </si>
  <si>
    <t>세종</t>
    <phoneticPr fontId="1" type="noConversion"/>
  </si>
  <si>
    <t>김해</t>
    <phoneticPr fontId="1" type="noConversion"/>
  </si>
  <si>
    <t>평택</t>
    <phoneticPr fontId="1" type="noConversion"/>
  </si>
  <si>
    <t>수선유지비</t>
    <phoneticPr fontId="1" type="noConversion"/>
  </si>
  <si>
    <t>건물/구축물</t>
    <phoneticPr fontId="1" type="noConversion"/>
  </si>
  <si>
    <t>열원정기점검</t>
    <phoneticPr fontId="1" type="noConversion"/>
  </si>
  <si>
    <t>열원경상정비</t>
    <phoneticPr fontId="1" type="noConversion"/>
  </si>
  <si>
    <t>열원정기유지보수</t>
    <phoneticPr fontId="1" type="noConversion"/>
  </si>
  <si>
    <t>지급수수료</t>
    <phoneticPr fontId="1" type="noConversion"/>
  </si>
  <si>
    <t>지급수수료 열원</t>
    <phoneticPr fontId="1" type="noConversion"/>
  </si>
  <si>
    <t>손익합계</t>
    <phoneticPr fontId="1" type="noConversion"/>
  </si>
  <si>
    <t>TI</t>
    <phoneticPr fontId="1" type="noConversion"/>
  </si>
  <si>
    <t>건가-외주비</t>
    <phoneticPr fontId="1" type="noConversion"/>
  </si>
  <si>
    <t>MI 및 A급 정비</t>
    <phoneticPr fontId="1" type="noConversion"/>
  </si>
  <si>
    <t>간이</t>
    <phoneticPr fontId="1" type="noConversion"/>
  </si>
  <si>
    <t>손익합계</t>
    <phoneticPr fontId="1" type="noConversion"/>
  </si>
  <si>
    <t>MI</t>
    <phoneticPr fontId="1" type="noConversion"/>
  </si>
  <si>
    <t>HGPI</t>
    <phoneticPr fontId="1" type="noConversion"/>
  </si>
  <si>
    <t>C</t>
    <phoneticPr fontId="1" type="noConversion"/>
  </si>
  <si>
    <t>A</t>
    <phoneticPr fontId="1" type="noConversion"/>
  </si>
  <si>
    <t>손익예산 합계</t>
    <phoneticPr fontId="1" type="noConversion"/>
  </si>
  <si>
    <t>간이/A</t>
    <phoneticPr fontId="1" type="noConversion"/>
  </si>
  <si>
    <t>HGPI/A</t>
    <phoneticPr fontId="1" type="noConversion"/>
  </si>
  <si>
    <t>양 산</t>
  </si>
  <si>
    <t>32년</t>
    <phoneticPr fontId="1" type="noConversion"/>
  </si>
  <si>
    <t>자본예산 합계</t>
    <phoneticPr fontId="1" type="noConversion"/>
  </si>
  <si>
    <t>기계장치</t>
  </si>
  <si>
    <t>총괄표</t>
    <phoneticPr fontId="1" type="noConversion"/>
  </si>
  <si>
    <t>[단위 : 천원]</t>
  </si>
  <si>
    <t>손익합계</t>
    <phoneticPr fontId="1" type="noConversion"/>
  </si>
  <si>
    <t>중대형 MI 및 소형 A급 정비</t>
    <phoneticPr fontId="1" type="noConversion"/>
  </si>
  <si>
    <t>33년</t>
    <phoneticPr fontId="1" type="noConversion"/>
  </si>
  <si>
    <t>32년</t>
  </si>
  <si>
    <t>중대형</t>
    <phoneticPr fontId="1" type="noConversion"/>
  </si>
  <si>
    <t>DH</t>
    <phoneticPr fontId="1" type="noConversion"/>
  </si>
  <si>
    <t>소형CHP</t>
  </si>
  <si>
    <t>소형CHP</t>
    <phoneticPr fontId="1" type="noConversion"/>
  </si>
  <si>
    <t>DH 경상정비</t>
  </si>
  <si>
    <t>동탄</t>
  </si>
  <si>
    <t>합계</t>
  </si>
  <si>
    <t>광주전남 경상정비</t>
  </si>
  <si>
    <t>계약체결금액</t>
    <phoneticPr fontId="1" type="noConversion"/>
  </si>
  <si>
    <t>A</t>
    <phoneticPr fontId="1" type="noConversion"/>
  </si>
  <si>
    <t>* 동탄에 미래개발원 금액 포함</t>
    <phoneticPr fontId="1" type="noConversion"/>
  </si>
  <si>
    <t>* LTSA 포함</t>
    <phoneticPr fontId="1" type="noConversion"/>
  </si>
  <si>
    <t>경상정비</t>
    <phoneticPr fontId="1" type="noConversion"/>
  </si>
  <si>
    <t>정기유지보수</t>
    <phoneticPr fontId="1" type="noConversion"/>
  </si>
  <si>
    <t>정기점검</t>
    <phoneticPr fontId="1" type="noConversion"/>
  </si>
  <si>
    <t>플랜트</t>
    <phoneticPr fontId="1" type="noConversion"/>
  </si>
  <si>
    <t>열원보완개선</t>
    <phoneticPr fontId="1" type="noConversion"/>
  </si>
  <si>
    <t>판형열교환기</t>
    <phoneticPr fontId="1" type="noConversion"/>
  </si>
  <si>
    <t>건물구축물</t>
    <phoneticPr fontId="1" type="noConversion"/>
  </si>
  <si>
    <t>열원보완</t>
    <phoneticPr fontId="1" type="noConversion"/>
  </si>
  <si>
    <t>총계</t>
    <phoneticPr fontId="1" type="noConversion"/>
  </si>
  <si>
    <t>간이</t>
    <phoneticPr fontId="1" type="noConversion"/>
  </si>
  <si>
    <t>TI</t>
    <phoneticPr fontId="1" type="noConversion"/>
  </si>
  <si>
    <t>C</t>
    <phoneticPr fontId="1" type="noConversion"/>
  </si>
  <si>
    <t>A</t>
    <phoneticPr fontId="1" type="noConversion"/>
  </si>
  <si>
    <t>간이/A</t>
    <phoneticPr fontId="1" type="noConversion"/>
  </si>
  <si>
    <t>LTPM 변경</t>
    <phoneticPr fontId="1" type="noConversion"/>
  </si>
  <si>
    <t>여기까지 완료</t>
    <phoneticPr fontId="1" type="noConversion"/>
  </si>
  <si>
    <t>대구는 정비등급과 관계없이 설비노후화 등으로 설비개선 금액 기존중장기로 반영</t>
    <phoneticPr fontId="1" type="noConversion"/>
  </si>
  <si>
    <t xml:space="preserve"> - 실제로 타지사 대비 많음</t>
    <phoneticPr fontId="1" type="noConversion"/>
  </si>
  <si>
    <t>기간</t>
  </si>
  <si>
    <t>5.9-5.31</t>
  </si>
  <si>
    <t>4.16-6.13</t>
  </si>
  <si>
    <t>5.12-6.23</t>
  </si>
  <si>
    <t>5.10-6.22</t>
  </si>
  <si>
    <t>5.6-5.29</t>
  </si>
  <si>
    <t>5.6-5.28</t>
  </si>
  <si>
    <t>5.17~6.11</t>
  </si>
  <si>
    <t>5.8-6.16</t>
  </si>
  <si>
    <t>5.14-6.8</t>
  </si>
  <si>
    <t>5.13~7.3</t>
  </si>
  <si>
    <t>5.12-6.9</t>
  </si>
  <si>
    <t>5.3-5.28</t>
  </si>
  <si>
    <t>5.9-6.17</t>
  </si>
  <si>
    <t>5.1~5.29</t>
  </si>
  <si>
    <t>5.24~6.15</t>
  </si>
  <si>
    <t>4.10-6.26</t>
  </si>
  <si>
    <t>5.21-6.13</t>
  </si>
  <si>
    <t>4.29~6.17</t>
  </si>
  <si>
    <t>5.19-6.12</t>
  </si>
  <si>
    <t>4.26-6.11</t>
  </si>
  <si>
    <t>5.23-6.15</t>
  </si>
  <si>
    <t>정비없음</t>
  </si>
  <si>
    <t>5.12-6.20</t>
  </si>
  <si>
    <t>7.7-7.31</t>
  </si>
  <si>
    <t>7.5-7.30</t>
  </si>
  <si>
    <t>7.3-7.28</t>
  </si>
  <si>
    <t>7.9-7.31</t>
  </si>
  <si>
    <t>7.8-7.31</t>
  </si>
  <si>
    <t>7.4-7.29</t>
  </si>
  <si>
    <t>4.16-5.10</t>
  </si>
  <si>
    <t>4.15-5.10</t>
  </si>
  <si>
    <t>4.14-5.9</t>
  </si>
  <si>
    <t>4.12-5.7</t>
  </si>
  <si>
    <t>4.18-5.16</t>
  </si>
  <si>
    <t>4.10-5.19</t>
  </si>
  <si>
    <t>3.23-6.3</t>
  </si>
  <si>
    <t>3.15-6.11</t>
  </si>
  <si>
    <t>3.24-6.5</t>
  </si>
  <si>
    <t>3.26-6.5</t>
  </si>
  <si>
    <t>3.22-6.11</t>
  </si>
  <si>
    <t>3.21-6.3</t>
  </si>
  <si>
    <t>3.27-6.9</t>
  </si>
  <si>
    <t>ST#1 : A  ST#2 : C</t>
  </si>
  <si>
    <t>ST#1 : A  ST#2 : A</t>
  </si>
  <si>
    <t>구 분</t>
    <phoneticPr fontId="1" type="noConversion"/>
  </si>
  <si>
    <t>삼 송</t>
    <phoneticPr fontId="1" type="noConversion"/>
  </si>
  <si>
    <t>동 탄</t>
    <phoneticPr fontId="1" type="noConversion"/>
  </si>
  <si>
    <t>#1 Block</t>
    <phoneticPr fontId="1" type="noConversion"/>
  </si>
  <si>
    <t>#2 Block</t>
    <phoneticPr fontId="1" type="noConversion"/>
  </si>
  <si>
    <t>대 구</t>
    <phoneticPr fontId="1" type="noConversion"/>
  </si>
  <si>
    <t>신규CHP</t>
    <phoneticPr fontId="1" type="noConversion"/>
  </si>
  <si>
    <t>청 주(신규CHP)</t>
    <phoneticPr fontId="1" type="noConversion"/>
  </si>
  <si>
    <t>강 남</t>
    <phoneticPr fontId="1" type="noConversion"/>
  </si>
  <si>
    <t>(동남권, GT)</t>
    <phoneticPr fontId="1" type="noConversion"/>
  </si>
  <si>
    <t>일원</t>
    <phoneticPr fontId="1" type="noConversion"/>
  </si>
  <si>
    <t>ST#1 : A  ST#2 : C</t>
    <phoneticPr fontId="1" type="noConversion"/>
  </si>
  <si>
    <t>ST#1 : A
ST#2 : C</t>
    <phoneticPr fontId="1" type="noConversion"/>
  </si>
  <si>
    <t>ST#1 : A 
ST#2 : C</t>
    <phoneticPr fontId="1" type="noConversion"/>
  </si>
  <si>
    <t>ST#1 : A  
ST#2 : A</t>
    <phoneticPr fontId="1" type="noConversion"/>
  </si>
  <si>
    <t>수서</t>
    <phoneticPr fontId="1" type="noConversion"/>
  </si>
  <si>
    <t>2026년</t>
    <phoneticPr fontId="1" type="noConversion"/>
  </si>
  <si>
    <t>2027년</t>
    <phoneticPr fontId="1" type="noConversion"/>
  </si>
  <si>
    <t>2028년</t>
    <phoneticPr fontId="1" type="noConversion"/>
  </si>
  <si>
    <t>2029년</t>
    <phoneticPr fontId="1" type="noConversion"/>
  </si>
  <si>
    <t>2030년</t>
    <phoneticPr fontId="1" type="noConversion"/>
  </si>
  <si>
    <t>2031년</t>
    <phoneticPr fontId="1" type="noConversion"/>
  </si>
  <si>
    <t>2032년</t>
    <phoneticPr fontId="1" type="noConversion"/>
  </si>
  <si>
    <t>-</t>
    <phoneticPr fontId="1" type="noConversion"/>
  </si>
  <si>
    <t>5.4-6.25</t>
    <phoneticPr fontId="1" type="noConversion"/>
  </si>
  <si>
    <t>3.18-6.23</t>
    <phoneticPr fontId="1" type="noConversion"/>
  </si>
  <si>
    <t>B</t>
    <phoneticPr fontId="1" type="noConversion"/>
  </si>
  <si>
    <t>3.15-5.16</t>
    <phoneticPr fontId="1" type="noConversion"/>
  </si>
  <si>
    <t>CI</t>
    <phoneticPr fontId="1" type="noConversion"/>
  </si>
  <si>
    <t>10.02-11.04</t>
    <phoneticPr fontId="1" type="noConversion"/>
  </si>
  <si>
    <t>9.01-11.30</t>
    <phoneticPr fontId="1" type="noConversion"/>
  </si>
  <si>
    <t>3.22-4.15</t>
    <phoneticPr fontId="1" type="noConversion"/>
  </si>
  <si>
    <t>9.18-11.19</t>
    <phoneticPr fontId="1" type="noConversion"/>
  </si>
  <si>
    <t>4.01-5.04</t>
    <phoneticPr fontId="1" type="noConversion"/>
  </si>
  <si>
    <t>4.29-6.28</t>
    <phoneticPr fontId="1" type="noConversion"/>
  </si>
  <si>
    <t>A급</t>
    <phoneticPr fontId="1" type="noConversion"/>
  </si>
  <si>
    <t>B급</t>
    <phoneticPr fontId="1" type="noConversion"/>
  </si>
  <si>
    <t>분산제어설비 통합유지보수</t>
    <phoneticPr fontId="1" type="noConversion"/>
  </si>
  <si>
    <t>경상정비 원가배부기준</t>
    <phoneticPr fontId="1" type="noConversion"/>
  </si>
  <si>
    <t>유체커플링</t>
    <phoneticPr fontId="1" type="noConversion"/>
  </si>
  <si>
    <t>유체커플링 제외</t>
    <phoneticPr fontId="1" type="noConversion"/>
  </si>
  <si>
    <t>플랜트전체</t>
    <phoneticPr fontId="1" type="noConversion"/>
  </si>
  <si>
    <t xml:space="preserve">기타본사
</t>
    <phoneticPr fontId="1" type="noConversion"/>
  </si>
  <si>
    <t>손익예산 전체</t>
    <phoneticPr fontId="1" type="noConversion"/>
  </si>
  <si>
    <t>자본예산 전체</t>
    <phoneticPr fontId="1" type="noConversion"/>
  </si>
  <si>
    <t>전체(단위 : 백만원)</t>
    <phoneticPr fontId="1" type="noConversion"/>
  </si>
  <si>
    <t>지사(단위 : 천원)</t>
    <phoneticPr fontId="1" type="noConversion"/>
  </si>
  <si>
    <t>본사(단위 : 천원)</t>
    <phoneticPr fontId="1" type="noConversion"/>
  </si>
  <si>
    <t>원래의주기</t>
    <phoneticPr fontId="1" type="noConversion"/>
  </si>
  <si>
    <t>표준화</t>
    <phoneticPr fontId="1" type="noConversion"/>
  </si>
  <si>
    <t>34년</t>
    <phoneticPr fontId="1" type="noConversion"/>
  </si>
  <si>
    <t>손익예산(2025중장기)</t>
    <phoneticPr fontId="1" type="noConversion"/>
  </si>
  <si>
    <t>MI +2년에 CRI 30억원 반영</t>
    <phoneticPr fontId="1" type="noConversion"/>
  </si>
  <si>
    <t>판교 TI 22년</t>
    <phoneticPr fontId="1" type="noConversion"/>
  </si>
  <si>
    <t>용량</t>
    <phoneticPr fontId="1" type="noConversion"/>
  </si>
  <si>
    <t>금액</t>
    <phoneticPr fontId="1" type="noConversion"/>
  </si>
  <si>
    <t>대구,청주</t>
    <phoneticPr fontId="1" type="noConversion"/>
  </si>
  <si>
    <t>판교 MI 25년</t>
    <phoneticPr fontId="1" type="noConversion"/>
  </si>
  <si>
    <t>자본화</t>
    <phoneticPr fontId="1" type="noConversion"/>
  </si>
  <si>
    <t>판교 TI 22</t>
    <phoneticPr fontId="1" type="noConversion"/>
  </si>
  <si>
    <t>판교 A급 225</t>
    <phoneticPr fontId="1" type="noConversion"/>
  </si>
  <si>
    <t>대구는 우드칩 설비등을 고려 전기간 10억 증액</t>
    <phoneticPr fontId="1" type="noConversion"/>
  </si>
  <si>
    <t>대구,청주 기타기계장치</t>
    <phoneticPr fontId="1" type="noConversion"/>
  </si>
  <si>
    <t>판교 A급 25년</t>
    <phoneticPr fontId="1" type="noConversion"/>
  </si>
  <si>
    <t>TUBE</t>
    <phoneticPr fontId="1" type="noConversion"/>
  </si>
  <si>
    <t>DCS</t>
    <phoneticPr fontId="1" type="noConversion"/>
  </si>
  <si>
    <t>강남(동남권/일원,수서)</t>
    <phoneticPr fontId="1" type="noConversion"/>
  </si>
  <si>
    <t>2033년</t>
    <phoneticPr fontId="1" type="noConversion"/>
  </si>
  <si>
    <t>2034년</t>
    <phoneticPr fontId="1" type="noConversion"/>
  </si>
  <si>
    <t>연료전지</t>
    <phoneticPr fontId="1" type="noConversion"/>
  </si>
  <si>
    <t>LTSA 열원정기점검(변동비)</t>
    <phoneticPr fontId="1" type="noConversion"/>
  </si>
  <si>
    <t>LTSA 열원정기유지보수(고정비, rms)</t>
    <phoneticPr fontId="1" type="noConversion"/>
  </si>
  <si>
    <t>년도</t>
    <phoneticPr fontId="1" type="noConversion"/>
  </si>
  <si>
    <t>26년 예산</t>
    <phoneticPr fontId="1" type="noConversion"/>
  </si>
  <si>
    <t>플랜트 자동운전 시스템 유지보수</t>
    <phoneticPr fontId="1" type="noConversion"/>
  </si>
  <si>
    <t>지능형 영상헬멧 시스템 관련 용역</t>
    <phoneticPr fontId="1" type="noConversion"/>
  </si>
  <si>
    <t>중대형 CHP 플랜트 자동화 현장적용 용역</t>
    <phoneticPr fontId="1" type="noConversion"/>
  </si>
  <si>
    <t>중앙급전발전기 주파수 추종 로직 개선</t>
    <phoneticPr fontId="1" type="noConversion"/>
  </si>
  <si>
    <t>광교지사 플랜트 디지털전환 현장적용 용역</t>
    <phoneticPr fontId="1" type="noConversion"/>
  </si>
  <si>
    <t>주요 가압장 계통분석 및 보호협조 검토용역</t>
    <phoneticPr fontId="1" type="noConversion"/>
  </si>
  <si>
    <t>그 외</t>
    <phoneticPr fontId="1" type="noConversion"/>
  </si>
  <si>
    <t>비저장품(보수자재)</t>
    <phoneticPr fontId="1" type="noConversion"/>
  </si>
  <si>
    <t>소모품(자재공기구)</t>
    <phoneticPr fontId="1" type="noConversion"/>
  </si>
  <si>
    <t>열원보완및개선</t>
    <phoneticPr fontId="1" type="noConversion"/>
  </si>
  <si>
    <t>투자비</t>
    <phoneticPr fontId="1" type="noConversion"/>
  </si>
  <si>
    <t>5.15~6.22</t>
    <phoneticPr fontId="1" type="noConversion"/>
  </si>
  <si>
    <t>5.10-6.21</t>
  </si>
  <si>
    <t>8.31~11.30</t>
    <phoneticPr fontId="1" type="noConversion"/>
  </si>
  <si>
    <t>5.7-6.28</t>
  </si>
  <si>
    <t>5.13-6.7</t>
    <phoneticPr fontId="1" type="noConversion"/>
  </si>
  <si>
    <t>HGPI, CI</t>
    <phoneticPr fontId="1" type="noConversion"/>
  </si>
  <si>
    <t>8.18-9.30</t>
    <phoneticPr fontId="1" type="noConversion"/>
  </si>
  <si>
    <t>9.1-10.14</t>
    <phoneticPr fontId="1" type="noConversion"/>
  </si>
  <si>
    <t>9.8-10.6</t>
    <phoneticPr fontId="1" type="noConversion"/>
  </si>
  <si>
    <t>9.10-10.8</t>
    <phoneticPr fontId="1" type="noConversion"/>
  </si>
  <si>
    <t>9.9-10.9</t>
    <phoneticPr fontId="1" type="noConversion"/>
  </si>
  <si>
    <t>CI, HGPI</t>
    <phoneticPr fontId="1" type="noConversion"/>
  </si>
  <si>
    <t>9.7-10.5</t>
    <phoneticPr fontId="1" type="noConversion"/>
  </si>
  <si>
    <t>9.11-10.9</t>
    <phoneticPr fontId="1" type="noConversion"/>
  </si>
  <si>
    <t>10.1-10.28</t>
    <phoneticPr fontId="1" type="noConversion"/>
  </si>
  <si>
    <t>9.20-11.2</t>
    <phoneticPr fontId="1" type="noConversion"/>
  </si>
  <si>
    <t>9.12-11.11</t>
    <phoneticPr fontId="1" type="noConversion"/>
  </si>
  <si>
    <t>9.21-10.24</t>
    <phoneticPr fontId="1" type="noConversion"/>
  </si>
  <si>
    <t>9.30-11.03</t>
    <phoneticPr fontId="1" type="noConversion"/>
  </si>
  <si>
    <t>10.01-11.27</t>
    <phoneticPr fontId="1" type="noConversion"/>
  </si>
  <si>
    <t>9.01-12.08</t>
    <phoneticPr fontId="1" type="noConversion"/>
  </si>
  <si>
    <t>4.14~7.3</t>
    <phoneticPr fontId="1" type="noConversion"/>
  </si>
  <si>
    <t>4.19-6.10</t>
    <phoneticPr fontId="1" type="noConversion"/>
  </si>
  <si>
    <t>5.8-6.16</t>
    <phoneticPr fontId="1" type="noConversion"/>
  </si>
  <si>
    <t>5.7-6.13</t>
    <phoneticPr fontId="1" type="noConversion"/>
  </si>
  <si>
    <t>5.3-6.9</t>
    <phoneticPr fontId="1" type="noConversion"/>
  </si>
  <si>
    <t>5.8-6.9</t>
    <phoneticPr fontId="1" type="noConversion"/>
  </si>
  <si>
    <t>5.7-6.22</t>
    <phoneticPr fontId="1" type="noConversion"/>
  </si>
  <si>
    <t>5.1-6.10</t>
    <phoneticPr fontId="1" type="noConversion"/>
  </si>
  <si>
    <t>9.01-10.19</t>
    <phoneticPr fontId="1" type="noConversion"/>
  </si>
  <si>
    <t>5.8-6.01</t>
    <phoneticPr fontId="1" type="noConversion"/>
  </si>
  <si>
    <t>5.8-6.25</t>
    <phoneticPr fontId="1" type="noConversion"/>
  </si>
  <si>
    <t>5.6-6.2</t>
    <phoneticPr fontId="1" type="noConversion"/>
  </si>
  <si>
    <t>5.3-7.1</t>
    <phoneticPr fontId="1" type="noConversion"/>
  </si>
  <si>
    <t>5.9-6.2</t>
    <phoneticPr fontId="1" type="noConversion"/>
  </si>
  <si>
    <t>5.8-6.2</t>
    <phoneticPr fontId="1" type="noConversion"/>
  </si>
  <si>
    <t>5.8-6.29</t>
    <phoneticPr fontId="1" type="noConversion"/>
  </si>
  <si>
    <t>7.13~8.31</t>
    <phoneticPr fontId="1" type="noConversion"/>
  </si>
  <si>
    <t>9.1~10.29</t>
    <phoneticPr fontId="1" type="noConversion"/>
  </si>
  <si>
    <t>9.7~10.14</t>
    <phoneticPr fontId="1" type="noConversion"/>
  </si>
  <si>
    <t>9.1~10.15</t>
    <phoneticPr fontId="1" type="noConversion"/>
  </si>
  <si>
    <t>9.1-11.16</t>
    <phoneticPr fontId="1" type="noConversion"/>
  </si>
  <si>
    <t>5.15-6.3</t>
    <phoneticPr fontId="1" type="noConversion"/>
  </si>
  <si>
    <t>5.1-6.30</t>
    <phoneticPr fontId="1" type="noConversion"/>
  </si>
  <si>
    <t>9.3-9.28</t>
    <phoneticPr fontId="1" type="noConversion"/>
  </si>
  <si>
    <t>9.2-9.30</t>
    <phoneticPr fontId="1" type="noConversion"/>
  </si>
  <si>
    <t>8.25-10.6</t>
    <phoneticPr fontId="1" type="noConversion"/>
  </si>
  <si>
    <t>8.31-9.22</t>
    <phoneticPr fontId="1" type="noConversion"/>
  </si>
  <si>
    <t>9.5-10.6</t>
    <phoneticPr fontId="1" type="noConversion"/>
  </si>
  <si>
    <t>9.1-11.13</t>
    <phoneticPr fontId="1" type="noConversion"/>
  </si>
  <si>
    <t>3.16-4.29</t>
    <phoneticPr fontId="1" type="noConversion"/>
  </si>
  <si>
    <t>3.26-6.8</t>
  </si>
  <si>
    <t>4.13 - 7.24</t>
    <phoneticPr fontId="1" type="noConversion"/>
  </si>
  <si>
    <t>4.12 - 7.23</t>
    <phoneticPr fontId="1" type="noConversion"/>
  </si>
  <si>
    <t>4.10 - 7.21</t>
    <phoneticPr fontId="1" type="noConversion"/>
  </si>
  <si>
    <t>4.16 - 7.20</t>
    <phoneticPr fontId="1" type="noConversion"/>
  </si>
  <si>
    <t>4.15 - 7.19</t>
    <phoneticPr fontId="1" type="noConversion"/>
  </si>
  <si>
    <t>4.14 - 7.25</t>
    <phoneticPr fontId="1" type="noConversion"/>
  </si>
  <si>
    <t>4.11 - 7.22</t>
    <phoneticPr fontId="1" type="noConversion"/>
  </si>
  <si>
    <t>ST#1 : A  
ST#2 : C</t>
    <phoneticPr fontId="1" type="noConversion"/>
  </si>
  <si>
    <t>4.16 - 7.27</t>
    <phoneticPr fontId="1" type="noConversion"/>
  </si>
  <si>
    <t>5.6~6.25</t>
  </si>
  <si>
    <t>9.1~10.14</t>
  </si>
  <si>
    <t>9.1~10.18</t>
  </si>
  <si>
    <t>9.3~10.16</t>
  </si>
  <si>
    <t>9.3~10.15</t>
  </si>
  <si>
    <t>9.1~10.15</t>
  </si>
  <si>
    <t>9.1~10.22</t>
  </si>
  <si>
    <t>비저장품(보수자재)</t>
  </si>
  <si>
    <t>소모품(자재공기구)</t>
  </si>
  <si>
    <t>투자비</t>
  </si>
  <si>
    <t>열원공사비 등</t>
    <phoneticPr fontId="1" type="noConversion"/>
  </si>
  <si>
    <t>MI/CI</t>
    <phoneticPr fontId="1" type="noConversion"/>
  </si>
  <si>
    <t>CI/MI</t>
    <phoneticPr fontId="1" type="noConversion"/>
  </si>
  <si>
    <t>TI/CI</t>
    <phoneticPr fontId="1" type="noConversion"/>
  </si>
  <si>
    <t>간이/TI</t>
    <phoneticPr fontId="1" type="noConversion"/>
  </si>
  <si>
    <t>MI/간이</t>
    <phoneticPr fontId="1" type="noConversion"/>
  </si>
  <si>
    <t>간이/MI</t>
    <phoneticPr fontId="1" type="noConversion"/>
  </si>
  <si>
    <t>미래개발원</t>
    <phoneticPr fontId="1" type="noConversion"/>
  </si>
  <si>
    <t>HGPI/TI</t>
    <phoneticPr fontId="1" type="noConversion"/>
  </si>
  <si>
    <t>CI/HGPI</t>
    <phoneticPr fontId="1" type="noConversion"/>
  </si>
  <si>
    <t>CI/TI</t>
    <phoneticPr fontId="1" type="noConversion"/>
  </si>
  <si>
    <t>준공('29.02)</t>
    <phoneticPr fontId="1" type="noConversion"/>
  </si>
  <si>
    <t>CI/A</t>
    <phoneticPr fontId="1" type="noConversion"/>
  </si>
  <si>
    <t>35년</t>
    <phoneticPr fontId="1" type="noConversion"/>
  </si>
  <si>
    <t>25년 MI</t>
    <phoneticPr fontId="1" type="noConversion"/>
  </si>
  <si>
    <t>* 중장기('26년~'35년) 고온부품 관련 비용</t>
    <phoneticPr fontId="1" type="noConversion"/>
  </si>
  <si>
    <t>33년</t>
  </si>
  <si>
    <t>34년(신규)</t>
  </si>
  <si>
    <t>35년(신규)</t>
  </si>
  <si>
    <t>LTSA</t>
  </si>
  <si>
    <t>2015.9~2030.9</t>
  </si>
  <si>
    <t>LTPM</t>
  </si>
  <si>
    <t>2019.3~2025.6</t>
  </si>
  <si>
    <t>2010.2~2030.2</t>
  </si>
  <si>
    <t>2014.2~2023.5</t>
  </si>
  <si>
    <t>LTPM→PO Base</t>
  </si>
  <si>
    <t>2009.6~2020.6(만료)</t>
  </si>
  <si>
    <t>2022.5~2037.5</t>
  </si>
  <si>
    <t>2021.5~2035.5</t>
  </si>
  <si>
    <t>고온부품재생</t>
  </si>
  <si>
    <t>건설중인자산</t>
  </si>
  <si>
    <t>신품구매</t>
  </si>
  <si>
    <t>(작성 기준)</t>
  </si>
  <si>
    <t>1. 지사별 계약단가 기준이며, 물가상승율 적용 (화성,파주 및 삼송,강남(재생부분) 제외 관세 5% 적용)</t>
  </si>
  <si>
    <t>관세적용</t>
  </si>
  <si>
    <t>2. 고온부품 구매수량은 계약수량 또는 지사별 고온부품 수명 및 예상 운전시간 고려 산정</t>
  </si>
  <si>
    <t xml:space="preserve"> * 예상 운전시간: (화성/파주) 8,000EOH/년, (판교) 8,000FFH/년, (광교) 5,300EBH/년, (삼송/강남) 4,000EOH/년 (양산) 5,000FFH/년  (대구/청주) 7,500EFH/년, (수원) 6,600FFH/년</t>
  </si>
  <si>
    <t xml:space="preserve">3. 고온부품 재생정비 수량은 계약수량 또는 재생주기에 따라 탈착 후 1년 뒤 대금지불하는 것으로 산정 </t>
  </si>
  <si>
    <t>4. 비용 분석기간중 계약기간이 만료되는 "화성&amp;파주, 광교, 동탄"의 경우는 기존 계약방식, 계약단가 및 물가상승율이 동일적용된다고 가정함</t>
  </si>
  <si>
    <t>손익예산(2026중장기)</t>
    <phoneticPr fontId="1" type="noConversion"/>
  </si>
  <si>
    <t>* 29년 판교 실적 적용</t>
    <phoneticPr fontId="1" type="noConversion"/>
  </si>
  <si>
    <t xml:space="preserve"> * 2026년 투자비(확정본)</t>
    <phoneticPr fontId="1" type="noConversion"/>
  </si>
  <si>
    <t xml:space="preserve"> * 2024년 투자비 실적</t>
    <phoneticPr fontId="1" type="noConversion"/>
  </si>
  <si>
    <t xml:space="preserve"> * 2025년 투자비 실적</t>
    <phoneticPr fontId="1" type="noConversion"/>
  </si>
  <si>
    <t>재료비-열원자재비</t>
    <phoneticPr fontId="1" type="noConversion"/>
  </si>
  <si>
    <t>외주비-열원공사비</t>
    <phoneticPr fontId="1" type="noConversion"/>
  </si>
  <si>
    <t>외주비-열원기술용역비</t>
    <phoneticPr fontId="1" type="noConversion"/>
  </si>
  <si>
    <t>외주비-기타</t>
    <phoneticPr fontId="1" type="noConversion"/>
  </si>
  <si>
    <t xml:space="preserve"> * 투자비 3개년 평균</t>
    <phoneticPr fontId="1" type="noConversion"/>
  </si>
  <si>
    <t>(단위 : 백만원)</t>
    <phoneticPr fontId="1" type="noConversion"/>
  </si>
  <si>
    <t>우드칩</t>
    <phoneticPr fontId="1" type="noConversion"/>
  </si>
  <si>
    <t>2035년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</si>
</sst>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0_);[Red]\(0\)"/>
    <numFmt numFmtId="178" formatCode="#,##0.0000_);[Red]\(#,##0.0000\)"/>
    <numFmt numFmtId="179" formatCode="0.000_);[Red]\(0.000\)"/>
    <numFmt numFmtId="180" formatCode="_-* #,##0_-;\-* #,##0_-;_-* &quot;-&quot;??_-;_-@_-"/>
    <numFmt numFmtId="182" formatCode="_-* #,##0.0_-;\-* #,##0.0_-;_-* &quot;-&quot;_-;_-@_-"/>
  </numFmts>
  <fonts count="2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5"/>
      <color theme="1"/>
      <name val="맑은 고딕"/>
      <family val="2"/>
      <charset val="129"/>
      <scheme val="minor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11"/>
      <color rgb="FF0070C0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 diagonalUp="1">
      <left style="medium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medium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medium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30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Fill="1" applyBorder="1" applyAlignment="1">
      <alignment horizontal="left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41" fontId="0" fillId="0" borderId="1" xfId="1" applyFont="1" applyBorder="1">
      <alignment vertical="center"/>
    </xf>
    <xf numFmtId="41" fontId="0" fillId="3" borderId="1" xfId="1" applyFont="1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1" fontId="0" fillId="0" borderId="1" xfId="0" applyNumberFormat="1" applyFill="1" applyBorder="1" applyAlignment="1">
      <alignment vertical="center"/>
    </xf>
    <xf numFmtId="41" fontId="0" fillId="0" borderId="0" xfId="1" applyFont="1" applyFill="1" applyBorder="1" applyAlignment="1">
      <alignment vertical="center"/>
    </xf>
    <xf numFmtId="41" fontId="0" fillId="4" borderId="1" xfId="1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1" fontId="0" fillId="0" borderId="1" xfId="1" applyFont="1" applyFill="1" applyBorder="1">
      <alignment vertical="center"/>
    </xf>
    <xf numFmtId="0" fontId="0" fillId="0" borderId="0" xfId="0" applyAlignment="1">
      <alignment horizontal="center" vertical="center"/>
    </xf>
    <xf numFmtId="41" fontId="0" fillId="0" borderId="0" xfId="0" applyNumberFormat="1">
      <alignment vertical="center"/>
    </xf>
    <xf numFmtId="176" fontId="0" fillId="0" borderId="1" xfId="0" applyNumberFormat="1" applyBorder="1" applyAlignment="1">
      <alignment horizontal="right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8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41" fontId="0" fillId="0" borderId="0" xfId="1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41" fontId="0" fillId="0" borderId="1" xfId="1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Fill="1">
      <alignment vertical="center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79" fontId="8" fillId="0" borderId="0" xfId="0" applyNumberFormat="1" applyFont="1">
      <alignment vertical="center"/>
    </xf>
    <xf numFmtId="179" fontId="0" fillId="0" borderId="0" xfId="0" applyNumberFormat="1">
      <alignment vertical="center"/>
    </xf>
    <xf numFmtId="177" fontId="8" fillId="0" borderId="0" xfId="0" applyNumberFormat="1" applyFont="1">
      <alignment vertical="center"/>
    </xf>
    <xf numFmtId="177" fontId="0" fillId="0" borderId="0" xfId="0" applyNumberFormat="1">
      <alignment vertical="center"/>
    </xf>
    <xf numFmtId="41" fontId="0" fillId="0" borderId="1" xfId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1" fontId="0" fillId="5" borderId="1" xfId="1" applyFont="1" applyFill="1" applyBorder="1" applyAlignment="1">
      <alignment horizontal="center" vertical="center"/>
    </xf>
    <xf numFmtId="41" fontId="0" fillId="5" borderId="1" xfId="1" applyFont="1" applyFill="1" applyBorder="1">
      <alignment vertical="center"/>
    </xf>
    <xf numFmtId="41" fontId="0" fillId="5" borderId="1" xfId="0" applyNumberFormat="1" applyFill="1" applyBorder="1">
      <alignment vertical="center"/>
    </xf>
    <xf numFmtId="41" fontId="0" fillId="0" borderId="1" xfId="0" applyNumberFormat="1" applyBorder="1">
      <alignment vertical="center"/>
    </xf>
    <xf numFmtId="41" fontId="5" fillId="6" borderId="1" xfId="0" applyNumberFormat="1" applyFont="1" applyFill="1" applyBorder="1" applyAlignment="1">
      <alignment vertical="center"/>
    </xf>
    <xf numFmtId="41" fontId="5" fillId="6" borderId="1" xfId="0" applyNumberFormat="1" applyFont="1" applyFill="1" applyBorder="1">
      <alignment vertical="center"/>
    </xf>
    <xf numFmtId="41" fontId="5" fillId="6" borderId="1" xfId="1" applyFont="1" applyFill="1" applyBorder="1">
      <alignment vertical="center"/>
    </xf>
    <xf numFmtId="41" fontId="0" fillId="0" borderId="1" xfId="1" applyFont="1" applyBorder="1" applyAlignment="1">
      <alignment horizontal="center" vertical="center"/>
    </xf>
    <xf numFmtId="43" fontId="0" fillId="0" borderId="1" xfId="0" applyNumberFormat="1" applyBorder="1">
      <alignment vertical="center"/>
    </xf>
    <xf numFmtId="41" fontId="0" fillId="0" borderId="2" xfId="1" applyFont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5" borderId="0" xfId="1" applyFont="1" applyFill="1" applyBorder="1" applyAlignment="1">
      <alignment horizontal="center" vertical="center"/>
    </xf>
    <xf numFmtId="43" fontId="0" fillId="0" borderId="0" xfId="0" applyNumberFormat="1" applyBorder="1">
      <alignment vertical="center"/>
    </xf>
    <xf numFmtId="41" fontId="0" fillId="0" borderId="0" xfId="1" applyFont="1" applyAlignment="1">
      <alignment horizontal="center" vertical="center"/>
    </xf>
    <xf numFmtId="0" fontId="0" fillId="5" borderId="1" xfId="0" applyFill="1" applyBorder="1">
      <alignment vertical="center"/>
    </xf>
    <xf numFmtId="0" fontId="0" fillId="5" borderId="0" xfId="0" applyFill="1">
      <alignment vertical="center"/>
    </xf>
    <xf numFmtId="43" fontId="0" fillId="5" borderId="1" xfId="0" applyNumberFormat="1" applyFill="1" applyBorder="1">
      <alignment vertical="center"/>
    </xf>
    <xf numFmtId="43" fontId="0" fillId="5" borderId="0" xfId="0" applyNumberFormat="1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7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3" borderId="1" xfId="1" applyFont="1" applyFill="1" applyBorder="1" applyAlignment="1">
      <alignment horizontal="center" vertical="center"/>
    </xf>
    <xf numFmtId="41" fontId="0" fillId="0" borderId="1" xfId="0" applyNumberForma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 wrapText="1"/>
    </xf>
    <xf numFmtId="0" fontId="11" fillId="10" borderId="9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/>
    </xf>
    <xf numFmtId="0" fontId="11" fillId="10" borderId="9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41" fontId="5" fillId="8" borderId="1" xfId="1" applyFont="1" applyFill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1" fontId="12" fillId="0" borderId="1" xfId="1" applyFont="1" applyFill="1" applyBorder="1" applyAlignment="1">
      <alignment horizontal="center" vertical="center"/>
    </xf>
    <xf numFmtId="41" fontId="12" fillId="2" borderId="1" xfId="1" applyFont="1" applyFill="1" applyBorder="1" applyAlignment="1">
      <alignment horizontal="center" vertical="center"/>
    </xf>
    <xf numFmtId="41" fontId="12" fillId="2" borderId="1" xfId="1" applyFont="1" applyFill="1" applyBorder="1">
      <alignment vertical="center"/>
    </xf>
    <xf numFmtId="0" fontId="12" fillId="5" borderId="1" xfId="0" applyFont="1" applyFill="1" applyBorder="1" applyAlignment="1">
      <alignment horizontal="center" vertical="center"/>
    </xf>
    <xf numFmtId="41" fontId="12" fillId="5" borderId="1" xfId="1" applyFont="1" applyFill="1" applyBorder="1" applyAlignment="1">
      <alignment horizontal="center" vertical="center"/>
    </xf>
    <xf numFmtId="41" fontId="12" fillId="0" borderId="1" xfId="1" applyFont="1" applyFill="1" applyBorder="1">
      <alignment vertical="center"/>
    </xf>
    <xf numFmtId="41" fontId="12" fillId="2" borderId="1" xfId="0" applyNumberFormat="1" applyFont="1" applyFill="1" applyBorder="1">
      <alignment vertical="center"/>
    </xf>
    <xf numFmtId="0" fontId="12" fillId="0" borderId="1" xfId="0" applyFont="1" applyFill="1" applyBorder="1" applyAlignment="1">
      <alignment horizontal="center" vertical="center"/>
    </xf>
    <xf numFmtId="41" fontId="12" fillId="5" borderId="1" xfId="1" applyFont="1" applyFill="1" applyBorder="1">
      <alignment vertical="center"/>
    </xf>
    <xf numFmtId="41" fontId="12" fillId="5" borderId="1" xfId="0" applyNumberFormat="1" applyFont="1" applyFill="1" applyBorder="1">
      <alignment vertical="center"/>
    </xf>
    <xf numFmtId="41" fontId="12" fillId="0" borderId="1" xfId="0" applyNumberFormat="1" applyFont="1" applyBorder="1">
      <alignment vertical="center"/>
    </xf>
    <xf numFmtId="0" fontId="5" fillId="8" borderId="1" xfId="0" applyFon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right" vertical="center"/>
    </xf>
    <xf numFmtId="176" fontId="0" fillId="3" borderId="1" xfId="0" applyNumberFormat="1" applyFill="1" applyBorder="1" applyAlignment="1">
      <alignment horizontal="right" vertical="center"/>
    </xf>
    <xf numFmtId="0" fontId="0" fillId="0" borderId="13" xfId="0" applyBorder="1" applyAlignment="1">
      <alignment horizontal="center" vertical="center"/>
    </xf>
    <xf numFmtId="9" fontId="14" fillId="3" borderId="14" xfId="0" applyNumberFormat="1" applyFont="1" applyFill="1" applyBorder="1">
      <alignment vertical="center"/>
    </xf>
    <xf numFmtId="41" fontId="0" fillId="0" borderId="1" xfId="1" applyFont="1" applyBorder="1" applyAlignment="1">
      <alignment horizontal="center" vertical="center"/>
    </xf>
    <xf numFmtId="9" fontId="0" fillId="0" borderId="0" xfId="3" applyFont="1">
      <alignment vertical="center"/>
    </xf>
    <xf numFmtId="0" fontId="1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41" fontId="0" fillId="3" borderId="18" xfId="1" applyFont="1" applyFill="1" applyBorder="1">
      <alignment vertical="center"/>
    </xf>
    <xf numFmtId="41" fontId="0" fillId="3" borderId="0" xfId="1" applyFont="1" applyFill="1" applyBorder="1">
      <alignment vertical="center"/>
    </xf>
    <xf numFmtId="41" fontId="12" fillId="0" borderId="0" xfId="0" applyNumberFormat="1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41" fontId="5" fillId="8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3" borderId="0" xfId="0" applyFont="1" applyFill="1">
      <alignment vertical="center"/>
    </xf>
    <xf numFmtId="0" fontId="12" fillId="10" borderId="0" xfId="0" applyFont="1" applyFill="1">
      <alignment vertical="center"/>
    </xf>
    <xf numFmtId="0" fontId="12" fillId="6" borderId="0" xfId="0" applyFont="1" applyFill="1">
      <alignment vertical="center"/>
    </xf>
    <xf numFmtId="41" fontId="0" fillId="0" borderId="0" xfId="1" applyFont="1" applyFill="1" applyBorder="1" applyAlignment="1">
      <alignment horizontal="center" vertical="center"/>
    </xf>
    <xf numFmtId="43" fontId="0" fillId="0" borderId="0" xfId="0" applyNumberFormat="1" applyFill="1" applyBorder="1">
      <alignment vertical="center"/>
    </xf>
    <xf numFmtId="41" fontId="0" fillId="0" borderId="0" xfId="1" applyFont="1" applyBorder="1">
      <alignment vertical="center"/>
    </xf>
    <xf numFmtId="41" fontId="0" fillId="0" borderId="0" xfId="0" applyNumberFormat="1" applyAlignment="1">
      <alignment horizontal="center" vertical="center"/>
    </xf>
    <xf numFmtId="41" fontId="0" fillId="9" borderId="1" xfId="1" applyFont="1" applyFill="1" applyBorder="1" applyAlignment="1">
      <alignment horizontal="center" vertical="center"/>
    </xf>
    <xf numFmtId="41" fontId="0" fillId="9" borderId="1" xfId="1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1" fontId="5" fillId="8" borderId="1" xfId="1" applyFont="1" applyFill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1" fontId="0" fillId="0" borderId="8" xfId="1" applyFont="1" applyBorder="1" applyAlignment="1">
      <alignment horizontal="center" vertical="center"/>
    </xf>
    <xf numFmtId="41" fontId="0" fillId="5" borderId="8" xfId="1" applyFont="1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41" fontId="0" fillId="0" borderId="9" xfId="0" applyNumberFormat="1" applyBorder="1">
      <alignment vertical="center"/>
    </xf>
    <xf numFmtId="41" fontId="0" fillId="5" borderId="9" xfId="0" applyNumberFormat="1" applyFill="1" applyBorder="1">
      <alignment vertical="center"/>
    </xf>
    <xf numFmtId="0" fontId="0" fillId="9" borderId="10" xfId="0" applyFill="1" applyBorder="1" applyAlignment="1">
      <alignment horizontal="center" vertical="center"/>
    </xf>
    <xf numFmtId="41" fontId="0" fillId="0" borderId="10" xfId="0" applyNumberFormat="1" applyBorder="1">
      <alignment vertical="center"/>
    </xf>
    <xf numFmtId="41" fontId="0" fillId="5" borderId="10" xfId="0" applyNumberFormat="1" applyFill="1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43" fontId="0" fillId="0" borderId="0" xfId="0" applyNumberFormat="1" applyAlignment="1">
      <alignment vertical="center"/>
    </xf>
    <xf numFmtId="41" fontId="0" fillId="0" borderId="0" xfId="1" applyFont="1" applyAlignment="1">
      <alignment vertical="center"/>
    </xf>
    <xf numFmtId="0" fontId="0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center" vertical="center"/>
    </xf>
    <xf numFmtId="41" fontId="5" fillId="8" borderId="3" xfId="1" applyFont="1" applyFill="1" applyBorder="1" applyAlignment="1">
      <alignment horizontal="center" vertical="center"/>
    </xf>
    <xf numFmtId="41" fontId="5" fillId="8" borderId="4" xfId="1" applyFont="1" applyFill="1" applyBorder="1" applyAlignment="1">
      <alignment horizontal="center" vertical="center"/>
    </xf>
    <xf numFmtId="41" fontId="0" fillId="0" borderId="4" xfId="1" applyFont="1" applyBorder="1">
      <alignment vertical="center"/>
    </xf>
    <xf numFmtId="41" fontId="5" fillId="6" borderId="4" xfId="1" applyFont="1" applyFill="1" applyBorder="1">
      <alignment vertical="center"/>
    </xf>
    <xf numFmtId="41" fontId="5" fillId="8" borderId="22" xfId="1" applyFont="1" applyFill="1" applyBorder="1" applyAlignment="1">
      <alignment horizontal="center" vertical="center"/>
    </xf>
    <xf numFmtId="41" fontId="5" fillId="8" borderId="23" xfId="1" applyFont="1" applyFill="1" applyBorder="1" applyAlignment="1">
      <alignment horizontal="center" vertical="center"/>
    </xf>
    <xf numFmtId="41" fontId="5" fillId="8" borderId="24" xfId="1" applyFont="1" applyFill="1" applyBorder="1" applyAlignment="1">
      <alignment horizontal="center" vertical="center"/>
    </xf>
    <xf numFmtId="41" fontId="0" fillId="0" borderId="25" xfId="1" applyFont="1" applyBorder="1">
      <alignment vertical="center"/>
    </xf>
    <xf numFmtId="41" fontId="0" fillId="0" borderId="26" xfId="1" applyFont="1" applyBorder="1">
      <alignment vertical="center"/>
    </xf>
    <xf numFmtId="41" fontId="0" fillId="5" borderId="25" xfId="1" applyFont="1" applyFill="1" applyBorder="1">
      <alignment vertical="center"/>
    </xf>
    <xf numFmtId="41" fontId="5" fillId="6" borderId="27" xfId="1" applyFont="1" applyFill="1" applyBorder="1">
      <alignment vertical="center"/>
    </xf>
    <xf numFmtId="41" fontId="5" fillId="6" borderId="28" xfId="1" applyFont="1" applyFill="1" applyBorder="1">
      <alignment vertical="center"/>
    </xf>
    <xf numFmtId="41" fontId="5" fillId="6" borderId="29" xfId="1" applyFont="1" applyFill="1" applyBorder="1">
      <alignment vertical="center"/>
    </xf>
    <xf numFmtId="41" fontId="12" fillId="3" borderId="1" xfId="1" applyFont="1" applyFill="1" applyBorder="1">
      <alignment vertical="center"/>
    </xf>
    <xf numFmtId="0" fontId="11" fillId="0" borderId="9" xfId="0" applyFont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1" fillId="0" borderId="0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180" fontId="0" fillId="0" borderId="1" xfId="0" applyNumberFormat="1" applyBorder="1">
      <alignment vertical="center"/>
    </xf>
    <xf numFmtId="180" fontId="0" fillId="5" borderId="1" xfId="0" applyNumberFormat="1" applyFill="1" applyBorder="1">
      <alignment vertical="center"/>
    </xf>
    <xf numFmtId="41" fontId="0" fillId="0" borderId="1" xfId="1" applyNumberFormat="1" applyFont="1" applyBorder="1">
      <alignment vertical="center"/>
    </xf>
    <xf numFmtId="0" fontId="11" fillId="0" borderId="8" xfId="0" applyFont="1" applyBorder="1" applyAlignment="1">
      <alignment horizontal="center" vertical="center" wrapText="1"/>
    </xf>
    <xf numFmtId="0" fontId="11" fillId="10" borderId="8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10" borderId="8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11" borderId="9" xfId="0" applyFont="1" applyFill="1" applyBorder="1" applyAlignment="1">
      <alignment horizontal="center" vertical="center"/>
    </xf>
    <xf numFmtId="0" fontId="11" fillId="10" borderId="10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1" fontId="5" fillId="8" borderId="1" xfId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3" fontId="0" fillId="0" borderId="0" xfId="0" applyNumberFormat="1">
      <alignment vertical="center"/>
    </xf>
    <xf numFmtId="180" fontId="0" fillId="0" borderId="0" xfId="0" applyNumberFormat="1" applyAlignment="1">
      <alignment vertical="center"/>
    </xf>
    <xf numFmtId="0" fontId="0" fillId="0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5" fillId="8" borderId="37" xfId="1" applyFont="1" applyFill="1" applyBorder="1" applyAlignment="1">
      <alignment horizontal="center" vertical="center"/>
    </xf>
    <xf numFmtId="41" fontId="0" fillId="0" borderId="3" xfId="1" applyFont="1" applyBorder="1">
      <alignment vertical="center"/>
    </xf>
    <xf numFmtId="41" fontId="5" fillId="6" borderId="38" xfId="1" applyFont="1" applyFill="1" applyBorder="1">
      <alignment vertical="center"/>
    </xf>
    <xf numFmtId="41" fontId="0" fillId="0" borderId="3" xfId="1" applyFont="1" applyFill="1" applyBorder="1">
      <alignment vertical="center"/>
    </xf>
    <xf numFmtId="41" fontId="0" fillId="5" borderId="3" xfId="1" applyFont="1" applyFill="1" applyBorder="1">
      <alignment vertical="center"/>
    </xf>
    <xf numFmtId="41" fontId="0" fillId="5" borderId="4" xfId="1" applyFont="1" applyFill="1" applyBorder="1">
      <alignment vertical="center"/>
    </xf>
    <xf numFmtId="41" fontId="0" fillId="5" borderId="26" xfId="1" applyFont="1" applyFill="1" applyBorder="1">
      <alignment vertical="center"/>
    </xf>
    <xf numFmtId="41" fontId="0" fillId="0" borderId="1" xfId="1" applyFont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15" fillId="0" borderId="0" xfId="0" applyNumberFormat="1" applyFont="1" applyAlignment="1">
      <alignment vertical="center"/>
    </xf>
    <xf numFmtId="41" fontId="0" fillId="0" borderId="1" xfId="1" applyFont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9" xfId="0" applyFill="1" applyBorder="1" applyAlignment="1">
      <alignment vertical="center"/>
    </xf>
    <xf numFmtId="0" fontId="0" fillId="9" borderId="10" xfId="0" applyFill="1" applyBorder="1" applyAlignme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41" fontId="0" fillId="0" borderId="18" xfId="0" applyNumberFormat="1" applyFill="1" applyBorder="1" applyAlignment="1">
      <alignment vertical="center"/>
    </xf>
    <xf numFmtId="182" fontId="0" fillId="0" borderId="0" xfId="1" applyNumberFormat="1" applyFont="1">
      <alignment vertical="center"/>
    </xf>
    <xf numFmtId="182" fontId="0" fillId="0" borderId="0" xfId="0" applyNumberFormat="1">
      <alignment vertical="center"/>
    </xf>
    <xf numFmtId="176" fontId="0" fillId="12" borderId="1" xfId="0" applyNumberForma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20" fillId="0" borderId="0" xfId="0" applyFont="1">
      <alignment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41" fontId="13" fillId="0" borderId="0" xfId="0" applyNumberFormat="1" applyFont="1" applyAlignment="1">
      <alignment vertical="center" wrapText="1"/>
    </xf>
    <xf numFmtId="0" fontId="5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1" fontId="0" fillId="0" borderId="34" xfId="1" applyFont="1" applyBorder="1">
      <alignment vertical="center"/>
    </xf>
    <xf numFmtId="41" fontId="0" fillId="0" borderId="35" xfId="1" applyFont="1" applyBorder="1">
      <alignment vertical="center"/>
    </xf>
    <xf numFmtId="41" fontId="0" fillId="0" borderId="36" xfId="1" applyFont="1" applyBorder="1">
      <alignment vertical="center"/>
    </xf>
    <xf numFmtId="41" fontId="0" fillId="0" borderId="21" xfId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32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31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1" fontId="0" fillId="0" borderId="3" xfId="1" applyFont="1" applyBorder="1" applyAlignment="1">
      <alignment horizontal="center" vertical="center"/>
    </xf>
    <xf numFmtId="41" fontId="0" fillId="0" borderId="4" xfId="1" applyFont="1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33" xfId="0" applyBorder="1" applyAlignment="1">
      <alignment horizontal="right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</cellXfs>
  <cellStyles count="4">
    <cellStyle name="백분율" xfId="3" builtinId="5"/>
    <cellStyle name="쉼표 [0]" xfId="1" builtinId="6"/>
    <cellStyle name="표준" xfId="0" builtinId="0"/>
    <cellStyle name="표준 50" xfId="2"/>
  </cellStyles>
  <dxfs count="0"/>
  <tableStyles count="0" defaultTableStyle="TableStyleMedium2" defaultPivotStyle="PivotStyleLight16"/>
  <colors>
    <mruColors>
      <color rgb="FF0206BE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4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7.xml"/><Relationship Id="rId47" Type="http://schemas.openxmlformats.org/officeDocument/2006/relationships/externalLink" Target="externalLinks/externalLink12.xml"/><Relationship Id="rId50" Type="http://schemas.openxmlformats.org/officeDocument/2006/relationships/externalLink" Target="externalLinks/externalLink15.xml"/><Relationship Id="rId55" Type="http://schemas.openxmlformats.org/officeDocument/2006/relationships/externalLink" Target="externalLinks/externalLink20.xml"/><Relationship Id="rId63" Type="http://schemas.openxmlformats.org/officeDocument/2006/relationships/externalLink" Target="externalLinks/externalLink28.xml"/><Relationship Id="rId68" Type="http://schemas.openxmlformats.org/officeDocument/2006/relationships/externalLink" Target="externalLinks/externalLink33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externalLink" Target="externalLinks/externalLink5.xml"/><Relationship Id="rId45" Type="http://schemas.openxmlformats.org/officeDocument/2006/relationships/externalLink" Target="externalLinks/externalLink10.xml"/><Relationship Id="rId53" Type="http://schemas.openxmlformats.org/officeDocument/2006/relationships/externalLink" Target="externalLinks/externalLink18.xml"/><Relationship Id="rId58" Type="http://schemas.openxmlformats.org/officeDocument/2006/relationships/externalLink" Target="externalLinks/externalLink23.xml"/><Relationship Id="rId66" Type="http://schemas.openxmlformats.org/officeDocument/2006/relationships/externalLink" Target="externalLinks/externalLink31.xml"/><Relationship Id="rId74" Type="http://schemas.openxmlformats.org/officeDocument/2006/relationships/externalLink" Target="externalLinks/externalLink3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49" Type="http://schemas.openxmlformats.org/officeDocument/2006/relationships/externalLink" Target="externalLinks/externalLink14.xml"/><Relationship Id="rId57" Type="http://schemas.openxmlformats.org/officeDocument/2006/relationships/externalLink" Target="externalLinks/externalLink22.xml"/><Relationship Id="rId61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9.xml"/><Relationship Id="rId52" Type="http://schemas.openxmlformats.org/officeDocument/2006/relationships/externalLink" Target="externalLinks/externalLink17.xml"/><Relationship Id="rId60" Type="http://schemas.openxmlformats.org/officeDocument/2006/relationships/externalLink" Target="externalLinks/externalLink25.xml"/><Relationship Id="rId65" Type="http://schemas.openxmlformats.org/officeDocument/2006/relationships/externalLink" Target="externalLinks/externalLink30.xml"/><Relationship Id="rId73" Type="http://schemas.openxmlformats.org/officeDocument/2006/relationships/externalLink" Target="externalLinks/externalLink38.xml"/><Relationship Id="rId78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8.xml"/><Relationship Id="rId48" Type="http://schemas.openxmlformats.org/officeDocument/2006/relationships/externalLink" Target="externalLinks/externalLink13.xml"/><Relationship Id="rId56" Type="http://schemas.openxmlformats.org/officeDocument/2006/relationships/externalLink" Target="externalLinks/externalLink21.xml"/><Relationship Id="rId64" Type="http://schemas.openxmlformats.org/officeDocument/2006/relationships/externalLink" Target="externalLinks/externalLink29.xml"/><Relationship Id="rId69" Type="http://schemas.openxmlformats.org/officeDocument/2006/relationships/externalLink" Target="externalLinks/externalLink34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6.xml"/><Relationship Id="rId72" Type="http://schemas.openxmlformats.org/officeDocument/2006/relationships/externalLink" Target="externalLinks/externalLink3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3.xml"/><Relationship Id="rId46" Type="http://schemas.openxmlformats.org/officeDocument/2006/relationships/externalLink" Target="externalLinks/externalLink11.xml"/><Relationship Id="rId59" Type="http://schemas.openxmlformats.org/officeDocument/2006/relationships/externalLink" Target="externalLinks/externalLink24.xml"/><Relationship Id="rId67" Type="http://schemas.openxmlformats.org/officeDocument/2006/relationships/externalLink" Target="externalLinks/externalLink32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6.xml"/><Relationship Id="rId54" Type="http://schemas.openxmlformats.org/officeDocument/2006/relationships/externalLink" Target="externalLinks/externalLink19.xml"/><Relationship Id="rId62" Type="http://schemas.openxmlformats.org/officeDocument/2006/relationships/externalLink" Target="externalLinks/externalLink27.xml"/><Relationship Id="rId70" Type="http://schemas.openxmlformats.org/officeDocument/2006/relationships/externalLink" Target="externalLinks/externalLink35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ID-97\BID\QT003-SSY-&#52384;&#44264;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-qvl0d9\&#47928;&#49436;&#46321;&#45936;&#51060;&#53440;\Documents%20and%20Settings\Administrator\Local%20Settings\Temporary%20Internet%20Files\Content.IE5\6LRO94NY\WINDOWS\TEMP\HS&amp;S\Template\HS&amp;S\2ndq2000\TEMP\PLBYL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-qvl0d9\&#47928;&#49436;&#46321;&#45936;&#51060;&#53440;\Documents%20and%20Settings\Administrator\Local%20Settings\Temporary%20Internet%20Files\Content.IE5\6LRO94NY\WINDOWS\TEMP\HS&amp;S\Template\HS&amp;S\2ndq2000\Q2%20Re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user/LOCALS~1/Temp/08OH/&#49688;&#50896;&#51648;&#49324;/&#49444;&#44228;&#49436;(&#44033;&#44284;&#48324;)/&#49688;&#50896;&#50672;&#47308;&#53489;&#53356;/Documents%20and%20Settings/user/&#48148;&#53461;%20&#54868;&#47732;/&#44592;&#44228;2/&#51221;&#45824;&#47532;/&#50864;&#47532;&#51648;&#49324;%20&#50672;&#47308;&#53489;&#53356;%20&#51221;&#44592;&#51216;&#44160;&#44288;&#47144;%20&#51088;&#47308;&#47784;&#51020;/&#44053;&#45224;%20&#51221;&#44592;&#51216;&#44160;&#48372;&#49688;&#44277;&#49324;/3%20&#44277;&#49324;&#49444;&#44228;&#49436;(&#52712;&#54633;_&#52572;&#51333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user/LOCALS~1/Temp/08OH/&#49688;&#50896;&#51648;&#49324;/&#49444;&#44228;&#49436;(&#44033;&#44284;&#48324;)/&#49688;&#50896;&#50672;&#47308;&#53489;&#53356;/Documents%20and%20Settings/user/&#48148;&#53461;%20&#54868;&#47732;/&#44592;&#44228;2/&#51221;&#45824;&#47532;/&#50864;&#47532;&#51648;&#49324;%20&#50672;&#47308;&#53489;&#53356;%20&#51221;&#44592;&#51216;&#44160;&#44288;&#47144;%20&#51088;&#47308;&#47784;&#51020;/&#44053;&#45224;%20&#51221;&#44592;&#51216;&#44160;&#48372;&#49688;&#44277;&#49324;/&#44368;&#50977;&#54984;&#47144;&#49892;%20&#51068;&#50948;&#45824;&#44032;%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617;\MECH\&#49457;&#51648;&#44277;&#547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2384;&#54868;\&#51068;&#50948;&#45824;&#44032;\&#50672;&#46028;&#45236;&#50669;&#51068;&#5094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IS\LOCALS~1\Temp\08OH\&#49688;&#50896;&#51648;&#49324;\&#49444;&#44228;&#49436;(&#44033;&#44284;&#48324;)\&#49688;&#50896;&#50672;&#47308;&#53489;&#53356;\Documents%20and%20Settings\user\&#48148;&#53461;%20&#54868;&#47732;\&#44592;&#44228;2\&#51221;&#45824;&#47532;\&#50864;&#47532;&#51648;&#49324;%20&#50672;&#47308;&#53489;&#53356;%20&#51221;&#44592;&#51216;&#44160;&#44288;&#47144;%20&#51088;&#47308;&#47784;&#51020;\&#44053;&#45224;%20&#51221;&#44592;&#51216;&#44160;&#48372;&#49688;&#44277;&#49324;\&#44368;&#50977;&#54984;&#47144;&#49892;%20&#51068;&#50948;&#45824;&#44032;%2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&#48148;&#53461;%20&#54868;&#47732;\&#44256;&#50577;&#44592;&#44228;\08.&#44277;&#49324;&#44288;&#47532;\&#51221;&#44592;&#51216;&#44160;\&#54364;&#51456;&#49444;&#44228;&#50577;&#49885;\08OH\&#49688;&#50896;&#51648;&#49324;\&#49444;&#44228;&#49436;(&#44033;&#44284;&#48324;)\&#49688;&#50896;&#50672;&#47308;&#53489;&#53356;\Documents%20and%20Settings\user\&#48148;&#53461;%20&#54868;&#47732;\&#44592;&#44228;2\&#51221;&#45824;&#47532;\&#50864;&#47532;&#51648;&#49324;%20&#50672;&#47308;&#53489;&#53356;%20&#51221;&#44592;&#51216;&#44160;&#44288;&#47144;%20&#51088;&#47308;&#47784;&#51020;\&#44053;&#45224;%20&#51221;&#44592;&#51216;&#44160;&#48372;&#49688;&#44277;&#49324;\&#44368;&#50977;&#54984;&#47144;&#49892;%20&#51068;&#50948;&#45824;&#44032;%2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G1_&#52572;&#50689;&#51008;\C\BHYUNDAI\COST\&#50896;&#44032;97\TAGT97_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444;&#44228;&#48320;&#44221;(&#44397;.&#51088;)\&#44397;.&#51088;&#48320;&#44221;&#53685;&#49888;(16&#52264;)\&#50976;&#50896;20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h114289\&#48148;&#53461;%20&#54868;&#47732;\down\ACC%20IO%20LIST_D0035894_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4868;&#49457;&#50676;&#48337;&#54633;\&#50629;&#47924;\&#44592;&#51088;&#51116;&#54788;&#54889;\Documents%20and%20Settings\&#45824;&#50864;&#49324;&#50857;&#51088;\My%20Documents\&#50504;&#50857;&#49437;%20&#50629;&#47924;&#54260;&#45908;\&#50629;&#47924;%20&#44288;&#47144;%20&#51088;&#47308;\12_&#49444;&#44228;&#48320;&#44221;\&#49444;&#44228;&#48320;&#44221;&#45236;&#50669;&#49436;(rev4)\&#45224;&#51312;&#51061;\&#50896;&#51088;&#47141;&#49324;&#50629;\&#49888;&#44256;&#47532;1_2\&#54408;&#49480;&#51201;&#50857;\cable&#54408;&#49480;&#54364;(&#54620;&#51204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61;&#52384;pc\&#47196;&#52972;%20&#46356;&#49828;&#53356;%20(d)\&#49444;&#44228;&#46020;&#47732;03\&#44256;&#46321;&#54617;&#44368;\&#48512;&#49328;&#50668;&#51088;&#44256;&#46321;&#54617;&#44368;\5&#52264;&#49688;&#51221;(&#54617;&#44368;&#51116;&#52636;&#49436;&#47448;&#54252;&#54632;)\&#54617;&#44368;&#51116;&#52636;&#49436;&#47448;\&#45236;&#50669;&#49436;&#48143;&#45800;&#44032;&#44204;&#51201;\&#48512;&#49328;&#50668;&#51088;&#44256;&#46321;&#54617;&#44368;%20&#48169;&#49569;&#51109;&#52824;D-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yoomshik\Downloads\08OH\&#49688;&#50896;&#51648;&#49324;\&#49444;&#44228;&#49436;(&#44033;&#44284;&#48324;)\&#49688;&#50896;&#50672;&#47308;&#53489;&#53356;\Documents%20and%20Settings\user\&#48148;&#53461;%20&#54868;&#47732;\&#44592;&#44228;2\&#51221;&#45824;&#47532;\&#50864;&#47532;&#51648;&#49324;%20&#50672;&#47308;&#53489;&#53356;%20&#51221;&#44592;&#51216;&#44160;&#44288;&#47144;%20&#51088;&#47308;&#47784;&#51020;\&#44053;&#45224;%20&#51221;&#44592;&#51216;&#44160;&#48372;&#49688;&#44277;&#49324;\&#44368;&#50977;&#54984;&#47144;&#49892;%20&#51068;&#50948;&#45824;&#44032;%20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49440;&#51333;\users\Documents%20and%20Settings\user\My%20Documents\&#44592;&#44228;&#54016;%20&#50629;&#47924;\&#50976;&#51648;&#48372;&#49688;%20&#44288;&#47144;&#49436;&#49885;\08OH\&#49688;&#50896;&#51648;&#49324;\&#49444;&#44228;&#49436;(&#44033;&#44284;&#48324;)\&#49688;&#50896;&#50672;&#47308;&#53489;&#53356;\Documents%20and%20Settings\user\&#48148;&#53461;%20&#54868;&#47732;\&#44592;&#44228;2\&#51221;&#45824;&#47532;\&#50864;&#47532;&#51648;&#49324;%20&#50672;&#47308;&#53489;&#53356;%20&#51221;&#44592;&#51216;&#44160;&#44288;&#47144;%20&#51088;&#47308;&#47784;&#51020;\&#44053;&#45224;%20&#51221;&#44592;&#51216;&#44160;&#48372;&#49688;&#44277;&#49324;\&#44368;&#50977;&#54984;&#47144;&#49892;%20&#51068;&#50948;&#45824;&#44032;%2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\c\1\&#49884;&#47549;&#46020;&#49436;&#44288;&#44053;&#45817;\TOTA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cp200k\D\Jim\price\2001\My%20Documents\CPU_DATA\99YER&amp;OP\&#49324;&#50629;&#48512;&#51333;&#54633;\1999Act\99Inpu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03.243.140.6:8080/PRO/KHC110/BM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03.243.140.6:8080/PRO/KHC115/bm115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305;&#51456;\&#44608;&#54644;\Users\&#51648;&#50669;&#45212;&#48169;\AppData\Local\Temp\Temp1_2011&#45380;_OH_&#49444;&#44228;&#45236;&#50669;&#49436;(2&#52264;_&#49688;&#51221;-2011-05-20).zip\file:\C:\WINDOWS\TEMP\&#51060;&#46041;&#49885;&#48372;&#51068;&#47084;&#51204;&#44592;&#49444;&#52824;&#52384;&#44144;&#51068;&#50948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4508;\WORK\1%20&#51089;%20%20&#50629;\6%20&#44204;&#51201;%20&#44288;&#47144;&#51088;&#47308;\&#45236;&#50669;&#49436;sample\K-SET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4508;\WORK\1%20&#51089;%20%20&#50629;\6%20&#44204;&#51201;%20&#44288;&#47144;&#51088;&#47308;\backup1\2001&#45380;\&#49888;&#50900;&#52397;&#49548;&#45380;&#47928;&#54868;&#49468;&#53552;\&#45236;&#50669;&#49436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4508;\WORK\1%20&#51089;%20%20&#50629;\6%20&#44204;&#51201;%20&#44288;&#47144;&#51088;&#47308;\Program%20Files\AutoCAD%20R14\&#49892;&#49884;\&#49569;&#46972;&#52488;&#46321;&#54617;&#44368;\&#45236;&#50669;&#49436;\&#49569;&#46972;&#52488;&#51473;&#54617;&#44368;(final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444;&#44228;&#48320;&#44221;(&#44397;&#51088;)\&#44397;&#51088;&#48320;&#44221;&#53685;&#49888;\13&#52264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592;&#44228;&#48512;\1.%20&#48372;&#44256;&#47928;&#49436;\(2010)%20&#49324;&#49569;&#48708;&#54028;&#44340;&#44160;&#49324;&#50857;&#50669;%20&#48156;&#51452;&#49884;&#54665;\4.%20&#49328;&#52636;&#45236;&#50669;&#49436;R3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12;&#50689;pc\&#47196;&#52972;%20&#46356;&#49828;&#53356;%20(e)\Documents%20and%20Settings\user\My%20Documents\2004&#45380;&#49457;&#54868;&#44592;&#50629;\5.%20&#51068;&#50948;&#45824;&#44032;\&#46160;&#50773;&#47924;&#44144;\&#50896;&#48376;&#48320;&#44221;&#54868;&#51068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1008;&#51221;\d\My%20Documents\&#44148;&#52629;&#51020;&#54693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user/LOCALS~1/Temp/08OH/&#49688;&#50896;&#51648;&#49324;/&#49444;&#44228;&#49436;(&#44033;&#44284;&#48324;)/&#49688;&#50896;&#50672;&#47308;&#53489;&#53356;/Documents%20and%20Settings/user/&#48148;&#53461;%20&#54868;&#47732;/&#44592;&#44228;2/&#51221;&#45824;&#47532;/&#50864;&#47532;&#51648;&#49324;%20&#50672;&#47308;&#53489;&#53356;%20&#51221;&#44592;&#51216;&#44160;&#44288;&#47144;%20&#51088;&#47308;&#47784;&#51020;/&#44053;&#45224;%20&#51221;&#44592;&#51216;&#44160;&#48372;&#49688;&#44277;&#49324;/WINDOWS/Temporary%20Internet%20Files/Content.IE5/WV6XKZ03/&#44592;&#44228;2&#44284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OFFICE%20&#50577;&#49885;\N&#36035;&#63963;-&#32887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OFFICE%20&#50577;&#49885;\N&#36035;&#63963;-&#32887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ject\2007\1.2007&#45380;&#50577;&#52380;&#44396;_&#48520;&#48277;\Documents%20and%20Settings\ee\Local%20Settings\Temp\_AZTMP0_\Documents%20and%20Settings\ee\Local%20Settings\Temporary%20Internet%20Files\Content.IE5\OB2HG7SN\&#44277;&#50976;\2002file\&#49569;&#51204;&#49440;&#48372;&#54840;&#48152;(&#50976;&#54840;,&#49440;&#46020;)\OFFICE%20&#50577;&#49885;\N&#36035;&#63963;-&#32887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4633;&#52380;&#45236;&#50669;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54984;&#49885;\09&#45380;%20&#51221;&#44592;&#51216;&#44160;\&#49688;&#50896;&#50672;&#47308;&#53489;&#53356;\Documents%20and%20Settings\user\&#48148;&#53461;%20&#54868;&#47732;\&#44592;&#44228;2\&#51221;&#45824;&#47532;\&#50864;&#47532;&#51648;&#49324;%20&#50672;&#47308;&#53489;&#53356;%20&#51221;&#44592;&#51216;&#44160;&#44288;&#47144;%20&#51088;&#47308;&#47784;&#51020;\&#44053;&#45224;%20&#51221;&#44592;&#51216;&#44160;&#48372;&#49688;&#44277;&#49324;\&#44368;&#50977;&#54984;&#47144;&#49892;%20&#51068;&#50948;&#45824;&#44032;%2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24;&#50976;&#49885;\-1.%20&#50500;&#54028;&#53944;\&#52572;&#49457;&#54840;\&#49892;&#54665;&#50696;&#49328;\&#48128;&#47112;&#45768;&#50628;\&#51204;&#52404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onsan.s-oil.com/mail/cyh1445.nsf/(web$Inbox)/524B9DBF24BB2D9449256D6E002D8BB6/$FILE/INQ-MAINT-03-124.xls/BID-97/BID/QT003-SSY-&#52384;&#44264;3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89;&#46973;1\&#54532;&#47196;&#51229;&#53944;\DATA\EXCEL\HEXCEL\95WORK\HEXCEL\95_1&#45236;&#50669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4540;&#47004;&#53944;&#44288;&#47532;&#48512;\14.%20&#51473;&#51109;&#44592;\2023\2022&#45380;%20&#51088;&#47308;\2022.05.16___22-31&#45380;%20&#51473;&#51109;&#44592;&#50696;&#49328;_&#52572;&#51333;&#48177;&#45936;&#51060;&#53552;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4540;&#47004;&#53944;&#44288;&#47532;&#48512;\2.%20&#50976;&#51648;&#48372;&#49688;\&#50976;&#51648;&#48372;&#49688;%20&#50696;&#49328;\2025\1.%2025&#45380;%20&#50696;&#49328;&#54200;&#49457;\&#52572;&#51333;&#54869;&#51221;\20241216_'25&#45380;%20&#49552;&#51061;&#50696;&#49328;_&#52572;&#51333;&#48376;_&#50696;&#49328;&#48512;&#49569;&#48512;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ENE-CAL"/>
      <sheetName val="QT003-SSY-철골3"/>
      <sheetName val="2.냉난방설비공사"/>
      <sheetName val="7.자동제어공사"/>
      <sheetName val="18 BL 배관 내역"/>
      <sheetName val="LEGEND"/>
      <sheetName val="페인트"/>
      <sheetName val="DRUM"/>
      <sheetName val="AN-01"/>
      <sheetName val="2_냉난방설비공사"/>
      <sheetName val="7_자동제어공사"/>
      <sheetName val="18_BL_배관_내역"/>
      <sheetName val="노무비"/>
      <sheetName val="PIPE"/>
      <sheetName val="FLANGE"/>
      <sheetName val="VALVE"/>
      <sheetName val="예가표"/>
      <sheetName val="일위대가(계측기설치)"/>
      <sheetName val="PC%계산"/>
      <sheetName val="Sheet1"/>
      <sheetName val="목표세부명세"/>
      <sheetName val="CASH"/>
      <sheetName val="LOADING"/>
      <sheetName val="Cost Breakdown"/>
      <sheetName val="연돌일위집계"/>
      <sheetName val="Civil"/>
      <sheetName val="DB_Acess"/>
      <sheetName val="일위대가(가설)"/>
      <sheetName val="Sheet6"/>
      <sheetName val="하자보수"/>
      <sheetName val="현장별공사원가(2012.12"/>
      <sheetName val="공사수입"/>
      <sheetName val="외화환산"/>
      <sheetName val="공동도급"/>
      <sheetName val="재무상태표"/>
      <sheetName val="손익계산서"/>
      <sheetName val="외화매출"/>
      <sheetName val="환율정보"/>
      <sheetName val="TTL"/>
      <sheetName val="도면자료제출일정"/>
      <sheetName val="Hauptdaten"/>
      <sheetName val="EXPAN-1"/>
      <sheetName val="노임"/>
      <sheetName val="95신규호표"/>
      <sheetName val="Takeoff"/>
      <sheetName val="입찰내역 발주처 양식"/>
      <sheetName val="NO.3.PTA PLANT SD COST"/>
      <sheetName val="의왕"/>
      <sheetName val="A (2)"/>
      <sheetName val="FC-101"/>
      <sheetName val="1100"/>
      <sheetName val="SILO"/>
      <sheetName val="datasheet"/>
      <sheetName val="기준원단위"/>
      <sheetName val="INSTR"/>
      <sheetName val="L V Separator"/>
      <sheetName val="MIBK원단위"/>
      <sheetName val="운반"/>
      <sheetName val="품셈표"/>
      <sheetName val="BQMPALOC"/>
      <sheetName val="CAL1"/>
      <sheetName val="Sheet2"/>
      <sheetName val="OtherKPI"/>
      <sheetName val="inter"/>
      <sheetName val="ELECTRIC"/>
      <sheetName val="CTEMCOST"/>
      <sheetName val="SCHEDULE"/>
      <sheetName val="시약구매"/>
      <sheetName val="#REF"/>
      <sheetName val="실행내역서 "/>
      <sheetName val="M-MG1"/>
      <sheetName val="분석"/>
      <sheetName val="CODE"/>
      <sheetName val="단가"/>
      <sheetName val="Input"/>
      <sheetName val="calc"/>
      <sheetName val="Price Breakdown (IBCI)"/>
      <sheetName val="HO Cost"/>
      <sheetName val="3rd party inspection(1)"/>
      <sheetName val="Training"/>
      <sheetName val="Vendor Sup."/>
      <sheetName val="MH"/>
      <sheetName val="Owner's Office"/>
      <sheetName val=""/>
      <sheetName val="표지"/>
      <sheetName val="은행"/>
      <sheetName val="을-ATYPE"/>
      <sheetName val="찍기"/>
      <sheetName val="COVER"/>
      <sheetName val="SM1-09"/>
      <sheetName val="SM2-09"/>
      <sheetName val="BD-09"/>
      <sheetName val="MT-09"/>
      <sheetName val="2_냉난방설비공사1"/>
      <sheetName val="7_자동제어공사1"/>
      <sheetName val="18_BL_배관_내역1"/>
      <sheetName val="현장별공사원가(2012_12"/>
      <sheetName val="12월"/>
      <sheetName val="costing_CV"/>
      <sheetName val="Sheet1 (2)"/>
      <sheetName val="삼성전기"/>
      <sheetName val="2_냉난방설비공사2"/>
      <sheetName val="7_자동제어공사2"/>
      <sheetName val="18_BL_배관_내역2"/>
      <sheetName val="현장별공사원가(2012_121"/>
      <sheetName val="Cost_Breakdown"/>
      <sheetName val="입찰내역_발주처_양식"/>
      <sheetName val="NO_3_PTA_PLANT_SD_COST"/>
      <sheetName val="A_(2)"/>
      <sheetName val="Price_Breakdown_(IBCI)"/>
      <sheetName val="HO_Cost"/>
      <sheetName val="3rd_party_inspection(1)"/>
      <sheetName val="Vendor_Sup_"/>
      <sheetName val="Owner's_Office"/>
      <sheetName val="L_V_Separator"/>
      <sheetName val="실행내역서_"/>
      <sheetName val="유림골조"/>
      <sheetName val="공통부대비"/>
      <sheetName val="DATA LISTS"/>
      <sheetName val="DTmpData"/>
      <sheetName val="NCCALC11"/>
      <sheetName val="실행철강하도"/>
      <sheetName val="부하계산서"/>
      <sheetName val="부하(성남)"/>
      <sheetName val="BM"/>
      <sheetName val="12CGOU"/>
      <sheetName val=" 배관자재비-SKEC구매분"/>
      <sheetName val="insulation"/>
      <sheetName val="보온자재단가표"/>
      <sheetName val="EQT-ESTN"/>
      <sheetName val="대비표"/>
      <sheetName val="Sheet4"/>
      <sheetName val="INSTLIST 1"/>
      <sheetName val="steam table"/>
      <sheetName val="jobhist"/>
      <sheetName val="studbolt no."/>
      <sheetName val="studbolt size"/>
      <sheetName val="item sort no"/>
      <sheetName val="PNTEXT"/>
      <sheetName val="기성내역"/>
      <sheetName val="Price Schedule(Piping)"/>
      <sheetName val="Eq. Mobilization"/>
      <sheetName val="General Data"/>
      <sheetName val="LinerWt"/>
      <sheetName val="VUOTO"/>
      <sheetName val="산근"/>
      <sheetName val="LINE_LIST"/>
      <sheetName val="Sheet13"/>
      <sheetName val="Sheet14"/>
      <sheetName val="trf(36%)"/>
      <sheetName val="BQ List"/>
      <sheetName val="집계표(OPTION)"/>
      <sheetName val="CAT_5"/>
      <sheetName val="자금운영"/>
      <sheetName val="CAST INT T-S"/>
      <sheetName val="Sum"/>
      <sheetName val="당초"/>
      <sheetName val="Curves"/>
      <sheetName val="Tables"/>
      <sheetName val="XZLC004_PART2"/>
      <sheetName val="XZLC003_PART1"/>
      <sheetName val="IMPEADENCE MAP 취수장"/>
      <sheetName val="CB"/>
      <sheetName val="기기리스트"/>
      <sheetName val="FAB별"/>
      <sheetName val="분류기준"/>
      <sheetName val="KA6"/>
      <sheetName val="기준표"/>
      <sheetName val="실행내역서(DCU)"/>
      <sheetName val="Factor"/>
      <sheetName val="5.세운W-A"/>
      <sheetName val="토공사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B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원가(분야별)"/>
      <sheetName val="요율"/>
      <sheetName val="기계(1)&gt;&gt;&gt;"/>
      <sheetName val="원가K"/>
      <sheetName val="공사비K"/>
      <sheetName val="집계K1"/>
      <sheetName val="집계K2"/>
      <sheetName val="집계K3"/>
      <sheetName val="산출K1"/>
      <sheetName val="산출K2"/>
      <sheetName val="산출K3"/>
      <sheetName val="일위K1"/>
      <sheetName val="일위K2"/>
      <sheetName val="일위K3"/>
      <sheetName val="수량K1"/>
      <sheetName val="수량K2"/>
      <sheetName val="수량K3"/>
      <sheetName val="도면K1"/>
      <sheetName val="도면K2"/>
      <sheetName val="잡재료K"/>
      <sheetName val="지입K"/>
      <sheetName val="외주K1"/>
      <sheetName val="외주K2"/>
      <sheetName val="공정"/>
      <sheetName val="기계(2)&gt;&gt;&gt;"/>
      <sheetName val="원가S1"/>
      <sheetName val="원가S2"/>
      <sheetName val="공사비S"/>
      <sheetName val="열공급시설"/>
      <sheetName val="집계S1"/>
      <sheetName val="집계S2"/>
      <sheetName val="산출S1"/>
      <sheetName val="산출S2"/>
      <sheetName val="산출S3"/>
      <sheetName val="일위S1"/>
      <sheetName val="일위S2"/>
      <sheetName val="일위S3"/>
      <sheetName val="수량S1"/>
      <sheetName val="수량S2"/>
      <sheetName val="수량S3"/>
      <sheetName val="수량S4"/>
      <sheetName val="잡재료S"/>
      <sheetName val="지입S1"/>
      <sheetName val="외주S"/>
      <sheetName val="공정S1"/>
      <sheetName val="연료탱크"/>
      <sheetName val="집계S3"/>
      <sheetName val="일위S4"/>
      <sheetName val="수량S5"/>
      <sheetName val="지입S2"/>
      <sheetName val="공정S2"/>
      <sheetName val="연돌"/>
      <sheetName val="집계S4"/>
      <sheetName val="산출S5"/>
      <sheetName val="일위S5"/>
      <sheetName val="수량S6"/>
      <sheetName val="지입S3"/>
      <sheetName val="공정S3"/>
      <sheetName val="전기&gt;&gt;&gt;"/>
      <sheetName val="원가(전)"/>
      <sheetName val="공사비(전)"/>
      <sheetName val="집계(강남)"/>
      <sheetName val="산출K"/>
      <sheetName val="일K1"/>
      <sheetName val="일K2"/>
      <sheetName val="집계(수서)"/>
      <sheetName val="산출S"/>
      <sheetName val="일S1"/>
      <sheetName val="일S2"/>
      <sheetName val="일S3"/>
      <sheetName val="수량"/>
      <sheetName val="단가"/>
      <sheetName val="예정"/>
      <sheetName val="참고"/>
      <sheetName val="사급자재"/>
      <sheetName val="사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자재단가"/>
    </sheetNames>
    <sheetDataSet>
      <sheetData sheetId="0" refreshError="1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"/>
      <sheetName val="ELECTRIC"/>
      <sheetName val="CTEMCOST"/>
      <sheetName val="성지공현"/>
      <sheetName val="내역"/>
      <sheetName val="예가표"/>
      <sheetName val="01"/>
      <sheetName val="간접1"/>
      <sheetName val="을지"/>
      <sheetName val="#REF"/>
      <sheetName val="샤워실위생"/>
      <sheetName val="노임단가"/>
      <sheetName val="견적"/>
      <sheetName val="세부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INNER FULE"/>
      <sheetName val="적용할증"/>
      <sheetName val="연돌일위집계"/>
      <sheetName val="일위대가"/>
      <sheetName val="고소할증품"/>
      <sheetName val="특수비계공품"/>
      <sheetName val="수량산출서"/>
      <sheetName val="플랫폼집계"/>
      <sheetName val="플랫폼수량"/>
      <sheetName val="계단집계"/>
      <sheetName val="계단수량"/>
      <sheetName val="랜딩집계"/>
      <sheetName val="랜딩수량"/>
      <sheetName val="사다리집계"/>
      <sheetName val="사다리수량"/>
      <sheetName val="Sheet1"/>
      <sheetName val="연돌내역서"/>
      <sheetName val="연돌"/>
      <sheetName val="(76)배관총괄"/>
      <sheetName val="M2-1-1"/>
      <sheetName val="M2-1-2"/>
      <sheetName val="M2-1-3"/>
      <sheetName val="M2-1-4"/>
      <sheetName val="M2-1-5"/>
      <sheetName val="M2-1-6"/>
      <sheetName val="M2-1-7"/>
      <sheetName val="M2-1-8"/>
      <sheetName val="M2-1-9"/>
      <sheetName val="M2-1-10"/>
      <sheetName val="Sheet2"/>
      <sheetName val="Sheet3"/>
      <sheetName val="정산"/>
      <sheetName val="관리비"/>
      <sheetName val="기성공제"/>
      <sheetName val="실행내역"/>
      <sheetName val="1월보고(99종합)"/>
      <sheetName val="00년 1월"/>
      <sheetName val="00년 2월"/>
      <sheetName val="00년 3월"/>
      <sheetName val="00년 4월"/>
      <sheetName val="00년 5월"/>
      <sheetName val="00년상반기"/>
      <sheetName val="00년 7월"/>
      <sheetName val="00년 8월"/>
      <sheetName val="00년 9월"/>
      <sheetName val="00년10월"/>
      <sheetName val="12월가공서비스"/>
      <sheetName val="Sheet10"/>
      <sheetName val="Sheet11"/>
      <sheetName val="Sheet12"/>
      <sheetName val="Sheet13"/>
      <sheetName val="Sheet14"/>
      <sheetName val="Sheet15"/>
      <sheetName val="Sheet16"/>
      <sheetName val="그래프data"/>
      <sheetName val="정부노임단가"/>
      <sheetName val="갑지(추정)"/>
      <sheetName val="PIPE내역(FCN)"/>
      <sheetName val="노원열병합  건축공사기성내역서"/>
      <sheetName val="공문"/>
      <sheetName val="설계예산서"/>
      <sheetName val="㽓다리수량"/>
      <sheetName val="실행(1)"/>
      <sheetName val="단가표"/>
      <sheetName val="01"/>
      <sheetName val="금액내역서"/>
      <sheetName val="목표세부명세"/>
      <sheetName val="SG"/>
      <sheetName val="건축집계"/>
      <sheetName val="일위대가-목록"/>
      <sheetName val="연돌내역일위"/>
      <sheetName val="TDI ISBL"/>
      <sheetName val="청산공사"/>
      <sheetName val="예가표"/>
      <sheetName val="결과조달"/>
      <sheetName val="당초"/>
      <sheetName val="misc"/>
      <sheetName val="DRUM"/>
      <sheetName val="TOWER 12TON"/>
      <sheetName val="TOWER 10TON"/>
      <sheetName val="직재"/>
      <sheetName val="가시설흙막이"/>
      <sheetName val="품셈"/>
      <sheetName val="배관(TDI ISBL)"/>
      <sheetName val="0226"/>
      <sheetName val="노임단가"/>
      <sheetName val="PBS"/>
      <sheetName val="h-013211-2"/>
      <sheetName val="3.공통공사대비"/>
      <sheetName val="실행"/>
      <sheetName val="S003031"/>
      <sheetName val="유림골조"/>
      <sheetName val="IW-LIST"/>
      <sheetName val="안국연체"/>
      <sheetName val="현장경상비"/>
      <sheetName val="6호기"/>
      <sheetName val="기계설비"/>
      <sheetName val="동축분 종합설계서"/>
      <sheetName val="전기일위대가"/>
      <sheetName val="소비자가"/>
      <sheetName val="설치공사"/>
      <sheetName val="집계표"/>
      <sheetName val="내역표지"/>
      <sheetName val="Sheet5"/>
      <sheetName val="CAT_5"/>
      <sheetName val=" 견적서"/>
      <sheetName val="1ST"/>
      <sheetName val="단중"/>
      <sheetName val="품셈표"/>
      <sheetName val="1단계"/>
      <sheetName val="PIPE"/>
      <sheetName val="FLANGE"/>
      <sheetName val="VALVE"/>
      <sheetName val="C3"/>
      <sheetName val="B"/>
      <sheetName val="TB-내역서"/>
      <sheetName val="도"/>
      <sheetName val="견적"/>
      <sheetName val="#REF"/>
      <sheetName val="내"/>
      <sheetName val="설계예시"/>
      <sheetName val="INNER_FULE"/>
      <sheetName val="00년_1월"/>
      <sheetName val="00년_2월"/>
      <sheetName val="00년_3월"/>
      <sheetName val="00년_4월"/>
      <sheetName val="00년_5월"/>
      <sheetName val="00년_7월"/>
      <sheetName val="00년_8월"/>
      <sheetName val="00년_9월"/>
      <sheetName val="노원열병합__건축공사기성내역서"/>
      <sheetName val="배관(TDI_ISBL)"/>
      <sheetName val="TOWER_12TON"/>
      <sheetName val="TOWER_10TON"/>
      <sheetName val="노임"/>
      <sheetName val="도면자료제출일정"/>
      <sheetName val="공사내역"/>
      <sheetName val="D-3109"/>
      <sheetName val="지급자재"/>
      <sheetName val="기준"/>
      <sheetName val="일위대가(여기까지)"/>
      <sheetName val="Sheet4"/>
      <sheetName val="전기"/>
      <sheetName val="집계"/>
      <sheetName val="기본일위"/>
      <sheetName val="직노"/>
      <sheetName val="I一般比"/>
      <sheetName val="내역서2안"/>
      <sheetName val="설직재-1"/>
      <sheetName val="APT"/>
      <sheetName val="건축(광주)"/>
      <sheetName val="수금 "/>
      <sheetName val="12월정산수금현황"/>
      <sheetName val="수정시산표"/>
      <sheetName val="BACKDATA"/>
      <sheetName val="A"/>
      <sheetName val="외화"/>
      <sheetName val="2 카드채권(대출포함)"/>
      <sheetName val="자금동향"/>
      <sheetName val="수입"/>
      <sheetName val="부표총괄"/>
      <sheetName val="일반부표"/>
      <sheetName val="ELECTRIC"/>
      <sheetName val="SCHEDULE"/>
      <sheetName val="CTEMCOST"/>
      <sheetName val="trf(36%)"/>
      <sheetName val="SOS_PLC &amp; Panel"/>
      <sheetName val="CALCULATION"/>
      <sheetName val="입상내역"/>
      <sheetName val="수문일위1"/>
      <sheetName val="내역서(총)"/>
      <sheetName val="품셈TABLE"/>
      <sheetName val="모니터"/>
      <sheetName val="CONC SLAB"/>
      <sheetName val="공통비총괄표"/>
      <sheetName val="공사비증감"/>
      <sheetName val="월별cashflow"/>
      <sheetName val="사업검토"/>
      <sheetName val="월별경비집행"/>
      <sheetName val="6PILE  (돌출)"/>
      <sheetName val="의뢰서"/>
      <sheetName val="할증 "/>
      <sheetName val="금융비용"/>
      <sheetName val="nde_request"/>
      <sheetName val="DATA2000"/>
      <sheetName val="Summary"/>
      <sheetName val="24V"/>
      <sheetName val="C-301E~305E"/>
      <sheetName val="수주전망영업부"/>
      <sheetName val="내역서"/>
      <sheetName val="3_공통공사대비"/>
      <sheetName val="자금신청서"/>
      <sheetName val="NYS"/>
      <sheetName val="MINA BM"/>
      <sheetName val="견적조건"/>
      <sheetName val="국내"/>
      <sheetName val="카메라(TO양식변경)"/>
      <sheetName val="날개벽수량표"/>
      <sheetName val="세대내부"/>
      <sheetName val="VV보온LINK"/>
      <sheetName val="FIT보온LINK"/>
      <sheetName val="기준표"/>
      <sheetName val="대림경상68억"/>
      <sheetName val="설계조건"/>
      <sheetName val="0708"/>
      <sheetName val="1.설계기준"/>
      <sheetName val="조건표"/>
      <sheetName val="INSTR"/>
      <sheetName val="Back data Table"/>
      <sheetName val="동축분_종합설계서"/>
      <sheetName val="TDI_ISBL"/>
      <sheetName val="MINA_BM"/>
      <sheetName val="ERECIN"/>
      <sheetName val="제직재"/>
      <sheetName val="갑지"/>
      <sheetName val="일위"/>
      <sheetName val="Y-WORK"/>
      <sheetName val="일위대가(계측기설치)"/>
      <sheetName val="INNER_FULE1"/>
      <sheetName val="00년_1월1"/>
      <sheetName val="00년_2월1"/>
      <sheetName val="00년_3월1"/>
      <sheetName val="00년_4월1"/>
      <sheetName val="00년_5월1"/>
      <sheetName val="00년_7월1"/>
      <sheetName val="00년_8월1"/>
      <sheetName val="00년_9월1"/>
      <sheetName val="노원열병합__건축공사기성내역서1"/>
      <sheetName val="배관(TDI_ISBL)1"/>
      <sheetName val="TOWER_12TON1"/>
      <sheetName val="TOWER_10TON1"/>
      <sheetName val="_견적서"/>
      <sheetName val="Sheet9"/>
      <sheetName val="발전기"/>
      <sheetName val="간선"/>
      <sheetName val="전기자료"/>
      <sheetName val="REFTABLE"/>
      <sheetName val="수로단위수량"/>
      <sheetName val="건축-물가변동"/>
      <sheetName val="7.1유효폭"/>
      <sheetName val="배수내역"/>
      <sheetName val="PIPE(UG)내역"/>
      <sheetName val="NAMES"/>
      <sheetName val="D-623D"/>
      <sheetName val="TCF"/>
      <sheetName val="人力"/>
      <sheetName val="分析2-安装包"/>
      <sheetName val="BQ"/>
      <sheetName val="COVER-P"/>
      <sheetName val="표지"/>
      <sheetName val="현장관리비"/>
      <sheetName val="노임이"/>
      <sheetName val="골프장예산"/>
      <sheetName val="실행내역서 "/>
      <sheetName val="설계명세서"/>
      <sheetName val="IMPEADENCE MAP 취수장"/>
      <sheetName val="매출"/>
      <sheetName val="97 사업추정(WEKI)"/>
      <sheetName val="제-노임"/>
      <sheetName val="금융"/>
      <sheetName val="TRE TABLE"/>
      <sheetName val="DATA"/>
      <sheetName val="내역서(증축)"/>
      <sheetName val="가격조사서"/>
      <sheetName val="기계경비 (2)"/>
      <sheetName val="Civil"/>
      <sheetName val="DB@Acess"/>
      <sheetName val="본선 토공 분배표"/>
      <sheetName val="0000"/>
      <sheetName val="다이꾸"/>
      <sheetName val="AC포장수량"/>
      <sheetName val="KMX(현대토목)"/>
      <sheetName val="단면 (2)"/>
      <sheetName val="판가반영"/>
      <sheetName val="BQMPALOC"/>
      <sheetName val="예정(3)"/>
      <sheetName val="동원(3)"/>
      <sheetName val="원가계산서(남측)"/>
      <sheetName val="토공정보"/>
      <sheetName val="두앙"/>
      <sheetName val="계정"/>
      <sheetName val="부하계산서"/>
      <sheetName val="sum1 (2)"/>
      <sheetName val="TG9504"/>
      <sheetName val="수량산출서 갑지"/>
      <sheetName val="프랜트면허"/>
      <sheetName val="부속동"/>
      <sheetName val="개요"/>
      <sheetName val="마감사양"/>
      <sheetName val="표지 (2)"/>
      <sheetName val="외주계약현황"/>
      <sheetName val="자재계약내용"/>
      <sheetName val="입찰내역 발주처 양식"/>
      <sheetName val="COPING"/>
      <sheetName val="오산갈곳"/>
      <sheetName val="유림총괄"/>
      <sheetName val="ilch"/>
      <sheetName val="토공(완충)"/>
      <sheetName val="3BL공동구 수량"/>
      <sheetName val="방배동내역(리라)"/>
      <sheetName val="CODE (2)"/>
      <sheetName val="DB"/>
      <sheetName val="토공실행"/>
      <sheetName val="GRDBS"/>
      <sheetName val="단가표 "/>
      <sheetName val="P.M 별"/>
      <sheetName val="공사비예산서(토목분)"/>
      <sheetName val="밸브설치"/>
      <sheetName val="경상비"/>
      <sheetName val="실행대비"/>
      <sheetName val="공사개요"/>
      <sheetName val="청천내"/>
      <sheetName val="도급내역"/>
      <sheetName val="세부내역"/>
      <sheetName val="연결임시"/>
      <sheetName val="구조물공"/>
      <sheetName val="내역"/>
      <sheetName val="2000년1차"/>
      <sheetName val="투찰추정"/>
      <sheetName val="도급내역5+800"/>
      <sheetName val="수목표준대가"/>
      <sheetName val="JUCKEYK"/>
      <sheetName val="부대공"/>
      <sheetName val="도급금액"/>
      <sheetName val="재노경"/>
      <sheetName val="일위대가(가설)"/>
      <sheetName val="단가"/>
      <sheetName val="배수공"/>
      <sheetName val="설계"/>
      <sheetName val="BID"/>
      <sheetName val="포장공"/>
      <sheetName val="일위대가(1)"/>
      <sheetName val="총공사내역서"/>
      <sheetName val="200"/>
      <sheetName val="토공"/>
      <sheetName val="도급"/>
      <sheetName val="설 계"/>
      <sheetName val="입찰안"/>
      <sheetName val="CODE"/>
      <sheetName val="WORK"/>
      <sheetName val="일반공사"/>
      <sheetName val="MOTOR"/>
      <sheetName val="충주"/>
      <sheetName val="입출재고현황 (2)"/>
      <sheetName val="구조물철거타공정이월"/>
      <sheetName val="LinerWt"/>
      <sheetName val="Cash2"/>
      <sheetName val="Z"/>
      <sheetName val="앉음벽 (2)"/>
      <sheetName val="설비원가"/>
      <sheetName val="손익분석"/>
      <sheetName val="12CGOU"/>
      <sheetName val="Insts"/>
      <sheetName val="PRO_DCI"/>
      <sheetName val="INST_DCI"/>
      <sheetName val="HVAC_DCI"/>
      <sheetName val="PIPE_DCI"/>
      <sheetName val="TTL"/>
      <sheetName val="calc"/>
      <sheetName val="일위대가목차"/>
      <sheetName val="그래프(안전환경)"/>
      <sheetName val="Supplement2"/>
      <sheetName val="경산"/>
      <sheetName val="공사현황"/>
      <sheetName val="공종별 공사비변동"/>
      <sheetName val="J直材4"/>
      <sheetName val="단가조사"/>
      <sheetName val="교각계산"/>
      <sheetName val="20-25"/>
      <sheetName val="절단표"/>
      <sheetName val="설계명세서(선로)"/>
      <sheetName val="일위대가 "/>
      <sheetName val="WELDING POINT 단가"/>
      <sheetName val="별표 "/>
      <sheetName val="5.소재"/>
      <sheetName val="부하(성남)"/>
      <sheetName val="BACKDA_x0014_A"/>
      <sheetName val="조립지적"/>
      <sheetName val="자재집계"/>
      <sheetName val="공통비(전체)"/>
      <sheetName val="사업부배부A"/>
      <sheetName val="관로토공집계표"/>
      <sheetName val="총물량"/>
      <sheetName val="costing_CV"/>
      <sheetName val="costing_ESDV"/>
      <sheetName val="costing_FE"/>
      <sheetName val="costing_Misc"/>
      <sheetName val="costing_MOV"/>
      <sheetName val="costing_Press"/>
      <sheetName val="집계표(OPTION)"/>
      <sheetName val="sum"/>
      <sheetName val="INNER_FULE2"/>
      <sheetName val="00년_1월2"/>
      <sheetName val="00년_2월2"/>
      <sheetName val="00년_3월2"/>
      <sheetName val="00년_4월2"/>
      <sheetName val="00년_5월2"/>
      <sheetName val="00년_7월2"/>
      <sheetName val="00년_8월2"/>
      <sheetName val="00년_9월2"/>
      <sheetName val="노원열병합__건축공사기성내역서2"/>
      <sheetName val="배관(TDI_ISBL)2"/>
      <sheetName val="TOWER_12TON2"/>
      <sheetName val="TOWER_10TON2"/>
      <sheetName val="3_공통공사대비1"/>
      <sheetName val="_견적서1"/>
      <sheetName val="TDI_ISBL1"/>
      <sheetName val="Code_INTools"/>
      <sheetName val="Default_Magics"/>
      <sheetName val="Code_Magics"/>
      <sheetName val="역T형"/>
      <sheetName val="왕십리방향"/>
      <sheetName val="PAY"/>
      <sheetName val="사통"/>
      <sheetName val="만기"/>
      <sheetName val="1,2,3,4,5단위수량"/>
      <sheetName val="기초자료입력"/>
      <sheetName val="cable-data"/>
      <sheetName val="현장지지물물량"/>
      <sheetName val="터파기및재료"/>
      <sheetName val="BOX(1.5X1.5)"/>
      <sheetName val="견"/>
      <sheetName val="FORM-0"/>
      <sheetName val="연수동"/>
      <sheetName val="조명시설"/>
      <sheetName val="MTO REV.2(ARMOR)"/>
      <sheetName val="교각1"/>
      <sheetName val="BSD (2)"/>
      <sheetName val="코드"/>
      <sheetName val="COST"/>
      <sheetName val="을"/>
      <sheetName val="기본사항"/>
      <sheetName val="을-ATYPE"/>
      <sheetName val="정보"/>
      <sheetName val="입력"/>
      <sheetName val="Project_Brief1"/>
      <sheetName val="Breakdown"/>
      <sheetName val="금액집계"/>
      <sheetName val="ITEM"/>
      <sheetName val="1공구(을)"/>
      <sheetName val="UnitRate"/>
      <sheetName val="산거각호표"/>
      <sheetName val="대로근거"/>
      <sheetName val="중로근거"/>
      <sheetName val="충돌 내용"/>
      <sheetName val="연습"/>
      <sheetName val="방배2E"/>
      <sheetName val="연부97-1"/>
      <sheetName val="21301동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공사비SUM"/>
      <sheetName val="Inert Balls"/>
      <sheetName val="HRB"/>
      <sheetName val="PIPE-HOT"/>
      <sheetName val="0124"/>
      <sheetName val="Subcon A"/>
      <sheetName val="jobhist"/>
      <sheetName val="BOQ for HRSG &amp; BOP-mech."/>
      <sheetName val="Desal-E&amp;I"/>
      <sheetName val="BOQ for GTG &amp; STG-mech."/>
      <sheetName val="DHEQSUPT"/>
      <sheetName val="N賃率-職"/>
      <sheetName val="대비표"/>
      <sheetName val="수금_"/>
      <sheetName val="2_카드채권(대출포함)"/>
      <sheetName val="Cable경로수정_SRS_제출_견적내역(20120215)"/>
      <sheetName val="집계표(덕화)"/>
      <sheetName val="3.PIPING"/>
      <sheetName val="실행철강하도"/>
      <sheetName val="MAT_N048"/>
      <sheetName val="기계내역"/>
      <sheetName val="9-1차이내역"/>
      <sheetName val="MIBK원단위"/>
      <sheetName val="KUNGDEVI"/>
      <sheetName val="PRICES"/>
      <sheetName val="변경집계표"/>
      <sheetName val="Base_Data"/>
      <sheetName val="PROCURE"/>
      <sheetName val="wagerate"/>
      <sheetName val="Total"/>
      <sheetName val="cable"/>
      <sheetName val="Appendix 2"/>
      <sheetName val="Appendix 3"/>
      <sheetName val="Appendix 4(a)_Civil"/>
      <sheetName val="Appendix 4(c)_Piping"/>
      <sheetName val="Appendix 4(b)_Elec."/>
      <sheetName val="临时设施费"/>
      <sheetName val="SW"/>
      <sheetName val="Summary12"/>
      <sheetName val="Summary11"/>
      <sheetName val="OVERALL-PKG#1"/>
      <sheetName val="SHL"/>
      <sheetName val="22-Plant"/>
      <sheetName val="Supervision List"/>
      <sheetName val="CostDB"/>
      <sheetName val="BQ_Process "/>
      <sheetName val="BQ_Building "/>
      <sheetName val="fire alarm"/>
      <sheetName val="Tank Elec. BM "/>
      <sheetName val="132kv.BM "/>
      <sheetName val="정산내역"/>
      <sheetName val="PROCESS"/>
      <sheetName val="hvac(제어동)"/>
      <sheetName val="허용전류-IEC"/>
      <sheetName val="허용전류-IEC DATA"/>
      <sheetName val="일위대가_여기까지_"/>
      <sheetName val="9GNG운반"/>
      <sheetName val="공통부대비"/>
      <sheetName val="사진"/>
      <sheetName val="설계내역서"/>
      <sheetName val="배관 PANIT 물량"/>
      <sheetName val="품"/>
      <sheetName val="설산1.나"/>
      <sheetName val="본사S"/>
      <sheetName val="견적단가"/>
      <sheetName val="자재비산출(perlite)"/>
      <sheetName val="산근"/>
      <sheetName val="BAND(200)"/>
      <sheetName val="OUTER AREA(겹침없음)"/>
      <sheetName val="EG-09"/>
      <sheetName val="A-100전제"/>
      <sheetName val="Summary Sheets"/>
      <sheetName val="산출내역서집계표"/>
      <sheetName val="음료실행"/>
      <sheetName val="실행(표지,갑,을)"/>
      <sheetName val="실행(ALT1)"/>
      <sheetName val="동원인원"/>
      <sheetName val="원본"/>
      <sheetName val="Engrg Est"/>
      <sheetName val="오억미만"/>
      <sheetName val="INNER_FULE3"/>
      <sheetName val="00년_1월3"/>
      <sheetName val="00년_2월3"/>
      <sheetName val="00년_3월3"/>
      <sheetName val="00년_4월3"/>
      <sheetName val="00년_5월3"/>
      <sheetName val="00년_7월3"/>
      <sheetName val="00년_8월3"/>
      <sheetName val="00년_9월3"/>
      <sheetName val="노원열병합__건축공사기성내역서3"/>
      <sheetName val="TDI_ISBL2"/>
      <sheetName val="TOWER_12TON3"/>
      <sheetName val="TOWER_10TON3"/>
      <sheetName val="배관(TDI_ISBL)3"/>
      <sheetName val="3_공통공사대비2"/>
      <sheetName val="동축분_종합설계서1"/>
      <sheetName val="_견적서2"/>
      <sheetName val="수금_1"/>
      <sheetName val="2_카드채권(대출포함)1"/>
      <sheetName val="SOS_PLC_&amp;_Panel"/>
      <sheetName val="CONC_SLAB"/>
      <sheetName val="6PILE__(돌출)"/>
      <sheetName val="할증_"/>
      <sheetName val="MINA_BM1"/>
      <sheetName val="1_설계기준"/>
      <sheetName val="Back_data_Table"/>
      <sheetName val="7_1유효폭"/>
      <sheetName val="실행내역서_"/>
      <sheetName val="IMPEADENCE_MAP_취수장"/>
      <sheetName val="97_사업추정(WEKI)"/>
      <sheetName val="TRE_TABLE"/>
      <sheetName val="기계경비_(2)"/>
      <sheetName val="본선_토공_분배표"/>
      <sheetName val="단면_(2)"/>
      <sheetName val="sum1_(2)"/>
      <sheetName val="수량산출서_갑지"/>
      <sheetName val="표지_(2)"/>
      <sheetName val="입찰내역_발주처_양식"/>
      <sheetName val="3BL공동구_수량"/>
      <sheetName val="CODE_(2)"/>
      <sheetName val="단가표_"/>
      <sheetName val="P_M_별"/>
      <sheetName val="설_계"/>
      <sheetName val="입출재고현황_(2)"/>
      <sheetName val="앉음벽_(2)"/>
      <sheetName val="공종별_공사비변동"/>
      <sheetName val="일위대가_"/>
      <sheetName val="WELDING_POINT_단가"/>
      <sheetName val="별표_"/>
      <sheetName val="5_소재"/>
      <sheetName val="BACKDAA"/>
      <sheetName val="BOQ_for_HRSG_&amp;_BOP-mech_"/>
      <sheetName val="BOQ_for_GTG_&amp;_STG-mech_"/>
      <sheetName val="TDC_COA_Sumry"/>
      <sheetName val="TDC_Item_Dets"/>
      <sheetName val="TDC_Item_Sumry"/>
      <sheetName val="TDC_Key_Qty_Sumry"/>
      <sheetName val="List_-_Components"/>
      <sheetName val="단중표_ST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Inert_Balls"/>
      <sheetName val="3_PIPING"/>
      <sheetName val="Appendix_2"/>
      <sheetName val="Appendix_3"/>
      <sheetName val="보험"/>
      <sheetName val="단가산출"/>
      <sheetName val="Gia vat tu"/>
      <sheetName val="EQUIPMENT"/>
      <sheetName val="특기사항"/>
      <sheetName val="자재단가"/>
      <sheetName val="Appendix_4(a)_Civil"/>
      <sheetName val="일위(PN)"/>
      <sheetName val="slipsumpR"/>
      <sheetName val="내역1"/>
      <sheetName val=" 공사개요.xlsx"/>
      <sheetName val="cal"/>
      <sheetName val="산출근거"/>
      <sheetName val="YES-T"/>
      <sheetName val="Sheet17"/>
      <sheetName val="갑지1"/>
      <sheetName val="전계가"/>
      <sheetName val="업무담당"/>
      <sheetName val="BEND LOSS"/>
      <sheetName val="consumption"/>
      <sheetName val="90EL JACKET"/>
      <sheetName val="JACKET(50,50)"/>
      <sheetName val="개시대사 (2)"/>
      <sheetName val="공정기계"/>
      <sheetName val="계장"/>
      <sheetName val="토목"/>
      <sheetName val="건축"/>
      <sheetName val="CONCRETE"/>
      <sheetName val="계수시트"/>
      <sheetName val="원가계산서"/>
      <sheetName val="물량표(신)"/>
      <sheetName val="AILC004"/>
      <sheetName val="COVER"/>
      <sheetName val="공내역"/>
      <sheetName val="손익합산"/>
      <sheetName val="MTP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Annular"/>
      <sheetName val="Wind"/>
      <sheetName val="Rafter_Only"/>
      <sheetName val="App F"/>
      <sheetName val="Seismic"/>
      <sheetName val="Shell (VP Dgn)"/>
      <sheetName val="적정심사"/>
      <sheetName val="건기토"/>
      <sheetName val="상세일위"/>
      <sheetName val="단가(보완)"/>
      <sheetName val="대가 (보완)"/>
      <sheetName val="준검 내역서"/>
      <sheetName val="2010년 투입계획 (2)"/>
      <sheetName val="Nalut (천단위)"/>
      <sheetName val="F801"/>
      <sheetName val="수주추정"/>
      <sheetName val="ERECT"/>
      <sheetName val="Master_Data"/>
      <sheetName val="인원현황"/>
      <sheetName val="아울렛박스"/>
      <sheetName val="간접비내역-1"/>
      <sheetName val="BOX"/>
      <sheetName val="ASCEandUBC"/>
      <sheetName val="BACKDA_x005f_x0014_A"/>
      <sheetName val="CIVIL4"/>
      <sheetName val="Cost Report-B&amp;V Det"/>
      <sheetName val="00년 湓畃"/>
      <sheetName val="She_x000c_+_x0000_"/>
      <sheetName val=""/>
      <sheetName val="삼광기업0120"/>
      <sheetName val="DATE"/>
      <sheetName val="CAL1"/>
      <sheetName val="을 2"/>
      <sheetName val="EQUIP"/>
      <sheetName val="PC방호벽설치수량"/>
      <sheetName val="조명율표"/>
      <sheetName val="CD,TH,TP"/>
      <sheetName val="Tong Hop"/>
      <sheetName val="He 06"/>
      <sheetName val="Nam 2004"/>
      <sheetName val="Nam 2003"/>
      <sheetName val="Nam 2005"/>
      <sheetName val="Nam 2002"/>
      <sheetName val="XL4Poppy"/>
      <sheetName val="F4-F7"/>
      <sheetName val="2.대외공문"/>
      <sheetName val="수량산출서(코너앵글)"/>
      <sheetName val="간접"/>
      <sheetName val="성곽내역서"/>
      <sheetName val="CPM챠트"/>
      <sheetName val="EP0618"/>
      <sheetName val="현장경비"/>
      <sheetName val="LD"/>
      <sheetName val="일위2"/>
      <sheetName val="일위6"/>
      <sheetName val="EQUIPMENT -2"/>
      <sheetName val="토목주소"/>
      <sheetName val="name"/>
      <sheetName val="Memb Schd"/>
      <sheetName val="Personnel"/>
      <sheetName val="ANALISA"/>
      <sheetName val="코드표"/>
      <sheetName val="bm(CIcable)"/>
      <sheetName val="INPUT"/>
      <sheetName val="2공구산출내역"/>
      <sheetName val="대치판정"/>
      <sheetName val="Overview discount gross &amp; trans"/>
      <sheetName val="양식_자재단가조사표"/>
      <sheetName val="간접비"/>
      <sheetName val="대부예산서"/>
      <sheetName val="Tap"/>
      <sheetName val="첨부_예산"/>
      <sheetName val="지구단위계획"/>
      <sheetName val="W-현원가"/>
      <sheetName val="냉연"/>
      <sheetName val="공종별수량집계"/>
      <sheetName val="SMD 3L PM Data"/>
      <sheetName val="UB2"/>
      <sheetName val="대비"/>
      <sheetName val="Sheeta"/>
      <sheetName val="Units+rev"/>
      <sheetName val="총수량집계표"/>
      <sheetName val="공사비총괄표"/>
      <sheetName val="결재방"/>
      <sheetName val="datasheet"/>
      <sheetName val="교통대책내역"/>
      <sheetName val="TYPE-A"/>
      <sheetName val="최종보고1"/>
      <sheetName val="BACKDA_x005f_x005f_x005f_x0014_A"/>
      <sheetName val="_HIT-&gt;HMC_견적(3900)"/>
      <sheetName val="자재"/>
      <sheetName val="동축분_종합설계서2"/>
      <sheetName val="SOS_PLC_&amp;_Panel1"/>
      <sheetName val="MINA_BM2"/>
      <sheetName val="CONC_SLAB1"/>
      <sheetName val="Back_data_Table1"/>
      <sheetName val="6PILE__(돌출)1"/>
      <sheetName val="TRE_TABLE1"/>
      <sheetName val="P_M_별1"/>
      <sheetName val="CODE_(2)1"/>
      <sheetName val="sum1_(2)1"/>
      <sheetName val="기계경비_(2)1"/>
      <sheetName val="단가표_1"/>
      <sheetName val="표지_(2)1"/>
      <sheetName val="공종별_공사비변동1"/>
      <sheetName val="1_설계기준1"/>
      <sheetName val="본선_토공_분배표1"/>
      <sheetName val="수량산출서_갑지1"/>
      <sheetName val="PAD TR보호대기초"/>
      <sheetName val="가로등기초"/>
      <sheetName val="HANDHOLE(2)"/>
      <sheetName val="진접"/>
      <sheetName val="데이타"/>
      <sheetName val="UNIT"/>
      <sheetName val="ENE-CAL 1"/>
      <sheetName val="Sheet1 (2)"/>
      <sheetName val="총괄내역서"/>
      <sheetName val="기계경비(시간당)"/>
      <sheetName val="AS복구"/>
      <sheetName val="중기터파기"/>
      <sheetName val="변수값"/>
      <sheetName val="중기상차"/>
      <sheetName val="남양내역"/>
      <sheetName val="공종별집계표"/>
      <sheetName val="토량산출서"/>
      <sheetName val="당초토량산출서"/>
      <sheetName val="견적대비표"/>
      <sheetName val="차액보증"/>
      <sheetName val="증감내역서"/>
      <sheetName val="토적표"/>
      <sheetName val="노무비"/>
      <sheetName val="기초코드"/>
      <sheetName val="변경토량산출서"/>
      <sheetName val="개요입력"/>
      <sheetName val="수량기준"/>
      <sheetName val="단가기준"/>
      <sheetName val="단위중기"/>
      <sheetName val="Equiv.Length"/>
      <sheetName val="합계"/>
      <sheetName val="PUMPS"/>
      <sheetName val="C"/>
      <sheetName val="MANP"/>
      <sheetName val="공통부대"/>
      <sheetName val="공통부대谰"/>
      <sheetName val="실행에산"/>
      <sheetName val="major"/>
      <sheetName val="식재인부"/>
      <sheetName val="Subcon_A1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Inert_Balls1"/>
      <sheetName val="단면_(2)1"/>
      <sheetName val="할증_1"/>
      <sheetName val="7_1유효폭1"/>
      <sheetName val="실행내역서_1"/>
      <sheetName val="IMPEADENCE_MAP_취수장1"/>
      <sheetName val="앉음벽_(2)1"/>
      <sheetName val="97_사업추정(WEKI)1"/>
      <sheetName val="입찰내역_발주처_양식1"/>
      <sheetName val="3BL공동구_수량1"/>
      <sheetName val="설_계1"/>
      <sheetName val="입출재고현황_(2)1"/>
      <sheetName val="Subcon_A"/>
      <sheetName val="1.설계조건"/>
      <sheetName val=" "/>
      <sheetName val="공종별 공사비변_x0002_"/>
      <sheetName val="건물현황"/>
      <sheetName val="P뺑"/>
      <sheetName val="하도급업체"/>
      <sheetName val="현금경비중역"/>
      <sheetName val="기안"/>
      <sheetName val="94B"/>
      <sheetName val="전체현황"/>
      <sheetName val="소유주(원)"/>
      <sheetName val="PTR台손익"/>
      <sheetName val="96수출"/>
      <sheetName val="인원01"/>
      <sheetName val="RD제품개발투자비(매가)"/>
      <sheetName val="1.POSITIONING"/>
      <sheetName val="존4"/>
      <sheetName val="협조전"/>
      <sheetName val="DAT(목표)"/>
      <sheetName val="소상 &quot;1&quot;"/>
      <sheetName val="1~3월 지시사항"/>
      <sheetName val="실행기성 갑지"/>
      <sheetName val="기성내역"/>
      <sheetName val="10.master schedule rev 1(LSIS)"/>
      <sheetName val="수량"/>
      <sheetName val="견적 (2)"/>
      <sheetName val="수량산출"/>
      <sheetName val="P3"/>
      <sheetName val="1-1"/>
      <sheetName val="공통가설"/>
      <sheetName val="시멘트"/>
      <sheetName val="3S"/>
      <sheetName val="18.1B"/>
      <sheetName val="품셈기준"/>
      <sheetName val="전¼_x0000_"/>
      <sheetName val="INPUT DATA"/>
      <sheetName val="FAB별"/>
      <sheetName val="공구원가계산"/>
      <sheetName val="S0"/>
      <sheetName val="장비명"/>
      <sheetName val="물량 산출 통신 맨홀"/>
      <sheetName val="Recap"/>
      <sheetName val="업무처리전"/>
      <sheetName val="MEXICO-C"/>
      <sheetName val="무시"/>
      <sheetName val="G.R300경비"/>
      <sheetName val="개산공사비"/>
      <sheetName val="노무공수2"/>
      <sheetName val="가동비율"/>
      <sheetName val="EQUIP-H"/>
      <sheetName val="기타"/>
      <sheetName val="전차선로 물량표"/>
      <sheetName val="소일위대가코드표"/>
      <sheetName val="인사자료총집계"/>
      <sheetName val="현금흐름"/>
      <sheetName val="DESIGN CRETERIA"/>
      <sheetName val="Pier 3"/>
      <sheetName val="최초위험성평가(협력사용)"/>
      <sheetName val="최초위험성평가(SECL용)"/>
      <sheetName val="L-TIGA"/>
      <sheetName val="합천내역"/>
      <sheetName val="3. GROUNDING SYSTEM"/>
      <sheetName val="영동(D)"/>
      <sheetName val="2.물량"/>
      <sheetName val="npv"/>
      <sheetName val="용선 C.L"/>
      <sheetName val="T-ALLOW"/>
      <sheetName val="分析2-ʉ_x0000__x0000_"/>
      <sheetName val="_x0008_"/>
      <sheetName val="SOS_PLC_&amp;_x0005__x0000__x0000__x0000__x0000_"/>
      <sheetName val="COA Sumry "/>
      <sheetName val="COA Sumry 닑⼟_x0005__x0000__x0000__x0000__x0000_㫸"/>
      <sheetName val="COA Sumry _x0000__x0000__x0005__x0000_ᜀʀ_x0000__x0000__x0000_"/>
      <sheetName val="Contr TDC -º_x0000_　됍_xdd2b_Ⰱ첐"/>
      <sheetName val="COA Sumry 헾⽿_x0005__x0000__x0000__x0000__x0000_㞈"/>
      <sheetName val="5월"/>
      <sheetName val="별표집계"/>
      <sheetName val="A-4"/>
      <sheetName val="COA Sumry - Std ԯ_x0000_缀"/>
      <sheetName val="콘크리트타설집계표"/>
      <sheetName val="견적서"/>
      <sheetName val="전ⴀ㩅"/>
      <sheetName val="P_x0010__x0000_"/>
      <sheetName val="P_x0000__x0000_"/>
      <sheetName val="산출집계(LP-A)"/>
      <sheetName val="매출관리"/>
      <sheetName val="定额 (06)"/>
      <sheetName val="热力"/>
      <sheetName val="cashflow"/>
      <sheetName val="상반기손익차2총괄"/>
      <sheetName val="일위대가표"/>
      <sheetName val="설비"/>
      <sheetName val=" 미래에셋 그랑서울 오피스：노무비 (목공-삼일기업).xl"/>
      <sheetName val="비교견적서"/>
      <sheetName val="견적총괄표"/>
      <sheetName val="총괄표"/>
      <sheetName val="집수정(600-700)"/>
      <sheetName val="database"/>
      <sheetName val="건축원가"/>
      <sheetName val="건축공사실행"/>
      <sheetName val="건축공사집계표"/>
      <sheetName val="부대공사총괄"/>
      <sheetName val="금호"/>
      <sheetName val="작업지시서-1호"/>
      <sheetName val="도근좌표"/>
      <sheetName val="Appendix 4(c)_Piም_x0002_쀀溘"/>
      <sheetName val="Appendix 4(c)_Piሠ_x0002_쀀溘"/>
      <sheetName val="Appendix 4(c)_Piሢ_x0002_쀀溘"/>
      <sheetName val="Appendix 4(a)_Ci_x0010__x0000_რ"/>
      <sheetName val="Appendix 4(a)_Ci_x0010__x0000_ﴠ"/>
      <sheetName val="Appendix 4(a)_Ci׃⽬_x0000_"/>
      <sheetName val="Appendix 4(a)_Ci_x0010__x0000_컠"/>
      <sheetName val="1"/>
      <sheetName val="자체실적1Q"/>
      <sheetName val="예산실적전체당월"/>
      <sheetName val="PIPING"/>
      <sheetName val="Activity(new)"/>
      <sheetName val="Total(new)"/>
      <sheetName val="PHD Reductions"/>
      <sheetName val="Proposal"/>
      <sheetName val="TinhGiaNC"/>
      <sheetName val="Thiet Bi"/>
      <sheetName val="골조시행"/>
      <sheetName val="FD1-1 1단도로측 (1)"/>
      <sheetName val="7.휨변위계측"/>
      <sheetName val="[연돌내역일위_x0000__x0000__x0000__x0000__x0000__x0000__xffff_"/>
      <sheetName val="배수관공"/>
      <sheetName val="빌딩 안내"/>
      <sheetName val="공사비집계"/>
      <sheetName val="Appendix 4(a)_Ci_x0010_"/>
      <sheetName val="Item Sumry - Std Im㌆"/>
      <sheetName val="1차 내역서"/>
      <sheetName val="지수"/>
      <sheetName val="분석"/>
      <sheetName val="EQUIP LIST"/>
      <sheetName val="이자율"/>
      <sheetName val="장기차입금"/>
      <sheetName val="1__설계조건_2_단면가정_3__하중계산"/>
      <sheetName val="LEGEND"/>
      <sheetName val="DATA_입력란"/>
      <sheetName val="CODE1"/>
      <sheetName val="danga"/>
      <sheetName val="보도경계블럭"/>
      <sheetName val="원가총괄"/>
      <sheetName val="PARAMETER"/>
      <sheetName val="1_설계조건"/>
      <sheetName val="단가_및_재료비"/>
      <sheetName val="요율"/>
      <sheetName val="단가및재료비"/>
      <sheetName val="중기사용료산출근거"/>
      <sheetName val="차도부연장현황"/>
      <sheetName val="빗물받이(910-510-410)"/>
      <sheetName val="수자재단위당"/>
      <sheetName val="건축기계설비표선정수장"/>
      <sheetName val="토공사"/>
      <sheetName val="96보완계획7_12"/>
      <sheetName val="INNER_FULE7"/>
      <sheetName val="00년_1월7"/>
      <sheetName val="00년_2월6"/>
      <sheetName val="00년_3월6"/>
      <sheetName val="00년_4월6"/>
      <sheetName val="00년_5월6"/>
      <sheetName val="00년_7월6"/>
      <sheetName val="00년_8월6"/>
      <sheetName val="00년_9월6"/>
      <sheetName val="노원열병합__건축공사기성내역서6"/>
      <sheetName val="배관(TDI_ISBL)6"/>
      <sheetName val="TOWER_12TON6"/>
      <sheetName val="TOWER_10TON6"/>
      <sheetName val="3_공통공사대비5"/>
      <sheetName val="_견적서5"/>
      <sheetName val="TDI_ISBL5"/>
      <sheetName val="동축분_종합설계서5"/>
      <sheetName val="SOS_PLC_&amp;_Panel4"/>
      <sheetName val="CONC_SLAB4"/>
      <sheetName val="수금_4"/>
      <sheetName val="할증_4"/>
      <sheetName val="6PILE__(돌출)4"/>
      <sheetName val="TRE_TABLE4"/>
      <sheetName val="MINA_BM5"/>
      <sheetName val="2_카드채권(대출포함)4"/>
      <sheetName val="기계경비_(2)4"/>
      <sheetName val="Back_data_Table4"/>
      <sheetName val="1_설계기준4"/>
      <sheetName val="7_1유효폭4"/>
      <sheetName val="97_사업추정(WEKI)4"/>
      <sheetName val="실행내역서_4"/>
      <sheetName val="IMPEADENCE_MAP_취수장4"/>
      <sheetName val="앉음벽_(2)3"/>
      <sheetName val="sum1_(2)4"/>
      <sheetName val="5_소재3"/>
      <sheetName val="단면_(2)3"/>
      <sheetName val="수량산출서_갑지4"/>
      <sheetName val="본선_토공_분배표4"/>
      <sheetName val="표지_(2)4"/>
      <sheetName val="P_M_별4"/>
      <sheetName val="Engrg_Est3"/>
      <sheetName val="공종별_공사비변동4"/>
      <sheetName val="단가표_4"/>
      <sheetName val="CODE_(2)4"/>
      <sheetName val="BSD_(2)3"/>
      <sheetName val="3BL공동구_수량3"/>
      <sheetName val="입찰내역_발주처_양식3"/>
      <sheetName val="Appendix_23"/>
      <sheetName val="Appendix_33"/>
      <sheetName val="Appendix_4(a)_Civil3"/>
      <sheetName val="Appendix_4(c)_Piping3"/>
      <sheetName val="Appendix_4(b)_Elec_3"/>
      <sheetName val="Supervision_List3"/>
      <sheetName val="BQ_Process_3"/>
      <sheetName val="BQ_Building_3"/>
      <sheetName val="fire_alarm3"/>
      <sheetName val="Tank_Elec__BM_3"/>
      <sheetName val="132kv_BM_3"/>
      <sheetName val="설_계3"/>
      <sheetName val="입출재고현황_(2)3"/>
      <sheetName val="Gia_vat_tu3"/>
      <sheetName val="TDC_COA_Sumry3"/>
      <sheetName val="TDC_Item_Dets3"/>
      <sheetName val="TDC_Item_Sumry3"/>
      <sheetName val="TDC_Key_Qty_Sumry3"/>
      <sheetName val="List_-_Components3"/>
      <sheetName val="List_-_Equipment3"/>
      <sheetName val="COA_Sumry_-_Std_Imp3"/>
      <sheetName val="Contr_TDC_-_Std_Imp3"/>
      <sheetName val="Item_Sumry_-_Std_Imp3"/>
      <sheetName val="Unit_Costs_-_Std_Imp3"/>
      <sheetName val="Unit_MH_-_Std_Imp3"/>
      <sheetName val="Proj_TIC_-_Std_Imp3"/>
      <sheetName val="Inert_Balls3"/>
      <sheetName val="Subcon_A3"/>
      <sheetName val="BOQ_for_HRSG_&amp;_BOP-mech_3"/>
      <sheetName val="BOQ_for_GTG_&amp;_STG-mech_3"/>
      <sheetName val="일위대가_3"/>
      <sheetName val="WELDING_POINT_단가3"/>
      <sheetName val="_공사개요_xlsx3"/>
      <sheetName val="허용전류-IEC_DATA3"/>
      <sheetName val="MTO_REV_2(ARMOR)3"/>
      <sheetName val="3_PIPING3"/>
      <sheetName val="개시대사_(2)3"/>
      <sheetName val="BOX(1_5X1_5)3"/>
      <sheetName val="충돌_내용3"/>
      <sheetName val="준검_내역서3"/>
      <sheetName val="2010년_투입계획_(2)3"/>
      <sheetName val="Nalut_(천단위)3"/>
      <sheetName val="Int_Wind_Girder3"/>
      <sheetName val="Shell_(App_A)3"/>
      <sheetName val="App_F3"/>
      <sheetName val="Shell_(VP_Dgn)3"/>
      <sheetName val="배관_PANIT_물량3"/>
      <sheetName val="OUTER_AREA(겹침없음)3"/>
      <sheetName val="Summary_Sheets3"/>
      <sheetName val="별표_3"/>
      <sheetName val="설산1_나3"/>
      <sheetName val="BEND_LOSS3"/>
      <sheetName val="90EL_JACKET3"/>
      <sheetName val="Cost_Report-B&amp;V_Det3"/>
      <sheetName val="00년_湓畃3"/>
      <sheetName val="She+"/>
      <sheetName val="EQUIPMENT_-23"/>
      <sheetName val="Tong_Hop3"/>
      <sheetName val="He_063"/>
      <sheetName val="Nam_20043"/>
      <sheetName val="INNER_FULE4"/>
      <sheetName val="00년_1월4"/>
      <sheetName val="BSD_(2)"/>
      <sheetName val="배관_PANIT_물량"/>
      <sheetName val="설산1_나"/>
      <sheetName val="허용전류-IEC_DATA"/>
      <sheetName val="MTO_REV_2(ARMOR)"/>
      <sheetName val="OUTER_AREA(겹침없음)"/>
      <sheetName val="Summary_Sheets"/>
      <sheetName val="BEND_LOSS"/>
      <sheetName val="충돌_내용"/>
      <sheetName val="BQ_Process_"/>
      <sheetName val="BQ_Building_"/>
      <sheetName val="fire_alarm"/>
      <sheetName val="Tank_Elec__BM_"/>
      <sheetName val="132kv_BM_"/>
      <sheetName val="Appendix_4(c)_Piping"/>
      <sheetName val="Appendix_4(b)_Elec_"/>
      <sheetName val="Supervision_List"/>
      <sheetName val="Engrg_Est"/>
      <sheetName val="Gia_vat_tu"/>
      <sheetName val="90EL_JACKET"/>
      <sheetName val="BOX(1_5X1_5)"/>
      <sheetName val="_공사개요_xlsx"/>
      <sheetName val="Cost_Report-B&amp;V_Det"/>
      <sheetName val="00년_湓畃"/>
      <sheetName val="EQUIPMENT_-2"/>
      <sheetName val="Tong_Hop"/>
      <sheetName val="He_06"/>
      <sheetName val="Nam_2004"/>
      <sheetName val="Nam_2003"/>
      <sheetName val="Nam_2005"/>
      <sheetName val="Nam_2002"/>
      <sheetName val="Overview_discount_gross_&amp;_trans"/>
      <sheetName val="개시대사_(2)"/>
      <sheetName val="준검_내역서"/>
      <sheetName val="2010년_투입계획_(2)"/>
      <sheetName val="Nalut_(천단위)"/>
      <sheetName val="Int_Wind_Girder"/>
      <sheetName val="Shell_(App_A)"/>
      <sheetName val="App_F"/>
      <sheetName val="Shell_(VP_Dgn)"/>
      <sheetName val="Nam_20033"/>
      <sheetName val="Nam_20053"/>
      <sheetName val="Nam_20023"/>
      <sheetName val="Overview_discount_gross_&amp;_tran3"/>
      <sheetName val="INNER_FULE5"/>
      <sheetName val="00년_1월5"/>
      <sheetName val="00년_2월4"/>
      <sheetName val="00년_3월4"/>
      <sheetName val="00년_4월4"/>
      <sheetName val="00년_5월4"/>
      <sheetName val="00년_7월4"/>
      <sheetName val="00년_8월4"/>
      <sheetName val="00년_9월4"/>
      <sheetName val="노원열병합__건축공사기성내역서4"/>
      <sheetName val="배관(TDI_ISBL)4"/>
      <sheetName val="TOWER_12TON4"/>
      <sheetName val="TOWER_10TON4"/>
      <sheetName val="3_공통공사대비3"/>
      <sheetName val="_견적서3"/>
      <sheetName val="TDI_ISBL3"/>
      <sheetName val="동축분_종합설계서3"/>
      <sheetName val="SOS_PLC_&amp;_Panel2"/>
      <sheetName val="CONC_SLAB2"/>
      <sheetName val="수금_2"/>
      <sheetName val="할증_2"/>
      <sheetName val="6PILE__(돌출)2"/>
      <sheetName val="TRE_TABLE2"/>
      <sheetName val="MINA_BM3"/>
      <sheetName val="2_카드채권(대출포함)2"/>
      <sheetName val="기계경비_(2)2"/>
      <sheetName val="Back_data_Table2"/>
      <sheetName val="1_설계기준2"/>
      <sheetName val="7_1유효폭2"/>
      <sheetName val="97_사업추정(WEKI)2"/>
      <sheetName val="실행내역서_2"/>
      <sheetName val="IMPEADENCE_MAP_취수장2"/>
      <sheetName val="sum1_(2)2"/>
      <sheetName val="5_소재1"/>
      <sheetName val="수량산출서_갑지2"/>
      <sheetName val="본선_토공_분배표2"/>
      <sheetName val="표지_(2)2"/>
      <sheetName val="P_M_별2"/>
      <sheetName val="Engrg_Est1"/>
      <sheetName val="공종별_공사비변동2"/>
      <sheetName val="단가표_2"/>
      <sheetName val="CODE_(2)2"/>
      <sheetName val="BSD_(2)1"/>
      <sheetName val="Appendix_21"/>
      <sheetName val="Appendix_31"/>
      <sheetName val="Appendix_4(a)_Civil1"/>
      <sheetName val="Appendix_4(c)_Piping1"/>
      <sheetName val="Appendix_4(b)_Elec_1"/>
      <sheetName val="Supervision_List1"/>
      <sheetName val="BQ_Process_1"/>
      <sheetName val="BQ_Building_1"/>
      <sheetName val="fire_alarm1"/>
      <sheetName val="Tank_Elec__BM_1"/>
      <sheetName val="132kv_BM_1"/>
      <sheetName val="Gia_vat_tu1"/>
      <sheetName val="BOQ_for_HRSG_&amp;_BOP-mech_1"/>
      <sheetName val="BOQ_for_GTG_&amp;_STG-mech_1"/>
      <sheetName val="일위대가_1"/>
      <sheetName val="WELDING_POINT_단가1"/>
      <sheetName val="_공사개요_xlsx1"/>
      <sheetName val="허용전류-IEC_DATA1"/>
      <sheetName val="MTO_REV_2(ARMOR)1"/>
      <sheetName val="3_PIPING1"/>
      <sheetName val="개시대사_(2)1"/>
      <sheetName val="BOX(1_5X1_5)1"/>
      <sheetName val="충돌_내용1"/>
      <sheetName val="준검_내역서1"/>
      <sheetName val="2010년_투입계획_(2)1"/>
      <sheetName val="Nalut_(천단위)1"/>
      <sheetName val="Int_Wind_Girder1"/>
      <sheetName val="Shell_(App_A)1"/>
      <sheetName val="App_F1"/>
      <sheetName val="Shell_(VP_Dgn)1"/>
      <sheetName val="배관_PANIT_물량1"/>
      <sheetName val="OUTER_AREA(겹침없음)1"/>
      <sheetName val="Summary_Sheets1"/>
      <sheetName val="별표_1"/>
      <sheetName val="설산1_나1"/>
      <sheetName val="BEND_LOSS1"/>
      <sheetName val="90EL_JACKET1"/>
      <sheetName val="Cost_Report-B&amp;V_Det1"/>
      <sheetName val="00년_湓畃1"/>
      <sheetName val="EQUIPMENT_-21"/>
      <sheetName val="Tong_Hop1"/>
      <sheetName val="He_061"/>
      <sheetName val="Nam_20041"/>
      <sheetName val="Nam_20031"/>
      <sheetName val="Nam_20051"/>
      <sheetName val="Nam_20021"/>
      <sheetName val="Overview_discount_gross_&amp;_tran1"/>
      <sheetName val="INNER_FULE6"/>
      <sheetName val="00년_1월6"/>
      <sheetName val="00년_2월5"/>
      <sheetName val="00년_3월5"/>
      <sheetName val="00년_4월5"/>
      <sheetName val="00년_5월5"/>
      <sheetName val="00년_7월5"/>
      <sheetName val="00년_8월5"/>
      <sheetName val="00년_9월5"/>
      <sheetName val="노원열병합__건축공사기성내역서5"/>
      <sheetName val="배관(TDI_ISBL)5"/>
      <sheetName val="TOWER_12TON5"/>
      <sheetName val="TOWER_10TON5"/>
      <sheetName val="3_공통공사대비4"/>
      <sheetName val="_견적서4"/>
      <sheetName val="TDI_ISBL4"/>
      <sheetName val="동축분_종합설계서4"/>
      <sheetName val="SOS_PLC_&amp;_Panel3"/>
      <sheetName val="CONC_SLAB3"/>
      <sheetName val="수금_3"/>
      <sheetName val="할증_3"/>
      <sheetName val="6PILE__(돌출)3"/>
      <sheetName val="TRE_TABLE3"/>
      <sheetName val="MINA_BM4"/>
      <sheetName val="2_카드채권(대출포함)3"/>
      <sheetName val="기계경비_(2)3"/>
      <sheetName val="Back_data_Table3"/>
      <sheetName val="1_설계기준3"/>
      <sheetName val="7_1유효폭3"/>
      <sheetName val="97_사업추정(WEKI)3"/>
      <sheetName val="실행내역서_3"/>
      <sheetName val="IMPEADENCE_MAP_취수장3"/>
      <sheetName val="앉음벽_(2)2"/>
      <sheetName val="sum1_(2)3"/>
      <sheetName val="5_소재2"/>
      <sheetName val="단면_(2)2"/>
      <sheetName val="수량산출서_갑지3"/>
      <sheetName val="본선_토공_분배표3"/>
      <sheetName val="표지_(2)3"/>
      <sheetName val="P_M_별3"/>
      <sheetName val="Engrg_Est2"/>
      <sheetName val="공종별_공사비변동3"/>
      <sheetName val="단가표_3"/>
      <sheetName val="CODE_(2)3"/>
      <sheetName val="BSD_(2)2"/>
      <sheetName val="3BL공동구_수량2"/>
      <sheetName val="입찰내역_발주처_양식2"/>
      <sheetName val="Appendix_22"/>
      <sheetName val="Appendix_32"/>
      <sheetName val="Appendix_4(a)_Civil2"/>
      <sheetName val="Appendix_4(c)_Piping2"/>
      <sheetName val="Appendix_4(b)_Elec_2"/>
      <sheetName val="Supervision_List2"/>
      <sheetName val="BQ_Process_2"/>
      <sheetName val="BQ_Building_2"/>
      <sheetName val="fire_alarm2"/>
      <sheetName val="Tank_Elec__BM_2"/>
      <sheetName val="132kv_BM_2"/>
      <sheetName val="설_계2"/>
      <sheetName val="입출재고현황_(2)2"/>
      <sheetName val="Gia_vat_tu2"/>
      <sheetName val="TDC_COA_Sumry2"/>
      <sheetName val="TDC_Item_Dets2"/>
      <sheetName val="TDC_Item_Sumry2"/>
      <sheetName val="TDC_Key_Qty_Sumry2"/>
      <sheetName val="List_-_Components2"/>
      <sheetName val="List_-_Equipment2"/>
      <sheetName val="COA_Sumry_-_Std_Imp2"/>
      <sheetName val="Contr_TDC_-_Std_Imp2"/>
      <sheetName val="Item_Sumry_-_Std_Imp2"/>
      <sheetName val="Unit_Costs_-_Std_Imp2"/>
      <sheetName val="Unit_MH_-_Std_Imp2"/>
      <sheetName val="Proj_TIC_-_Std_Imp2"/>
      <sheetName val="Inert_Balls2"/>
      <sheetName val="Subcon_A2"/>
      <sheetName val="BOQ_for_HRSG_&amp;_BOP-mech_2"/>
      <sheetName val="BOQ_for_GTG_&amp;_STG-mech_2"/>
      <sheetName val="일위대가_2"/>
      <sheetName val="WELDING_POINT_단가2"/>
      <sheetName val="_공사개요_xlsx2"/>
      <sheetName val="허용전류-IEC_DATA2"/>
      <sheetName val="MTO_REV_2(ARMOR)2"/>
      <sheetName val="3_PIPING2"/>
      <sheetName val="개시대사_(2)2"/>
      <sheetName val="BOX(1_5X1_5)2"/>
      <sheetName val="충돌_내용2"/>
      <sheetName val="준검_내역서2"/>
      <sheetName val="2010년_투입계획_(2)2"/>
      <sheetName val="Nalut_(천단위)2"/>
      <sheetName val="Int_Wind_Girder2"/>
      <sheetName val="Shell_(App_A)2"/>
      <sheetName val="App_F2"/>
      <sheetName val="Shell_(VP_Dgn)2"/>
      <sheetName val="배관_PANIT_물량2"/>
      <sheetName val="OUTER_AREA(겹침없음)2"/>
      <sheetName val="Summary_Sheets2"/>
      <sheetName val="별표_2"/>
      <sheetName val="설산1_나2"/>
      <sheetName val="BEND_LOSS2"/>
      <sheetName val="90EL_JACKET2"/>
      <sheetName val="Cost_Report-B&amp;V_Det2"/>
      <sheetName val="00년_湓畃2"/>
      <sheetName val="EQUIPMENT_-22"/>
      <sheetName val="Tong_Hop2"/>
      <sheetName val="He_062"/>
      <sheetName val="Nam_20042"/>
      <sheetName val="Nam_20032"/>
      <sheetName val="Nam_20052"/>
      <sheetName val="Nam_20022"/>
      <sheetName val="Overview_discount_gross_&amp;_tran2"/>
      <sheetName val="Testing"/>
      <sheetName val="SILICATE"/>
      <sheetName val="BM"/>
      <sheetName val="eq_data"/>
      <sheetName val="토목검측서"/>
      <sheetName val="단면적"/>
      <sheetName val="MCC"/>
      <sheetName val="시중노임"/>
      <sheetName val="mto-rev0B"/>
      <sheetName val="SOS_PLC_&amp;_x0005_"/>
      <sheetName val="COA Sumry 닑⼟_x0005_"/>
      <sheetName val="Contr TDC -º"/>
      <sheetName val="COA Sumry 헾⽿_x0005_"/>
      <sheetName val="Yield"/>
      <sheetName val="Yield Sx"/>
      <sheetName val="적_x0000__x0000_Ā"/>
      <sheetName val="I.설계조건"/>
      <sheetName val="하자항목"/>
      <sheetName val="본문"/>
      <sheetName val="외화금융(97-03)"/>
      <sheetName val="ROOM LOAD"/>
      <sheetName val="2"/>
      <sheetName val="Sch.1"/>
      <sheetName val="항목별진도율"/>
      <sheetName val="은행"/>
      <sheetName val="DETAIL"/>
      <sheetName val="쌀엿"/>
      <sheetName val="카라멜"/>
      <sheetName val="년도별매출손익"/>
      <sheetName val="97품목별"/>
      <sheetName val="식초"/>
      <sheetName val="당면"/>
      <sheetName val="물엿"/>
      <sheetName val="VST재료산출"/>
      <sheetName val="BOQ for HRSG &amp; B^_x0000_Ԁ_x0000_蠀_xde25_ﰄ᧏"/>
      <sheetName val="BOQ for HRSG &amp; B傝"/>
      <sheetName val="BOQ for HRSG &amp; B^_x0000_Ԁ_x0000_䕟ﰈ᧏"/>
      <sheetName val="BOQ for HRSG &amp; B _x0000_Ԁ_x0000_蠀䬥ﰂ᧏"/>
      <sheetName val="COA Sumry - Std ԯ"/>
      <sheetName val="PILECAP"/>
      <sheetName val="을_2"/>
      <sheetName val="2_대외공문"/>
      <sheetName val="공종별_공사비변"/>
      <sheetName val="Pier_3"/>
      <sheetName val="Memb_Schd"/>
      <sheetName val="대가_(보완)"/>
      <sheetName val="Equiv_Length"/>
      <sheetName val="grafik"/>
      <sheetName val="pro ra op"/>
      <sheetName val="인천제철"/>
      <sheetName val="COA Sumry ׃⽯_x0000__x0000_▰_x0000__x0000__x0000_"/>
      <sheetName val="COA Sumry 嘉°_x0000__x0000_ᒰશℴw㏰"/>
      <sheetName val="토적1"/>
      <sheetName val="분전함신설"/>
      <sheetName val="접지1종"/>
      <sheetName val="intake"/>
      <sheetName val="배관공사"/>
      <sheetName val="보온공사"/>
      <sheetName val="Support공사"/>
      <sheetName val="도장공사"/>
      <sheetName val="열배관이중보온관공사"/>
      <sheetName val="최적단면"/>
      <sheetName val="총괄"/>
      <sheetName val="Cable_____SRS_________2012021_2"/>
      <sheetName val="She_x000c_+?"/>
      <sheetName val="공정"/>
      <sheetName val="분양가표"/>
      <sheetName val="Sheet6"/>
      <sheetName val="납골당"/>
      <sheetName val="별관동"/>
      <sheetName val="견적비교"/>
      <sheetName val="편의시설"/>
      <sheetName val="양수장(기계)"/>
      <sheetName val="옥외"/>
      <sheetName val="JUCK"/>
      <sheetName val="용수간선"/>
      <sheetName val="2000전체분"/>
      <sheetName val="대총괄"/>
      <sheetName val="설계기준"/>
      <sheetName val="#2_일위대가목록"/>
      <sheetName val="관리사무동"/>
      <sheetName val="치매병원"/>
      <sheetName val="1.취수장"/>
      <sheetName val="P-산#1-1(WOWA1)"/>
      <sheetName val="법당"/>
      <sheetName val="펌프실"/>
      <sheetName val="장례식장"/>
      <sheetName val="계화총괄"/>
      <sheetName val="견적_(2)"/>
      <sheetName val="1_POSITIONING"/>
      <sheetName val="소상_&quot;1&quot;"/>
      <sheetName val="1~3월_지시사항"/>
      <sheetName val="Sheet1_(2)"/>
      <sheetName val="SMD_3L_PM_Data"/>
      <sheetName val="18_1B"/>
      <sheetName val="PAD_TR보호대기초"/>
      <sheetName val="_"/>
      <sheetName val="전차선로_물량표"/>
      <sheetName val="DESIGN_CRETERIA"/>
      <sheetName val="실행기성_갑지"/>
      <sheetName val="BATCH"/>
      <sheetName val="Connections"/>
      <sheetName val="일위_파일"/>
      <sheetName val="BOQ for HRSG &amp; B^"/>
      <sheetName val="BOQ for HRSG &amp; B "/>
      <sheetName val="LABCOST"/>
      <sheetName val="CLUB"/>
      <sheetName val="4.1_haul-aggregates"/>
      <sheetName val="FEET"/>
      <sheetName val="asdfghj"/>
      <sheetName val="BD"/>
      <sheetName val="Resource Summary"/>
      <sheetName val="CERTIFICATE"/>
      <sheetName val="sc"/>
      <sheetName val="적"/>
      <sheetName val="DCL(발전)"/>
      <sheetName val="10월장비가동월보"/>
      <sheetName val="지급제한자"/>
      <sheetName val="양식3"/>
      <sheetName val="정산표實"/>
      <sheetName val="JIB CRANE,HOIST"/>
      <sheetName val="Thiet_Bi"/>
      <sheetName val="변수데이타"/>
      <sheetName val="기초자료"/>
      <sheetName val="FACTER"/>
      <sheetName val="목록"/>
      <sheetName val="_갑지"/>
      <sheetName val="중기"/>
      <sheetName val="전략 제품 증산"/>
      <sheetName val="가공비 ( 신나)"/>
      <sheetName val="일위대가_여기까蒈_x0019_"/>
      <sheetName val="EQU涷⢦"/>
      <sheetName val="EQU⶷_xd846_"/>
      <sheetName val="EQU⶷﹆"/>
      <sheetName val="EQU·ዪ"/>
      <sheetName val="자재비산출(perlit촔"/>
      <sheetName val="자재비산출(perlit辐촔"/>
      <sheetName val="NM2"/>
      <sheetName val="NW1"/>
      <sheetName val="NW2"/>
      <sheetName val="PW3"/>
      <sheetName val="PW4"/>
      <sheetName val="SC1"/>
      <sheetName val="DNW"/>
      <sheetName val="NE"/>
      <sheetName val="PE"/>
      <sheetName val="PM"/>
      <sheetName val="s"/>
      <sheetName val="N+"/>
      <sheetName val="P+"/>
      <sheetName val="TR"/>
      <sheetName val="BACKDA_x005f_x005f_x005f_x0014_"/>
      <sheetName val="INNER_FULE8"/>
      <sheetName val="00년_1월8"/>
      <sheetName val="00년_2월7"/>
      <sheetName val="00년_3월7"/>
      <sheetName val="00년_4월7"/>
      <sheetName val="00년_5월7"/>
      <sheetName val="00년_7월7"/>
      <sheetName val="00년_8월7"/>
      <sheetName val="00년_9월7"/>
      <sheetName val="노원열병합__건축공사기성내역서7"/>
      <sheetName val="배관(TDI_ISBL)7"/>
      <sheetName val="TOWER_12TON7"/>
      <sheetName val="TOWER_10TON7"/>
      <sheetName val="3_공통공사대비6"/>
      <sheetName val="동축분_종합설계서6"/>
      <sheetName val="TDI_ISBL6"/>
      <sheetName val="_견적서6"/>
      <sheetName val="MINA_BM6"/>
      <sheetName val="수금_5"/>
      <sheetName val="2_카드채권(대출포함)5"/>
      <sheetName val="SOS_PLC_&amp;_Panel5"/>
      <sheetName val="Back_data_Table5"/>
      <sheetName val="CONC_SLAB5"/>
      <sheetName val="1_설계기준5"/>
      <sheetName val="7_1유효폭5"/>
      <sheetName val="6PILE__(돌출)5"/>
      <sheetName val="97_사업추정(WEKI)5"/>
      <sheetName val="실행내역서_5"/>
      <sheetName val="IMPEADENCE_MAP_취수장5"/>
      <sheetName val="할증_5"/>
      <sheetName val="TRE_TABLE5"/>
      <sheetName val="기계경비_(2)5"/>
      <sheetName val="sum1_(2)5"/>
      <sheetName val="표지_(2)5"/>
      <sheetName val="본선_토공_분배표5"/>
      <sheetName val="앉음벽_(2)4"/>
      <sheetName val="5_소재4"/>
      <sheetName val="수량산출서_갑지5"/>
      <sheetName val="Appendix_24"/>
      <sheetName val="Appendix_34"/>
      <sheetName val="Appendix_4(a)_Civil4"/>
      <sheetName val="Appendix_4(c)_Piping4"/>
      <sheetName val="Appendix_4(b)_Elec_4"/>
      <sheetName val="Supervision_List4"/>
      <sheetName val="단면_(2)4"/>
      <sheetName val="BQ_Process_4"/>
      <sheetName val="BQ_Building_4"/>
      <sheetName val="fire_alarm4"/>
      <sheetName val="Tank_Elec__BM_4"/>
      <sheetName val="132kv_BM_4"/>
      <sheetName val="일위대가_4"/>
      <sheetName val="WELDING_POINT_단가4"/>
      <sheetName val="P_M_별5"/>
      <sheetName val="배관_PANIT_물량4"/>
      <sheetName val="단가표_5"/>
      <sheetName val="3_PIPING4"/>
      <sheetName val="공종별_공사비변동5"/>
      <sheetName val="BOQ_for_HRSG_&amp;_BOP-mech_4"/>
      <sheetName val="BOQ_for_GTG_&amp;_STG-mech_4"/>
      <sheetName val="입찰내역_발주처_양식4"/>
      <sheetName val="3BL공동구_수량4"/>
      <sheetName val="CODE_(2)5"/>
      <sheetName val="설_계4"/>
      <sheetName val="입출재고현황_(2)4"/>
      <sheetName val="TDC_COA_Sumry4"/>
      <sheetName val="TDC_Item_Dets4"/>
      <sheetName val="TDC_Item_Sumry4"/>
      <sheetName val="TDC_Key_Qty_Sumry4"/>
      <sheetName val="List_-_Components4"/>
      <sheetName val="List_-_Equipment4"/>
      <sheetName val="COA_Sumry_-_Std_Imp4"/>
      <sheetName val="Contr_TDC_-_Std_Imp4"/>
      <sheetName val="Item_Sumry_-_Std_Imp4"/>
      <sheetName val="Unit_Costs_-_Std_Imp4"/>
      <sheetName val="Unit_MH_-_Std_Imp4"/>
      <sheetName val="Proj_TIC_-_Std_Imp4"/>
      <sheetName val="BSD_(2)4"/>
      <sheetName val="허용전류-IEC_DATA4"/>
      <sheetName val="Engrg_Est4"/>
      <sheetName val="Gia_vat_tu4"/>
      <sheetName val="_공사개요_xlsx4"/>
      <sheetName val="Int_Wind_Girder4"/>
      <sheetName val="Shell_(App_A)4"/>
      <sheetName val="App_F4"/>
      <sheetName val="Shell_(VP_Dgn)4"/>
      <sheetName val="Inert_Balls4"/>
      <sheetName val="Subcon_A4"/>
      <sheetName val="MTO_REV_2(ARMOR)4"/>
      <sheetName val="설산1_나4"/>
      <sheetName val="OUTER_AREA(겹침없음)4"/>
      <sheetName val="Summary_Sheets4"/>
      <sheetName val="별표_4"/>
      <sheetName val="충돌_내용4"/>
      <sheetName val="00년_湓畃4"/>
      <sheetName val="Cost_Report-B&amp;V_Det4"/>
      <sheetName val="BOX(1_5X1_5)4"/>
      <sheetName val="EQUIPMENT_-24"/>
      <sheetName val="Tong_Hop4"/>
      <sheetName val="He_064"/>
      <sheetName val="Nam_20044"/>
      <sheetName val="Nam_20034"/>
      <sheetName val="Nam_20054"/>
      <sheetName val="Nam_20024"/>
      <sheetName val="개시대사_(2)4"/>
      <sheetName val="준검_내역서4"/>
      <sheetName val="2010년_투입계획_(2)4"/>
      <sheetName val="Nalut_(천단위)4"/>
      <sheetName val="BEND_LOSS4"/>
      <sheetName val="90EL_JACKET4"/>
      <sheetName val="Overview_discount_gross_&amp;_tran4"/>
      <sheetName val="10_master_schedule_rev_1(LSIS)"/>
      <sheetName val="定额_(06)"/>
      <sheetName val="3__GROUNDING_SYSTEM"/>
      <sheetName val="용선_C_L"/>
      <sheetName val="2_물량"/>
      <sheetName val="SOS_PLC_&amp;"/>
      <sheetName val="COA_Sumry_"/>
      <sheetName val="COA_Sumry_닑⼟㫸"/>
      <sheetName val="COA_Sumry_ᜀʀ"/>
      <sheetName val="Contr_TDC_-º　됍Ⰱ첐"/>
      <sheetName val="COA_Sumry_헾⽿㞈"/>
      <sheetName val="물량_산출_통신_맨홀"/>
      <sheetName val="G_R300경비"/>
      <sheetName val="SOS_PLC_&amp;"/>
      <sheetName val="COA_Sumry_닑⼟"/>
      <sheetName val="Contr_TDC_-º"/>
      <sheetName val="COA_Sumry_헾⽿"/>
      <sheetName val="INNER_FULE10"/>
      <sheetName val="00년_1월10"/>
      <sheetName val="00년_2월9"/>
      <sheetName val="00년_3월9"/>
      <sheetName val="00년_4월9"/>
      <sheetName val="00년_5월9"/>
      <sheetName val="00년_7월9"/>
      <sheetName val="00년_8월9"/>
      <sheetName val="00년_9월9"/>
      <sheetName val="노원열병합__건축공사기성내역서9"/>
      <sheetName val="배관(TDI_ISBL)9"/>
      <sheetName val="TOWER_12TON9"/>
      <sheetName val="TOWER_10TON9"/>
      <sheetName val="3_공통공사대비8"/>
      <sheetName val="동축분_종합설계서8"/>
      <sheetName val="TDI_ISBL8"/>
      <sheetName val="_견적서8"/>
      <sheetName val="MINA_BM8"/>
      <sheetName val="수금_7"/>
      <sheetName val="2_카드채권(대출포함)7"/>
      <sheetName val="SOS_PLC_&amp;_Panel7"/>
      <sheetName val="Back_data_Table7"/>
      <sheetName val="CONC_SLAB7"/>
      <sheetName val="1_설계기준7"/>
      <sheetName val="7_1유효폭7"/>
      <sheetName val="6PILE__(돌출)7"/>
      <sheetName val="97_사업추정(WEKI)7"/>
      <sheetName val="실행내역서_7"/>
      <sheetName val="IMPEADENCE_MAP_취수장7"/>
      <sheetName val="할증_7"/>
      <sheetName val="TRE_TABLE7"/>
      <sheetName val="기계경비_(2)7"/>
      <sheetName val="sum1_(2)7"/>
      <sheetName val="표지_(2)7"/>
      <sheetName val="본선_토공_분배표7"/>
      <sheetName val="앉음벽_(2)6"/>
      <sheetName val="5_소재6"/>
      <sheetName val="수량산출서_갑지7"/>
      <sheetName val="Appendix_26"/>
      <sheetName val="Appendix_36"/>
      <sheetName val="Appendix_4(a)_Civil6"/>
      <sheetName val="Appendix_4(c)_Piping6"/>
      <sheetName val="Appendix_4(b)_Elec_6"/>
      <sheetName val="Supervision_List6"/>
      <sheetName val="단면_(2)6"/>
      <sheetName val="BQ_Process_6"/>
      <sheetName val="BQ_Building_6"/>
      <sheetName val="fire_alarm6"/>
      <sheetName val="Tank_Elec__BM_6"/>
      <sheetName val="132kv_BM_6"/>
      <sheetName val="일위대가_6"/>
      <sheetName val="WELDING_POINT_단가6"/>
      <sheetName val="P_M_별7"/>
      <sheetName val="배관_PANIT_물량6"/>
      <sheetName val="단가표_7"/>
      <sheetName val="3_PIPING6"/>
      <sheetName val="공종별_공사비변동7"/>
      <sheetName val="BOQ_for_HRSG_&amp;_BOP-mech_6"/>
      <sheetName val="BOQ_for_GTG_&amp;_STG-mech_6"/>
      <sheetName val="입찰내역_발주처_양식6"/>
      <sheetName val="3BL공동구_수량6"/>
      <sheetName val="CODE_(2)7"/>
      <sheetName val="설_계6"/>
      <sheetName val="입출재고현황_(2)6"/>
      <sheetName val="TDC_COA_Sumry6"/>
      <sheetName val="TDC_Item_Dets6"/>
      <sheetName val="TDC_Item_Sumry6"/>
      <sheetName val="TDC_Key_Qty_Sumry6"/>
      <sheetName val="List_-_Components6"/>
      <sheetName val="List_-_Equipment6"/>
      <sheetName val="COA_Sumry_-_Std_Imp6"/>
      <sheetName val="Contr_TDC_-_Std_Imp6"/>
      <sheetName val="Item_Sumry_-_Std_Imp6"/>
      <sheetName val="Unit_Costs_-_Std_Imp6"/>
      <sheetName val="Unit_MH_-_Std_Imp6"/>
      <sheetName val="Proj_TIC_-_Std_Imp6"/>
      <sheetName val="BSD_(2)6"/>
      <sheetName val="허용전류-IEC_DATA6"/>
      <sheetName val="Engrg_Est6"/>
      <sheetName val="Gia_vat_tu6"/>
      <sheetName val="_공사개요_xlsx6"/>
      <sheetName val="Int_Wind_Girder6"/>
      <sheetName val="Shell_(App_A)6"/>
      <sheetName val="App_F6"/>
      <sheetName val="Shell_(VP_Dgn)6"/>
      <sheetName val="Inert_Balls6"/>
      <sheetName val="Subcon_A6"/>
      <sheetName val="MTO_REV_2(ARMOR)6"/>
      <sheetName val="설산1_나6"/>
      <sheetName val="OUTER_AREA(겹침없음)6"/>
      <sheetName val="Summary_Sheets6"/>
      <sheetName val="별표_6"/>
      <sheetName val="충돌_내용6"/>
      <sheetName val="대가_(보완)2"/>
      <sheetName val="00년_湓畃6"/>
      <sheetName val="Cost_Report-B&amp;V_Det6"/>
      <sheetName val="BOX(1_5X1_5)6"/>
      <sheetName val="EQUIPMENT_-26"/>
      <sheetName val="Tong_Hop6"/>
      <sheetName val="He_066"/>
      <sheetName val="Nam_20046"/>
      <sheetName val="Nam_20036"/>
      <sheetName val="Nam_20056"/>
      <sheetName val="Nam_20026"/>
      <sheetName val="개시대사_(2)6"/>
      <sheetName val="Memb_Schd2"/>
      <sheetName val="준검_내역서6"/>
      <sheetName val="2010년_투입계획_(2)6"/>
      <sheetName val="Nalut_(천단위)6"/>
      <sheetName val="BEND_LOSS6"/>
      <sheetName val="을_22"/>
      <sheetName val="PAD_TR보호대기초2"/>
      <sheetName val="SMD_3L_PM_Data2"/>
      <sheetName val="90EL_JACKET6"/>
      <sheetName val="Overview_discount_gross_&amp;_tran6"/>
      <sheetName val="Equiv_Length2"/>
      <sheetName val="2_대외공문2"/>
      <sheetName val="1_설계조건2"/>
      <sheetName val="Sheet1_(2)2"/>
      <sheetName val="1_POSITIONING2"/>
      <sheetName val="소상_&quot;1&quot;2"/>
      <sheetName val="1~3월_지시사항2"/>
      <sheetName val="실행기성_갑지2"/>
      <sheetName val="10_master_schedule_rev_1(LSIS)2"/>
      <sheetName val="定额_(06)2"/>
      <sheetName val="_2"/>
      <sheetName val="견적_(2)2"/>
      <sheetName val="DESIGN_CRETERIA2"/>
      <sheetName val="18_1B2"/>
      <sheetName val="3__GROUNDING_SYSTEM2"/>
      <sheetName val="Pier_32"/>
      <sheetName val="전차선로_물량표2"/>
      <sheetName val="용선_C_L2"/>
      <sheetName val="2_물량2"/>
      <sheetName val="COA_Sumry_2"/>
      <sheetName val="물량_산출_통신_맨홀2"/>
      <sheetName val="G_R300경비2"/>
      <sheetName val="Contr_TDC_-º2"/>
      <sheetName val="INNER_FULE9"/>
      <sheetName val="00년_1월9"/>
      <sheetName val="00년_2월8"/>
      <sheetName val="00년_3월8"/>
      <sheetName val="00년_4월8"/>
      <sheetName val="00년_5월8"/>
      <sheetName val="00년_7월8"/>
      <sheetName val="00년_8월8"/>
      <sheetName val="00년_9월8"/>
      <sheetName val="노원열병합__건축공사기성내역서8"/>
      <sheetName val="배관(TDI_ISBL)8"/>
      <sheetName val="TOWER_12TON8"/>
      <sheetName val="TOWER_10TON8"/>
      <sheetName val="3_공통공사대비7"/>
      <sheetName val="동축분_종합설계서7"/>
      <sheetName val="TDI_ISBL7"/>
      <sheetName val="_견적서7"/>
      <sheetName val="MINA_BM7"/>
      <sheetName val="수금_6"/>
      <sheetName val="2_카드채권(대출포함)6"/>
      <sheetName val="SOS_PLC_&amp;_Panel6"/>
      <sheetName val="Back_data_Table6"/>
      <sheetName val="CONC_SLAB6"/>
      <sheetName val="1_설계기준6"/>
      <sheetName val="7_1유효폭6"/>
      <sheetName val="6PILE__(돌출)6"/>
      <sheetName val="97_사업추정(WEKI)6"/>
      <sheetName val="실행내역서_6"/>
      <sheetName val="IMPEADENCE_MAP_취수장6"/>
      <sheetName val="할증_6"/>
      <sheetName val="TRE_TABLE6"/>
      <sheetName val="기계경비_(2)6"/>
      <sheetName val="sum1_(2)6"/>
      <sheetName val="표지_(2)6"/>
      <sheetName val="본선_토공_분배표6"/>
      <sheetName val="앉음벽_(2)5"/>
      <sheetName val="5_소재5"/>
      <sheetName val="수량산출서_갑지6"/>
      <sheetName val="Appendix_25"/>
      <sheetName val="Appendix_35"/>
      <sheetName val="Appendix_4(a)_Civil5"/>
      <sheetName val="Appendix_4(c)_Piping5"/>
      <sheetName val="Appendix_4(b)_Elec_5"/>
      <sheetName val="Supervision_List5"/>
      <sheetName val="단면_(2)5"/>
      <sheetName val="BQ_Process_5"/>
      <sheetName val="BQ_Building_5"/>
      <sheetName val="fire_alarm5"/>
      <sheetName val="Tank_Elec__BM_5"/>
      <sheetName val="132kv_BM_5"/>
      <sheetName val="일위대가_5"/>
      <sheetName val="WELDING_POINT_단가5"/>
      <sheetName val="P_M_별6"/>
      <sheetName val="배관_PANIT_물량5"/>
      <sheetName val="단가표_6"/>
      <sheetName val="3_PIPING5"/>
      <sheetName val="공종별_공사비변동6"/>
      <sheetName val="BOQ_for_HRSG_&amp;_BOP-mech_5"/>
      <sheetName val="BOQ_for_GTG_&amp;_STG-mech_5"/>
      <sheetName val="입찰내역_발주처_양식5"/>
      <sheetName val="3BL공동구_수량5"/>
      <sheetName val="CODE_(2)6"/>
      <sheetName val="설_계5"/>
      <sheetName val="입출재고현황_(2)5"/>
      <sheetName val="TDC_COA_Sumry5"/>
      <sheetName val="TDC_Item_Dets5"/>
      <sheetName val="TDC_Item_Sumry5"/>
      <sheetName val="TDC_Key_Qty_Sumry5"/>
      <sheetName val="List_-_Components5"/>
      <sheetName val="List_-_Equipment5"/>
      <sheetName val="COA_Sumry_-_Std_Imp5"/>
      <sheetName val="Contr_TDC_-_Std_Imp5"/>
      <sheetName val="Item_Sumry_-_Std_Imp5"/>
      <sheetName val="Unit_Costs_-_Std_Imp5"/>
      <sheetName val="Unit_MH_-_Std_Imp5"/>
      <sheetName val="Proj_TIC_-_Std_Imp5"/>
      <sheetName val="BSD_(2)5"/>
      <sheetName val="허용전류-IEC_DATA5"/>
      <sheetName val="Engrg_Est5"/>
      <sheetName val="Gia_vat_tu5"/>
      <sheetName val="_공사개요_xlsx5"/>
      <sheetName val="Int_Wind_Girder5"/>
      <sheetName val="Shell_(App_A)5"/>
      <sheetName val="App_F5"/>
      <sheetName val="Shell_(VP_Dgn)5"/>
      <sheetName val="Inert_Balls5"/>
      <sheetName val="Subcon_A5"/>
      <sheetName val="MTO_REV_2(ARMOR)5"/>
      <sheetName val="설산1_나5"/>
      <sheetName val="OUTER_AREA(겹침없음)5"/>
      <sheetName val="Summary_Sheets5"/>
      <sheetName val="별표_5"/>
      <sheetName val="충돌_내용5"/>
      <sheetName val="대가_(보완)1"/>
      <sheetName val="00년_湓畃5"/>
      <sheetName val="Cost_Report-B&amp;V_Det5"/>
      <sheetName val="BOX(1_5X1_5)5"/>
      <sheetName val="EQUIPMENT_-25"/>
      <sheetName val="Tong_Hop5"/>
      <sheetName val="He_065"/>
      <sheetName val="Nam_20045"/>
      <sheetName val="Nam_20035"/>
      <sheetName val="Nam_20055"/>
      <sheetName val="Nam_20025"/>
      <sheetName val="개시대사_(2)5"/>
      <sheetName val="Memb_Schd1"/>
      <sheetName val="준검_내역서5"/>
      <sheetName val="2010년_투입계획_(2)5"/>
      <sheetName val="Nalut_(천단위)5"/>
      <sheetName val="BEND_LOSS5"/>
      <sheetName val="을_21"/>
      <sheetName val="PAD_TR보호대기초1"/>
      <sheetName val="SMD_3L_PM_Data1"/>
      <sheetName val="90EL_JACKET5"/>
      <sheetName val="Overview_discount_gross_&amp;_tran5"/>
      <sheetName val="Equiv_Length1"/>
      <sheetName val="2_대외공문1"/>
      <sheetName val="1_설계조건1"/>
      <sheetName val="Sheet1_(2)1"/>
      <sheetName val="1_POSITIONING1"/>
      <sheetName val="소상_&quot;1&quot;1"/>
      <sheetName val="1~3월_지시사항1"/>
      <sheetName val="실행기성_갑지1"/>
      <sheetName val="10_master_schedule_rev_1(LSIS)1"/>
      <sheetName val="定额_(06)1"/>
      <sheetName val="_1"/>
      <sheetName val="견적_(2)1"/>
      <sheetName val="DESIGN_CRETERIA1"/>
      <sheetName val="18_1B1"/>
      <sheetName val="3__GROUNDING_SYSTEM1"/>
      <sheetName val="Pier_31"/>
      <sheetName val="전차선로_물량표1"/>
      <sheetName val="용선_C_L1"/>
      <sheetName val="2_물량1"/>
      <sheetName val="COA_Sumry_1"/>
      <sheetName val="물량_산출_통신_맨홀1"/>
      <sheetName val="G_R300경비1"/>
      <sheetName val="Contr_TDC_-º1"/>
      <sheetName val="ANNEXURE-A"/>
      <sheetName val="물가연동제"/>
      <sheetName val="을-ATY_xdd02_ꪥ"/>
      <sheetName val="현장"/>
      <sheetName val="세대구분"/>
      <sheetName val="수압집계"/>
      <sheetName val="ENE-CAL_1"/>
      <sheetName val="ENE-CAL_11"/>
      <sheetName val="ENE-CAL_12"/>
      <sheetName val="직원동원계획"/>
      <sheetName val="Tbl 1y 4"/>
      <sheetName val="Tender Key Elements"/>
      <sheetName val="Major Quantity"/>
      <sheetName val="Summary Final"/>
      <sheetName val="Est Summary-G"/>
      <sheetName val="Histogram-G "/>
      <sheetName val="13(1)"/>
      <sheetName val="16(1)"/>
      <sheetName val=" 13(2)PS"/>
      <sheetName val="16(2)PS"/>
      <sheetName val=" 13(3)ADMIN BLDG"/>
      <sheetName val=" 16(3)ADMIN BLDG"/>
      <sheetName val="13 (4)"/>
      <sheetName val="Summary(1)"/>
      <sheetName val="Summary (2)"/>
      <sheetName val="Summary (3)"/>
      <sheetName val="Summary (4)"/>
      <sheetName val="GEN.Summary"/>
      <sheetName val="Proj TIC - Std Im"/>
      <sheetName val="Pipe Dia"/>
      <sheetName val="Pipe Calc"/>
      <sheetName val="contactor"/>
      <sheetName val=" 공사개요.x䛈ͬ"/>
      <sheetName val=" 공사개요.x_x0000__x0000__x0000_"/>
      <sheetName val="L-type"/>
      <sheetName val="노무비단가"/>
      <sheetName val="Sch.6"/>
      <sheetName val="TRIS"/>
      <sheetName val="woo(mac)"/>
      <sheetName val="BOJUNGGM"/>
      <sheetName val="合成単価作成表-BLDG"/>
      <sheetName val="지질품셈"/>
      <sheetName val="총괄원계(당초시설물별)"/>
      <sheetName val="경비"/>
      <sheetName val="EQU·_x0000_"/>
      <sheetName val="Customer Databas"/>
      <sheetName val="EQU_xd8b7_＇"/>
      <sheetName val="1안"/>
      <sheetName val="8.PILE  (돌출)"/>
      <sheetName val="적용건축"/>
      <sheetName val="수지예산"/>
      <sheetName val="집계표_식재"/>
      <sheetName val="장비종합부표"/>
      <sheetName val="부표"/>
      <sheetName val="물가대비표"/>
      <sheetName val="몸체(460×600)"/>
      <sheetName val="날개벽(시점좌측)"/>
      <sheetName val="고창방향"/>
      <sheetName val="BD운반거리"/>
      <sheetName val="저"/>
      <sheetName val="공통부대䙈"/>
      <sheetName val="ABUT수량-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/>
      <sheetData sheetId="555"/>
      <sheetData sheetId="556"/>
      <sheetData sheetId="557" refreshError="1"/>
      <sheetData sheetId="558"/>
      <sheetData sheetId="559"/>
      <sheetData sheetId="560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 refreshError="1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 refreshError="1"/>
      <sheetData sheetId="615" refreshError="1"/>
      <sheetData sheetId="616" refreshError="1"/>
      <sheetData sheetId="617"/>
      <sheetData sheetId="618"/>
      <sheetData sheetId="619"/>
      <sheetData sheetId="620" refreshError="1"/>
      <sheetData sheetId="621" refreshError="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/>
      <sheetData sheetId="736"/>
      <sheetData sheetId="737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 refreshError="1"/>
      <sheetData sheetId="1095"/>
      <sheetData sheetId="1096"/>
      <sheetData sheetId="1097" refreshError="1"/>
      <sheetData sheetId="1098"/>
      <sheetData sheetId="1099"/>
      <sheetData sheetId="1100"/>
      <sheetData sheetId="1101"/>
      <sheetData sheetId="1102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/>
      <sheetData sheetId="1114"/>
      <sheetData sheetId="1115" refreshError="1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/>
      <sheetData sheetId="1379"/>
      <sheetData sheetId="1380"/>
      <sheetData sheetId="1381"/>
      <sheetData sheetId="1382"/>
      <sheetData sheetId="1383"/>
      <sheetData sheetId="1384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/>
      <sheetData sheetId="1456" refreshError="1"/>
      <sheetData sheetId="1457" refreshError="1"/>
      <sheetData sheetId="1458" refreshError="1"/>
      <sheetData sheetId="1459"/>
      <sheetData sheetId="1460" refreshError="1"/>
      <sheetData sheetId="1461"/>
      <sheetData sheetId="1462"/>
      <sheetData sheetId="1463"/>
      <sheetData sheetId="1464"/>
      <sheetData sheetId="1465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/>
      <sheetData sheetId="1900"/>
      <sheetData sheetId="190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자재단가"/>
      <sheetName val="지입S3"/>
    </sheetNames>
    <sheetDataSet>
      <sheetData sheetId="0" refreshError="1"/>
      <sheetData sheetId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자재단가"/>
    </sheetNames>
    <sheetDataSet>
      <sheetData sheetId="0" refreshError="1"/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S"/>
      <sheetName val="MS"/>
      <sheetName val="LS"/>
      <sheetName val="DMW"/>
      <sheetName val="CW"/>
      <sheetName val="ELEC"/>
      <sheetName val="K2CO3"/>
      <sheetName val="NH3"/>
      <sheetName val="N2H4"/>
      <sheetName val="Na3PO4"/>
      <sheetName val="EDC"/>
      <sheetName val="NaOH"/>
      <sheetName val="ADOL"/>
      <sheetName val="UCON"/>
      <sheetName val="N2"/>
      <sheetName val="IA"/>
      <sheetName val="CH4"/>
      <sheetName val="93~96"/>
      <sheetName val="목표97"/>
      <sheetName val="93"/>
      <sheetName val="93D"/>
      <sheetName val="94"/>
      <sheetName val="94D"/>
      <sheetName val="94D2"/>
      <sheetName val="95"/>
      <sheetName val="95D"/>
      <sheetName val="96"/>
      <sheetName val="96D"/>
      <sheetName val="SEL"/>
      <sheetName val="노무비"/>
      <sheetName val="외화-4"/>
      <sheetName val="#REF"/>
      <sheetName val="⑤항목별2"/>
      <sheetName val="Sheet1"/>
      <sheetName val="중간재 재공"/>
      <sheetName val="단가비교"/>
      <sheetName val="총괄"/>
      <sheetName val="원료구매"/>
      <sheetName val="EQUIP LIST"/>
      <sheetName val="0201"/>
      <sheetName val="SM1-09"/>
      <sheetName val="SM2-09"/>
      <sheetName val="BD-09"/>
      <sheetName val="MT-09"/>
      <sheetName val="A"/>
      <sheetName val="내역서"/>
      <sheetName val="매출"/>
      <sheetName val="관리1"/>
      <sheetName val="Control"/>
      <sheetName val="UTCW"/>
      <sheetName val="UTMBPL"/>
      <sheetName val="순별수출"/>
      <sheetName val="급여명세서"/>
      <sheetName val="급여등록"/>
      <sheetName val="추가예산"/>
      <sheetName val="수입"/>
      <sheetName val="회사제시"/>
      <sheetName val="TAGT97_B"/>
      <sheetName val="설계내역서"/>
      <sheetName val="유화"/>
      <sheetName val="환율"/>
      <sheetName val="NCC"/>
      <sheetName val="HMBPROD"/>
      <sheetName val="9IIN_export"/>
      <sheetName val="B93_JC_JD_JE"/>
      <sheetName val="Co_77"/>
      <sheetName val="Inventory_Reconciliation"/>
      <sheetName val="프랜트면허"/>
      <sheetName val="Krw"/>
      <sheetName val="사할차금"/>
      <sheetName val="PI"/>
      <sheetName val="Chiet tinh dz35"/>
      <sheetName val="건설중인"/>
      <sheetName val="경비"/>
      <sheetName val="Sheet4"/>
      <sheetName val="외주수리비"/>
      <sheetName val="AT"/>
      <sheetName val="B777"/>
      <sheetName val="신공항"/>
      <sheetName val="정비재료비"/>
      <sheetName val="지상조업료"/>
      <sheetName val="JJ"/>
      <sheetName val="잡유비"/>
      <sheetName val="MA"/>
      <sheetName val="계류장사용료"/>
      <sheetName val="MC"/>
      <sheetName val="ME"/>
      <sheetName val="MF"/>
      <sheetName val="MI"/>
      <sheetName val="MT"/>
      <sheetName val="QA"/>
      <sheetName val="금액"/>
      <sheetName val="PC%계산"/>
      <sheetName val="Steam Table"/>
      <sheetName val="F801"/>
      <sheetName val="의왕F사"/>
      <sheetName val="가공사"/>
      <sheetName val="전체패턴1안"/>
      <sheetName val="0111"/>
      <sheetName val="산정기준"/>
      <sheetName val="유형처분"/>
      <sheetName val="외주현황.wq1"/>
      <sheetName val="p2-1"/>
      <sheetName val="CG월별 실적자료(사업부)"/>
      <sheetName val="1차물량(ABOUT)"/>
      <sheetName val="CAL1"/>
      <sheetName val="단면가정"/>
      <sheetName val="설계조건"/>
      <sheetName val="DRUM"/>
      <sheetName val="2002"/>
      <sheetName val="통장출금액"/>
      <sheetName val="여수내수"/>
      <sheetName val="판가반영"/>
      <sheetName val="원본data"/>
      <sheetName val="GrData"/>
      <sheetName val="FC-101"/>
      <sheetName val="B"/>
      <sheetName val="일년TOTAL"/>
      <sheetName val="보고2"/>
      <sheetName val="표지"/>
      <sheetName val="설치공사"/>
      <sheetName val="FORM-0"/>
      <sheetName val="BASE"/>
      <sheetName val="참조셀삭제금지"/>
      <sheetName val="①매출"/>
      <sheetName val="MP MOB"/>
      <sheetName val="인사자료총집계"/>
      <sheetName val="주식"/>
      <sheetName val="PROCURE"/>
      <sheetName val="부재예실"/>
      <sheetName val="예산실적전체당월"/>
      <sheetName val="판매일반"/>
      <sheetName val="Sheet2"/>
      <sheetName val="당초"/>
      <sheetName val="T"/>
      <sheetName val="980731"/>
      <sheetName val="PHD Reductions"/>
      <sheetName val="중간재_재공"/>
      <sheetName val="EQUIP_LIST"/>
      <sheetName val="Chiet_tinh_dz35"/>
      <sheetName val="Steam_Table"/>
      <sheetName val="CG월별_실적자료(사업부)"/>
      <sheetName val="외주현황_wq1"/>
      <sheetName val="중간재_재공1"/>
      <sheetName val="EQUIP_LIST1"/>
      <sheetName val="Chiet_tinh_dz351"/>
      <sheetName val="Steam_Table1"/>
      <sheetName val="CG월별_실적자료(사업부)1"/>
      <sheetName val="외주현황_wq11"/>
      <sheetName val="LD"/>
      <sheetName val="HD"/>
      <sheetName val="EG"/>
      <sheetName val="LLD"/>
      <sheetName val="토목주소"/>
      <sheetName val="BID"/>
      <sheetName val="설산1.나"/>
      <sheetName val="본사S"/>
      <sheetName val="PSV2701F"/>
      <sheetName val="2.본사계정별"/>
      <sheetName val="전체지분도"/>
      <sheetName val="조명시설"/>
      <sheetName val="Sheet1 (2)"/>
      <sheetName val="PHD_Reductions"/>
      <sheetName val="중기일위대가"/>
      <sheetName val="PUR-12K"/>
      <sheetName val="TSCLFEB"/>
      <sheetName val="97년"/>
      <sheetName val="특기사항"/>
      <sheetName val="하도내역 (철콘)"/>
      <sheetName val="음료실행"/>
      <sheetName val="MK2-1"/>
      <sheetName val="BLR-S"/>
      <sheetName val="CB"/>
      <sheetName val="대우기성"/>
      <sheetName val="중간재_재공2"/>
      <sheetName val="EQUIP_LIST2"/>
      <sheetName val="Chiet_tinh_dz352"/>
      <sheetName val="Steam_Table2"/>
      <sheetName val="CG월별_실적자료(사업부)2"/>
      <sheetName val="외주현황_wq12"/>
      <sheetName val="MP_MOB"/>
      <sheetName val="PHD_Reductions1"/>
      <sheetName val="설산1_나"/>
      <sheetName val="2_본사계정별"/>
      <sheetName val="Sheet1_(2)"/>
      <sheetName val="하도내역_(철콘)"/>
      <sheetName val="HX"/>
      <sheetName val="수정시산표"/>
      <sheetName val="년도기부"/>
      <sheetName val="산근"/>
      <sheetName val="Inventory 2003-08"/>
      <sheetName val="按分表(19)"/>
      <sheetName val="グループ情報③"/>
      <sheetName val="初期費用"/>
      <sheetName val="導入(回線)"/>
      <sheetName val="導入(ソフト②)"/>
      <sheetName val="運用(回線)①"/>
      <sheetName val="運用(ワンコイン)"/>
      <sheetName val="運用(ワンコイン)(旧)"/>
      <sheetName val="運用(どこコネ)"/>
      <sheetName val="運用(楽SW)5"/>
      <sheetName val="運用(楽SW)"/>
      <sheetName val="運用(HE)"/>
      <sheetName val="運用(OF)"/>
      <sheetName val="運用(代行)"/>
      <sheetName val="運用(サーバ)"/>
      <sheetName val="運用(DC)"/>
      <sheetName val="運用(LCM)"/>
      <sheetName val="運用(PC)"/>
      <sheetName val="運用(PC＆周辺)"/>
      <sheetName val="運用(周辺)"/>
      <sheetName val="運用(SW)"/>
      <sheetName val="運用(L3)"/>
      <sheetName val="運用(WSUS)"/>
      <sheetName val="도급"/>
      <sheetName val="예산대비"/>
      <sheetName val="제조원가계산서"/>
      <sheetName val="업무계획1"/>
      <sheetName val="'94자산"/>
      <sheetName val="MacroA"/>
      <sheetName val="CTEMCOST"/>
      <sheetName val="Coupon Detail"/>
      <sheetName val="7.5 재질별 수율"/>
      <sheetName val="POL6차-PIPING"/>
      <sheetName val="산#3-1"/>
      <sheetName val="산#2-1 (2)"/>
      <sheetName val="WEIGHT LIST"/>
      <sheetName val="수리결과"/>
      <sheetName val="영동(D)"/>
      <sheetName val="제출계산서"/>
      <sheetName val="Sheet3"/>
      <sheetName val="손익합산"/>
      <sheetName val="PHD_Reductions2"/>
      <sheetName val="MP_MOB1"/>
      <sheetName val="2_본사계정별1"/>
      <sheetName val="중간재_재공3"/>
      <sheetName val="EQUIP_LIST3"/>
      <sheetName val="Chiet_tinh_dz353"/>
      <sheetName val="Steam_Table3"/>
      <sheetName val="CG월별_실적자료(사업부)3"/>
      <sheetName val="외주현황_wq13"/>
      <sheetName val="설산1_나1"/>
      <sheetName val="하도내역_(철콘)1"/>
      <sheetName val="Sheet1_(2)1"/>
      <sheetName val="Inventory_2003-08"/>
      <sheetName val="DFA"/>
      <sheetName val="노임단가"/>
      <sheetName val="Template"/>
      <sheetName val="_94자산"/>
      <sheetName val="CD-실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"/>
      <sheetName val="T-TO"/>
      <sheetName val="S1"/>
      <sheetName val="S2"/>
      <sheetName val="S3"/>
      <sheetName val="S4"/>
      <sheetName val="S6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Model_WIP"/>
      <sheetName val="LIS6401"/>
      <sheetName val="설산1.나"/>
      <sheetName val="본사S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-E2 (품셈표)"/>
      <sheetName val="PULLING SUPT등"/>
      <sheetName val="#REF"/>
      <sheetName val="단가산"/>
      <sheetName val="품셈"/>
      <sheetName val="cable품셈표(한전)"/>
      <sheetName val="노임단가"/>
    </sheetNames>
    <sheetDataSet>
      <sheetData sheetId="0">
        <row r="7">
          <cell r="B7" t="str">
            <v>5KV 250KCMIL(126㎟) 3/C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표지 "/>
      <sheetName val="내역서"/>
      <sheetName val="기기품셈내역"/>
      <sheetName val="재료비산출"/>
      <sheetName val="단가비교"/>
      <sheetName val="동성"/>
      <sheetName val="한일"/>
      <sheetName val="국제"/>
      <sheetName val="간선계산"/>
      <sheetName val="기성금내역서"/>
      <sheetName val="Sheet6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자재단가"/>
    </sheetNames>
    <sheetDataSet>
      <sheetData sheetId="0" refreshError="1"/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자재단가"/>
    </sheetNames>
    <sheetDataSet>
      <sheetData sheetId="0" refreshError="1"/>
      <sheetData sheetId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수량산출"/>
      <sheetName val="중량산출"/>
      <sheetName val="PANEL 중량산출"/>
      <sheetName val="내역서"/>
      <sheetName val="견적대비표"/>
      <sheetName val="단가대비표"/>
      <sheetName val="현장지지물물량"/>
      <sheetName val="TOTAL"/>
      <sheetName val="시행예산"/>
      <sheetName val="#REF"/>
      <sheetName val="15100"/>
      <sheetName val="토공정보"/>
      <sheetName val="두앙"/>
      <sheetName val="2"/>
      <sheetName val="I一般比"/>
      <sheetName val="과천MAIN"/>
      <sheetName val="대비"/>
      <sheetName val="내역서(총)"/>
      <sheetName val="TEL"/>
      <sheetName val="일위대가"/>
      <sheetName val="부대대비"/>
      <sheetName val="냉연집계"/>
      <sheetName val="Sheet3"/>
      <sheetName val="신우"/>
      <sheetName val="직재"/>
      <sheetName val="교각계산"/>
      <sheetName val="DATE"/>
      <sheetName val="sheets"/>
      <sheetName val="예산M12A"/>
      <sheetName val="일위대가목차"/>
      <sheetName val="노임단가"/>
      <sheetName val="경비_원본"/>
      <sheetName val="감가상각"/>
      <sheetName val="J直材4"/>
      <sheetName val="plan&amp;section of foundation"/>
      <sheetName val="노원열병합  건축공사기성내역서"/>
      <sheetName val="민속촌메뉴"/>
      <sheetName val="수량산출서"/>
      <sheetName val="업무"/>
      <sheetName val="code"/>
      <sheetName val="FANDBS"/>
      <sheetName val="GRDATA"/>
      <sheetName val="SHAFTDBSE"/>
      <sheetName val="자재단가비교표"/>
      <sheetName val="N賃率-職"/>
      <sheetName val="주소록"/>
      <sheetName val="입찰안"/>
      <sheetName val="직노"/>
      <sheetName val="설계조건"/>
      <sheetName val="을지"/>
      <sheetName val="공사현황"/>
      <sheetName val="20관리비율"/>
      <sheetName val="도"/>
      <sheetName val="터널조도"/>
      <sheetName val="실행내역서 "/>
      <sheetName val="부하계산서"/>
      <sheetName val="CT "/>
      <sheetName val="노임"/>
      <sheetName val="ABUT수량-A1"/>
      <sheetName val="발신정보"/>
      <sheetName val="기본일위"/>
      <sheetName val="2F 회의실견적(5_14 일대)"/>
      <sheetName val="NOMUBI"/>
      <sheetName val="sw1"/>
      <sheetName val="실행철강하도"/>
      <sheetName val="단가비교표"/>
      <sheetName val="동원(3)"/>
      <sheetName val="예정(3)"/>
      <sheetName val="인건-측정"/>
      <sheetName val="조도계산서 (도서)"/>
      <sheetName val="동력부하(도산)"/>
      <sheetName val="명세서"/>
      <sheetName val="경산"/>
      <sheetName val="Sheet2"/>
      <sheetName val="C-노임단가"/>
      <sheetName val="유림골조"/>
      <sheetName val="Sheet14"/>
      <sheetName val="Sheet13"/>
      <sheetName val="danga"/>
      <sheetName val="ilch"/>
      <sheetName val="소비자가"/>
      <sheetName val="6호기"/>
      <sheetName val="전기일위대가"/>
      <sheetName val="DATA"/>
      <sheetName val="화재 탐지 설비"/>
      <sheetName val="工완성공사율"/>
      <sheetName val="공사원가계산서"/>
      <sheetName val="Y-WORK"/>
      <sheetName val="원가계산서"/>
      <sheetName val="타견적1"/>
      <sheetName val="타견적2"/>
      <sheetName val="타견적3"/>
      <sheetName val="설직재-1"/>
      <sheetName val="Sheet1"/>
      <sheetName val="재료비"/>
      <sheetName val="건축내역"/>
      <sheetName val="기성금내역서"/>
      <sheetName val="견적서"/>
      <sheetName val="일위단가"/>
      <sheetName val="재집"/>
      <sheetName val="dtxl"/>
      <sheetName val="단가산출(변경없음)"/>
      <sheetName val="노임이"/>
      <sheetName val="단가조사"/>
      <sheetName val="을"/>
      <sheetName val="제36-40호표"/>
      <sheetName val="총괄집계표"/>
      <sheetName val="노무비"/>
      <sheetName val="공조기휀"/>
      <sheetName val="재료"/>
      <sheetName val="설치자재"/>
      <sheetName val="기본사항"/>
      <sheetName val="환산"/>
      <sheetName val="일위"/>
      <sheetName val="TABLE"/>
      <sheetName val="유기공정"/>
      <sheetName val="96물가 CODE"/>
      <sheetName val="연부97-1"/>
      <sheetName val="갑지1"/>
      <sheetName val="단가산출2"/>
      <sheetName val="개요"/>
      <sheetName val="DB단가"/>
      <sheetName val="조명시설"/>
      <sheetName val="예산변경사항"/>
      <sheetName val="세부내역"/>
      <sheetName val="정공공사"/>
      <sheetName val="Sheet5"/>
      <sheetName val="갑지"/>
      <sheetName val="인건비"/>
      <sheetName val="공사내역"/>
      <sheetName val="BID"/>
      <sheetName val="내역"/>
      <sheetName val="보온자재단가표"/>
      <sheetName val="2000시행"/>
      <sheetName val="첨부파일"/>
      <sheetName val="DB"/>
      <sheetName val="합천내역"/>
      <sheetName val="1안"/>
      <sheetName val="단가표"/>
      <sheetName val="음료실행"/>
      <sheetName val="APT내역"/>
      <sheetName val="부대시설"/>
      <sheetName val="기둥(원형)"/>
      <sheetName val="EACT10"/>
      <sheetName val="LEGEND"/>
      <sheetName val="조경"/>
      <sheetName val="갑지(추정)"/>
      <sheetName val="본장"/>
      <sheetName val="최종갑지"/>
      <sheetName val="sum1 (2)"/>
      <sheetName val="견적정보"/>
      <sheetName val="PANEL_중량산출"/>
      <sheetName val="노원열병합__건축공사기성내역서"/>
      <sheetName val="plan&amp;section_of_foundation"/>
      <sheetName val="1단계"/>
      <sheetName val="FB25JN"/>
      <sheetName val="년도별실"/>
      <sheetName val="도체종-상수표"/>
      <sheetName val="계산서(곡선부)"/>
      <sheetName val="-치수표(곡선부)"/>
      <sheetName val="1.설계조건"/>
      <sheetName val="LOPCALC"/>
      <sheetName val="프로그램"/>
      <sheetName val="예산서"/>
      <sheetName val="운반비"/>
      <sheetName val="단가(1)"/>
      <sheetName val="단가(2)"/>
      <sheetName val="배관(TON)"/>
      <sheetName val="물량집계"/>
      <sheetName val="물량비교"/>
      <sheetName val="배관비교"/>
      <sheetName val="리스트"/>
      <sheetName val="용량-침사"/>
      <sheetName val="용량-펌프"/>
      <sheetName val="장애코드"/>
      <sheetName val="현금예금"/>
      <sheetName val="종배수관"/>
      <sheetName val="CP-E2 (품셈표)"/>
      <sheetName val="품목납기"/>
      <sheetName val="설비"/>
      <sheetName val="U-TYPE(1)"/>
      <sheetName val="조도계산(1)"/>
      <sheetName val="전차선로 물량표"/>
      <sheetName val="일위대가목록"/>
      <sheetName val="001"/>
      <sheetName val="와동25-3(변경)"/>
      <sheetName val="60명당사(총괄)"/>
      <sheetName val="CT_"/>
      <sheetName val="2F_회의실견적(5_14_일대)"/>
      <sheetName val="조도계산서_(도서)"/>
      <sheetName val="96물가_CODE"/>
      <sheetName val="CP-E2_(품셈표)"/>
      <sheetName val="70%"/>
      <sheetName val="전기단가조사서"/>
      <sheetName val="반중력식옹벽3.5"/>
      <sheetName val="중기사용료"/>
      <sheetName val="Macro1"/>
      <sheetName val="Macro2"/>
      <sheetName val="김재복부장님"/>
      <sheetName val="기초대가"/>
      <sheetName val="97"/>
      <sheetName val="WORK"/>
      <sheetName val="K1자재(3차등)"/>
      <sheetName val="자재단가"/>
      <sheetName val="덕전리"/>
      <sheetName val="선급금신청서"/>
      <sheetName val="실행비교"/>
      <sheetName val="OPT7"/>
      <sheetName val="6PILE  (돌출)"/>
      <sheetName val="신규 수주분(사용자 정의)"/>
      <sheetName val="UserData"/>
      <sheetName val="환율"/>
      <sheetName val="금액집계"/>
      <sheetName val="Sheet9"/>
      <sheetName val="통신원가"/>
      <sheetName val="터파기및재료"/>
      <sheetName val="소상 &quot;1&quot;"/>
      <sheetName val="여과지동"/>
      <sheetName val="기초자료"/>
      <sheetName val="CONCRETE"/>
      <sheetName val="부하LOAD"/>
      <sheetName val="데이타"/>
      <sheetName val="11월 가격"/>
      <sheetName val="일위대가(1)"/>
      <sheetName val="연수동"/>
      <sheetName val="1000 DB구축 부표"/>
      <sheetName val="청천내"/>
      <sheetName val="차액보증"/>
      <sheetName val="10월가격"/>
      <sheetName val="원형1호맨홀토공수량"/>
      <sheetName val="정부노임단가"/>
      <sheetName val="철거산출근거"/>
      <sheetName val="기계경비산출기준"/>
      <sheetName val="원본(갑지)"/>
      <sheetName val="판매96"/>
      <sheetName val="제-노임"/>
      <sheetName val="제직재"/>
      <sheetName val="원가"/>
      <sheetName val="운반"/>
      <sheetName val="UR2-Calculation"/>
      <sheetName val="GAEYO"/>
      <sheetName val="밸브설치"/>
      <sheetName val="단"/>
      <sheetName val="내역서1999.8최종"/>
      <sheetName val="견적대비 견적서"/>
      <sheetName val="건축원가계산서"/>
      <sheetName val="사통"/>
      <sheetName val="예산M5A"/>
      <sheetName val="예산M2"/>
      <sheetName val="표지"/>
      <sheetName val="남양시작동자105노65기1.3화1.2"/>
      <sheetName val="지급자재"/>
      <sheetName val="계약내역서(을지)"/>
      <sheetName val="장비분석"/>
      <sheetName val="공조기"/>
      <sheetName val="STORAGE"/>
      <sheetName val="토목주소"/>
      <sheetName val="프랜트면허"/>
      <sheetName val="별표 "/>
      <sheetName val="조명율표"/>
      <sheetName val="단가조사-2"/>
      <sheetName val="copy"/>
      <sheetName val="11.단가비교표_"/>
      <sheetName val="16.기계경비산출내역_"/>
      <sheetName val="기성"/>
      <sheetName val="7.1 자재단가표(케이블)"/>
      <sheetName val="dt0301"/>
      <sheetName val="dtt0301"/>
      <sheetName val="DRUM"/>
      <sheetName val="LOAD-46"/>
      <sheetName val="부하(성남)"/>
      <sheetName val="토공계산서(부체도로)"/>
      <sheetName val="교각1"/>
      <sheetName val="토공(우물통,기타) "/>
      <sheetName val="wall"/>
      <sheetName val="COPING"/>
      <sheetName val="AA3000"/>
      <sheetName val="AA3100"/>
      <sheetName val="비계"/>
      <sheetName val="AA3200"/>
      <sheetName val="동바리"/>
      <sheetName val="AA3300"/>
      <sheetName val="특수거푸집"/>
      <sheetName val="AA3400"/>
      <sheetName val="집계표"/>
      <sheetName val="9GNG운반"/>
      <sheetName val="준검 내역서"/>
      <sheetName val="T13(P68~72,78)"/>
      <sheetName val="여방토공 "/>
      <sheetName val="목록"/>
      <sheetName val="CTEMCOST"/>
      <sheetName val="내부부하"/>
      <sheetName val="부속동"/>
      <sheetName val="공사개요(좌)"/>
      <sheetName val="직공비"/>
      <sheetName val="매입세율"/>
      <sheetName val="공사개요"/>
      <sheetName val="Sheet7"/>
      <sheetName val="어음광고주"/>
      <sheetName val="FPA"/>
      <sheetName val="순수개발"/>
      <sheetName val="Data Vol"/>
      <sheetName val="차수"/>
      <sheetName val="공통가설"/>
      <sheetName val="전체"/>
      <sheetName val="Galaxy 소비자가격표"/>
      <sheetName val="전기"/>
      <sheetName val="날개벽수량표"/>
      <sheetName val="가로등기초"/>
      <sheetName val="BASIC (2)"/>
      <sheetName val="백암비스타내역"/>
      <sheetName val="입출재고현황 (2)"/>
      <sheetName val="일반수량총괄"/>
      <sheetName val="토공총괄"/>
      <sheetName val="골재수량"/>
      <sheetName val="레미콘집계"/>
      <sheetName val="주요자재"/>
      <sheetName val="타공종이기"/>
      <sheetName val="VE절감"/>
      <sheetName val="물량표S"/>
      <sheetName val="금액내역서"/>
      <sheetName val="물가시세"/>
      <sheetName val="ITEM"/>
      <sheetName val="type-F"/>
      <sheetName val="실행"/>
      <sheetName val="대치판정"/>
      <sheetName val="말뚝지지력산정"/>
      <sheetName val="예산대비"/>
      <sheetName val="공문"/>
      <sheetName val="Oper Amount"/>
      <sheetName val="실적단가"/>
      <sheetName val="일위대가_복합"/>
      <sheetName val="일위대가_서비스"/>
      <sheetName val="장비집계"/>
      <sheetName val="8.PILE  (돌출)"/>
      <sheetName val="임차품의(농조)"/>
      <sheetName val="심사물량"/>
      <sheetName val="심사계산"/>
      <sheetName val="실행내역"/>
      <sheetName val="조도계산서 _도서_"/>
      <sheetName val="품목"/>
      <sheetName val="(C)원내역"/>
      <sheetName val="내역서 (2)"/>
      <sheetName val="총괄내역서"/>
      <sheetName val="원가계산"/>
      <sheetName val="사급자재"/>
      <sheetName val="AV시스템"/>
      <sheetName val="C1"/>
      <sheetName val="기성내역서표지"/>
      <sheetName val="이토변실(A3-LINE)"/>
      <sheetName val="sub"/>
      <sheetName val="(A)내역서"/>
      <sheetName val="값"/>
      <sheetName val="횡 연장"/>
      <sheetName val="호표"/>
      <sheetName val="공사비명세서"/>
      <sheetName val="지수"/>
      <sheetName val="일위대가표"/>
      <sheetName val="자료"/>
      <sheetName val="7단가"/>
      <sheetName val="약품공급2"/>
      <sheetName val="기계내역"/>
      <sheetName val="화재_탐지_설비"/>
      <sheetName val="소상_&quot;1&quot;"/>
      <sheetName val="11.자재단가"/>
      <sheetName val="제품"/>
      <sheetName val="견적계산"/>
      <sheetName val="NEGO"/>
      <sheetName val="sun"/>
      <sheetName val="최종견"/>
      <sheetName val="경사수로"/>
      <sheetName val="BUS제원1"/>
      <sheetName val="CVT산정"/>
      <sheetName val="7내역"/>
      <sheetName val="단면가정"/>
      <sheetName val="제잡비"/>
      <sheetName val="산출내역서집계표"/>
      <sheetName val="플랜트 설치"/>
      <sheetName val="교대(A1-A2)"/>
      <sheetName val="공사비집계"/>
      <sheetName val="건축"/>
      <sheetName val="B(함)일반수량"/>
      <sheetName val="산출근거"/>
      <sheetName val="기계경비(시간당)"/>
      <sheetName val="램머"/>
      <sheetName val="단가산출"/>
      <sheetName val="환경평가"/>
      <sheetName val="인구"/>
      <sheetName val="배수관공"/>
      <sheetName val="Sheet1 (2)"/>
      <sheetName val="98수문일위"/>
      <sheetName val="단가조사서"/>
      <sheetName val="목차"/>
      <sheetName val="rate"/>
      <sheetName val="원가 (2)"/>
      <sheetName val="진주방향"/>
      <sheetName val="유통망계획"/>
      <sheetName val="기준자료"/>
      <sheetName val="담장산출"/>
      <sheetName val="NEYOK"/>
      <sheetName val="TRE TABLE"/>
      <sheetName val="설계내역(2001)"/>
      <sheetName val="본체"/>
      <sheetName val="토목"/>
      <sheetName val="품산출서"/>
      <sheetName val="견내"/>
      <sheetName val="매립"/>
      <sheetName val="간지"/>
      <sheetName val="자재운반단가일람표"/>
      <sheetName val="단가목록"/>
      <sheetName val="대창(장성)"/>
      <sheetName val="표지판단위"/>
      <sheetName val="설계"/>
      <sheetName val="협조전"/>
      <sheetName val="건축내역서"/>
      <sheetName val="전선 및 전선관"/>
      <sheetName val="청주(철골발주의뢰서)"/>
      <sheetName val="정렬"/>
      <sheetName val="분전함신설"/>
      <sheetName val="접지1종"/>
      <sheetName val="자재집계"/>
      <sheetName val="골재랑"/>
      <sheetName val="기초총괄"/>
      <sheetName val="구체총괄"/>
      <sheetName val="구체+기초총괄"/>
      <sheetName val="교대집계"/>
      <sheetName val="교대철근(구체)"/>
      <sheetName val="교대철근(기초)"/>
      <sheetName val="교대철근(구체+기초)"/>
      <sheetName val="교각집계"/>
      <sheetName val="교각철근(구체)"/>
      <sheetName val="교각철근 (기초)"/>
      <sheetName val="교각철근 (구체+기초)"/>
      <sheetName val="현장타설말뚝"/>
      <sheetName val="강재집계표"/>
      <sheetName val="원동교강재집계표"/>
      <sheetName val="자재테이블"/>
      <sheetName val="산출금액내역"/>
      <sheetName val="일위대가(계측기설치)"/>
      <sheetName val="변압기 및 발전기 용량"/>
      <sheetName val="단가"/>
      <sheetName val="A-4"/>
      <sheetName val="변경갑지"/>
      <sheetName val="증감(갑지)"/>
      <sheetName val="손익차9월2"/>
      <sheetName val="건축집계표"/>
      <sheetName val="실행간접비용"/>
      <sheetName val="3련 BOX"/>
      <sheetName val="단위수량"/>
      <sheetName val="CB"/>
      <sheetName val="소업1교"/>
      <sheetName val="외주가공"/>
      <sheetName val="BOX"/>
      <sheetName val="실정공사비단가표"/>
      <sheetName val="PROCESS"/>
      <sheetName val="1-1"/>
      <sheetName val="차도조도계산"/>
      <sheetName val="간선계산"/>
      <sheetName val="FACTOR"/>
      <sheetName val="Cost bd-&quot;A&quot;"/>
      <sheetName val="배수내역 (2)"/>
      <sheetName val="48일위"/>
      <sheetName val="48수량"/>
      <sheetName val="22수량"/>
      <sheetName val="49일위"/>
      <sheetName val="22일위"/>
      <sheetName val="49수량"/>
      <sheetName val="설계명세서(선로)"/>
      <sheetName val="전기,계장"/>
      <sheetName val="품셈"/>
      <sheetName val="구조물공집계"/>
      <sheetName val="암거집계 "/>
      <sheetName val="암거구체수량"/>
      <sheetName val="암거구체"/>
      <sheetName val="날개벽집계표"/>
      <sheetName val="날개벽단위"/>
      <sheetName val="차수벽집계표"/>
      <sheetName val="차수벽"/>
      <sheetName val="노무비 근거"/>
      <sheetName val=" HIT-&gt;HMC 견적(3900)"/>
      <sheetName val="우각부보강"/>
      <sheetName val="I.설계조건"/>
      <sheetName val="재1"/>
      <sheetName val="자재조사표(참고용)"/>
      <sheetName val="품셈집계표"/>
      <sheetName val="일반부표집계표"/>
      <sheetName val="공종별내역서"/>
      <sheetName val="수량산출서 갑지"/>
      <sheetName val="자판실행"/>
      <sheetName val="__"/>
      <sheetName val="DIAPHRAGM"/>
      <sheetName val="도근좌표"/>
      <sheetName val="99총공사내역서"/>
      <sheetName val="입상내역"/>
      <sheetName val="단위중량"/>
      <sheetName val="11"/>
      <sheetName val="공주-교대(A1)"/>
      <sheetName val="토사(PE)"/>
      <sheetName val="Ekog10"/>
      <sheetName val="코드표"/>
      <sheetName val="기초단가"/>
      <sheetName val="우수"/>
      <sheetName val="연령현황"/>
      <sheetName val="FAB별"/>
      <sheetName val="견적(갑지)"/>
      <sheetName val="기초자료입력"/>
      <sheetName val="Baby일위대가"/>
      <sheetName val="설계예산서(2016년 보안등 신설공사 단가계약-).xls"/>
      <sheetName val="목표세부명세"/>
      <sheetName val="DLA"/>
      <sheetName val=" 견적서"/>
      <sheetName val="cost"/>
      <sheetName val="상승노임"/>
      <sheetName val="변화치수"/>
      <sheetName val="시행후면적"/>
      <sheetName val="수지예산"/>
      <sheetName val="단가대비"/>
      <sheetName val="소요자재"/>
      <sheetName val="ROOF(ALKALI)"/>
      <sheetName val="일위대가(4층원격)"/>
      <sheetName val="단가표 "/>
      <sheetName val="총괄"/>
      <sheetName val="공사비"/>
      <sheetName val="OPT"/>
      <sheetName val="SV"/>
      <sheetName val="1공구(을)"/>
      <sheetName val="XL4Poppy"/>
      <sheetName val="List"/>
      <sheetName val="CHITIET VL-NC"/>
      <sheetName val="DON GIA"/>
      <sheetName val="MOTOR"/>
      <sheetName val="참고"/>
      <sheetName val="7.경제성결과"/>
      <sheetName val="FRP내역서"/>
      <sheetName val="부대내역"/>
      <sheetName val="실행내역서_"/>
      <sheetName val="맨홀토공"/>
      <sheetName val="계약내력"/>
      <sheetName val="견적"/>
      <sheetName val="EQUIPMENT -2"/>
      <sheetName val="대림경상68억"/>
      <sheetName val="F1"/>
      <sheetName val="포장공자재집계표"/>
      <sheetName val="일반수량"/>
      <sheetName val="자재일람"/>
      <sheetName val="교대(A1)"/>
      <sheetName val="대가표(품셈)"/>
      <sheetName val="단가산출서"/>
      <sheetName val="토목공사"/>
      <sheetName val="위치"/>
      <sheetName val="총공사내역서"/>
      <sheetName val="다곡2교"/>
      <sheetName val="전체현황"/>
      <sheetName val="배수통관(좌)"/>
      <sheetName val="주요측점"/>
      <sheetName val="유림총괄"/>
      <sheetName val="BOQ(전체)"/>
      <sheetName val="암거"/>
      <sheetName val="포장공"/>
      <sheetName val="배수공"/>
      <sheetName val="위치조서"/>
      <sheetName val="기성내역서"/>
      <sheetName val="기계경비"/>
      <sheetName val="안정검토"/>
      <sheetName val="H-pile(298x299)"/>
      <sheetName val="H-pile(250x250)"/>
      <sheetName val="일위_파일"/>
      <sheetName val="연결임시"/>
      <sheetName val="단면검토"/>
      <sheetName val="_산근2_"/>
      <sheetName val="_산근4_"/>
      <sheetName val="_산근5_"/>
      <sheetName val="BQ_Utl_Off"/>
      <sheetName val="BREAKDOWN(철거설치)"/>
      <sheetName val="Controls"/>
      <sheetName val="콘_재료분리(1)"/>
      <sheetName val="예산M11A"/>
      <sheetName val="자료입력"/>
      <sheetName val="D16"/>
      <sheetName val="D25"/>
      <sheetName val="D22"/>
      <sheetName val="횡배수관재료-"/>
      <sheetName val="계산서(직선부)"/>
      <sheetName val="포장재료집계표"/>
      <sheetName val="콘크리트측구연장"/>
      <sheetName val="-몰탈콘크리트"/>
      <sheetName val="-배수구조물공토공"/>
      <sheetName val="산수배수"/>
      <sheetName val="각종양식"/>
      <sheetName val="교통대책내역"/>
      <sheetName val="AHU집계"/>
      <sheetName val="INPUT"/>
      <sheetName val="Macro(차단기)"/>
      <sheetName val="BQ(실행)"/>
      <sheetName val="JUCK"/>
      <sheetName val="요약&amp;결과"/>
      <sheetName val="배관배선 단가조사"/>
      <sheetName val="일위대가집계"/>
      <sheetName val="4안전율"/>
      <sheetName val="본실행경비"/>
      <sheetName val="자재"/>
      <sheetName val="원형맨홀수량"/>
      <sheetName val="기기리스트"/>
      <sheetName val="01"/>
      <sheetName val="연돌일위집계"/>
      <sheetName val="원계약서"/>
      <sheetName val="총괄내역"/>
      <sheetName val="수량집계"/>
      <sheetName val="수량산출서 (2)"/>
      <sheetName val="000000"/>
      <sheetName val="총내역서"/>
      <sheetName val="경관내역"/>
      <sheetName val="가로등내역"/>
      <sheetName val="영상수량산출"/>
      <sheetName val="경관수량산출"/>
      <sheetName val="가로등수량산출"/>
      <sheetName val="영상단가대비표 "/>
      <sheetName val="경관단가대비표"/>
      <sheetName val="배관"/>
      <sheetName val="일위대가1"/>
      <sheetName val="관급"/>
      <sheetName val="시화점실행"/>
      <sheetName val="교차구"/>
      <sheetName val="분류작업"/>
      <sheetName val="기본자료"/>
      <sheetName val="2002상반기노임기준"/>
      <sheetName val="CAL"/>
      <sheetName val="COVER-P"/>
      <sheetName val="안정계산"/>
      <sheetName val="DHEQSUPT"/>
      <sheetName val="DATA1"/>
      <sheetName val="암거공"/>
      <sheetName val="Proposal"/>
      <sheetName val="맨홀토공산출"/>
      <sheetName val="TYPE-A"/>
      <sheetName val="3BL공동구 수량"/>
      <sheetName val="수안보-MBR1"/>
      <sheetName val="L형 옹벽"/>
      <sheetName val="소운반"/>
      <sheetName val="원가입력"/>
      <sheetName val="집계"/>
      <sheetName val="9호관로"/>
      <sheetName val="작업일정"/>
      <sheetName val="사다리"/>
      <sheetName val="AA2000"/>
      <sheetName val="AA2100"/>
      <sheetName val="토류시설"/>
      <sheetName val="AA2200"/>
      <sheetName val="배수및물푸기시설집계"/>
      <sheetName val="가배수관"/>
      <sheetName val="가도수로"/>
      <sheetName val="절성경계도수로현황"/>
      <sheetName val="물푸기집계"/>
      <sheetName val="AA2300"/>
      <sheetName val="AA2400"/>
      <sheetName val="AA2500"/>
      <sheetName val="방호시설집계"/>
      <sheetName val="AA2600"/>
      <sheetName val="교통안전시설공집계"/>
      <sheetName val="교통처리가도수량집계"/>
      <sheetName val="국지도70호선-수량"/>
      <sheetName val="국지도70호선-현황"/>
      <sheetName val="남춘천IC접속부-수량"/>
      <sheetName val="남춘천IC접속부-현황"/>
      <sheetName val="군자4교하부-수량"/>
      <sheetName val="군자4교하부-현황"/>
      <sheetName val="AA2700"/>
      <sheetName val="낙하물방지공"/>
      <sheetName val="AA2800"/>
      <sheetName val="작업용가시설"/>
      <sheetName val="AA2900"/>
      <sheetName val="교량환기시설"/>
      <sheetName val="환기시설 (1)"/>
      <sheetName val="환기시설 (2)"/>
      <sheetName val="상-교대(A1-A2)"/>
      <sheetName val="__MAIN"/>
      <sheetName val="회로내역(승인)"/>
      <sheetName val="안정검토(온1)"/>
      <sheetName val="투찰(하수)"/>
      <sheetName val="Site Expenses"/>
      <sheetName val="해상PCB"/>
      <sheetName val="물량산출근거"/>
      <sheetName val="COVER"/>
      <sheetName val="일보"/>
      <sheetName val="기력고압전동기"/>
      <sheetName val="OH공량old"/>
      <sheetName val="PIPE"/>
      <sheetName val="FLANGE"/>
      <sheetName val="VALVE"/>
      <sheetName val="1을"/>
      <sheetName val="예시 (수정 및 삭제금지)"/>
      <sheetName val="단가대비표 표지"/>
      <sheetName val="예산내역서"/>
      <sheetName val="가격표"/>
      <sheetName val="Customer Databas"/>
      <sheetName val="가설"/>
      <sheetName val="경상"/>
      <sheetName val="샘플표지"/>
      <sheetName val="물가연동제"/>
      <sheetName val="1. 설계조건 2.단면가정 3. 하중계산"/>
      <sheetName val="DATA 입력란"/>
      <sheetName val="금융비용"/>
      <sheetName val="주안3차A-A"/>
      <sheetName val="기초안정검토"/>
      <sheetName val="사전공사"/>
      <sheetName val="Macro(전선)"/>
      <sheetName val="매크로"/>
      <sheetName val="1-3.조건,바닥판 "/>
      <sheetName val="첨부1-1"/>
      <sheetName val="TYPE1"/>
      <sheetName val="입력자료모음"/>
      <sheetName val="안정성검토"/>
      <sheetName val="하중계산"/>
      <sheetName val="설계기준"/>
      <sheetName val="우배수"/>
      <sheetName val="설명"/>
      <sheetName val="wing"/>
      <sheetName val="98비정기소모"/>
      <sheetName val="원가계산서(공사)"/>
      <sheetName val="CATV"/>
      <sheetName val=" 냉각수펌프"/>
      <sheetName val="물가"/>
      <sheetName val="뚝토공"/>
      <sheetName val="94"/>
      <sheetName val="통합"/>
      <sheetName val="원형측구(B-type)"/>
      <sheetName val="총괄표"/>
      <sheetName val="대상공사(조달청)"/>
      <sheetName val="자료(통합)"/>
      <sheetName val="횡배수관집현황(2공구)"/>
      <sheetName val="JUCKEYK"/>
      <sheetName val="수목표준대가"/>
      <sheetName val="웅진교-S2"/>
      <sheetName val="시중노임(공사)"/>
      <sheetName val="식재"/>
      <sheetName val="시설물"/>
      <sheetName val="식재출력용"/>
      <sheetName val="유지관리"/>
      <sheetName val="설계명세서"/>
      <sheetName val="토적"/>
      <sheetName val="PANEL_중량산출1"/>
      <sheetName val="plan&amp;section_of_foundation1"/>
      <sheetName val="노원열병합__건축공사기성내역서1"/>
      <sheetName val="CT_1"/>
      <sheetName val="2F_회의실견적(5_14_일대)1"/>
      <sheetName val="조도계산서_(도서)1"/>
      <sheetName val="화재_탐지_설비1"/>
      <sheetName val="견적대비_견적서"/>
      <sheetName val="96물가_CODE1"/>
      <sheetName val="sum1_(2)"/>
      <sheetName val="11_단가비교표_"/>
      <sheetName val="16_기계경비산출내역_"/>
      <sheetName val="1_설계조건"/>
      <sheetName val="신규_수주분(사용자_정의)"/>
      <sheetName val="CP-E2_(품셈표)1"/>
      <sheetName val="전차선로_물량표"/>
      <sheetName val="반중력식옹벽3_5"/>
      <sheetName val="6PILE__(돌출)"/>
      <sheetName val="11월_가격"/>
      <sheetName val="1000_DB구축_부표"/>
      <sheetName val="내역서1999_8최종"/>
      <sheetName val="남양시작동자105노65기1_3화1_2"/>
      <sheetName val="별표_"/>
      <sheetName val="7_1_자재단가표(케이블)"/>
      <sheetName val="내역서_(2)"/>
      <sheetName val="토공(우물통,기타)_"/>
      <sheetName val="준검_내역서"/>
      <sheetName val="여방토공_"/>
      <sheetName val="Data_Vol"/>
      <sheetName val="Galaxy_소비자가격표"/>
      <sheetName val="사업수지"/>
      <sheetName val="TARGET"/>
      <sheetName val="CALCULATION"/>
      <sheetName val="3.현장배치"/>
      <sheetName val="단위수량산출"/>
      <sheetName val="마산방향"/>
      <sheetName val="사리부설"/>
      <sheetName val="식재가격"/>
      <sheetName val="식재총괄"/>
      <sheetName val="일위목록"/>
      <sheetName val="요율"/>
      <sheetName val="일위집계(기존)"/>
      <sheetName val="제경비"/>
      <sheetName val="월말"/>
      <sheetName val="기초공"/>
      <sheetName val="8-1"/>
      <sheetName val="guard(mac)"/>
      <sheetName val="데리네이타현황"/>
      <sheetName val="가정오수"/>
      <sheetName val="잔수량(작성)"/>
      <sheetName val="토공총괄표"/>
      <sheetName val="물건도(원본)"/>
      <sheetName val="적용단위길이"/>
      <sheetName val="피벗테이블데이터분석"/>
      <sheetName val="특수기호강도거푸집"/>
      <sheetName val="종배수관면벽신"/>
      <sheetName val="종배수관(신)"/>
      <sheetName val="기본"/>
      <sheetName val="견적대비"/>
      <sheetName val="내역서(삼호)"/>
      <sheetName val="규격"/>
      <sheetName val="입고장부 (4)"/>
      <sheetName val="입찰견적보고서"/>
      <sheetName val="일반공사"/>
      <sheetName val="대전-교대(A1-A2)"/>
      <sheetName val="1,2공구원가계산서"/>
      <sheetName val="2공구산출내역"/>
      <sheetName val="1공구산출내역서"/>
      <sheetName val="견적보고(총액)"/>
      <sheetName val="지주목시비량산출서"/>
      <sheetName val="원가계산하도"/>
      <sheetName val="추가예산"/>
      <sheetName val="공사손익실적"/>
      <sheetName val="TABLE DB"/>
      <sheetName val="쌍용 data base"/>
      <sheetName val="배수공 시멘트 및 골재량 산출"/>
      <sheetName val="96노임기준"/>
      <sheetName val="깨기"/>
      <sheetName val="하부철근수량"/>
      <sheetName val="2000년1차"/>
      <sheetName val="적용기준"/>
      <sheetName val="실행내역 "/>
      <sheetName val="공사명입력"/>
      <sheetName val="근로자자료입력"/>
      <sheetName val="참고자료"/>
      <sheetName val="도급예산내역서봉투"/>
      <sheetName val="도급예산내역서총괄표"/>
      <sheetName val="설계산출표지"/>
      <sheetName val="을부담운반비"/>
      <sheetName val="운반비산출"/>
      <sheetName val="AS포장복구 "/>
      <sheetName val="평가데이터"/>
      <sheetName val="23"/>
      <sheetName val="출입자명단"/>
      <sheetName val="몰탈재료산출"/>
      <sheetName val="G.R300경비"/>
      <sheetName val="입출재고현황_(2)"/>
      <sheetName val="소상_&quot;1&quot;1"/>
      <sheetName val="플랜트_설치"/>
      <sheetName val="Sheet1_(2)"/>
      <sheetName val="BASIC_(2)"/>
      <sheetName val="변압기_및_발전기_용량"/>
      <sheetName val="교각철근_(기초)"/>
      <sheetName val="교각철근_(구체+기초)"/>
      <sheetName val="40총괄"/>
      <sheetName val="40집계"/>
      <sheetName val="우棌"/>
      <sheetName val="총_x0000_ϭ"/>
      <sheetName val="우륀"/>
      <sheetName val="식재ط"/>
      <sheetName val="총요약서"/>
      <sheetName val="전기자료"/>
      <sheetName val="구조물철거타공정이월"/>
      <sheetName val="수목데이타 "/>
      <sheetName val="토공(우물통,기타)_2"/>
      <sheetName val="내역서_(2)2"/>
      <sheetName val="횡_연장2"/>
      <sheetName val="횡_연장"/>
      <sheetName val="토공(우물통,기타)_1"/>
      <sheetName val="내역서_(2)1"/>
      <sheetName val="횡_연장1"/>
      <sheetName val="지주토목내역서"/>
      <sheetName val="일위대가(건축)"/>
      <sheetName val="6. 직접경비"/>
      <sheetName val="DS기성최종"/>
      <sheetName val="DS설변내역서"/>
      <sheetName val="단가_1_"/>
      <sheetName val="물량표"/>
      <sheetName val="본사공가현황"/>
      <sheetName val="BSD (2)"/>
      <sheetName val="직접인건비"/>
      <sheetName val="직접경비"/>
      <sheetName val=""/>
      <sheetName val="VENDOR LIST"/>
      <sheetName val="물가자료"/>
      <sheetName val="부대집계1"/>
      <sheetName val="가도단위"/>
      <sheetName val="Sheet4"/>
      <sheetName val="C.배수관공"/>
      <sheetName val="비용"/>
      <sheetName val="4.2.1 마루높이 검토"/>
      <sheetName val="타견적(을)"/>
      <sheetName val="SANTOGO"/>
      <sheetName val="SANBAISU"/>
      <sheetName val="역T형교대(말뚝기초)"/>
      <sheetName val="오존실배관내역"/>
      <sheetName val="특별교실"/>
      <sheetName val="EPro"/>
      <sheetName val="토적표"/>
      <sheetName val="Front"/>
      <sheetName val="관로공표지"/>
      <sheetName val="기계경비일람"/>
      <sheetName val="설계서을"/>
      <sheetName val="단 box"/>
      <sheetName val="INFO"/>
      <sheetName val="지장물C"/>
      <sheetName val="단면치수"/>
      <sheetName val="사  업  비  수  지  예  산  서"/>
      <sheetName val="암거(내역)"/>
      <sheetName val="2001년 건설노임"/>
      <sheetName val="98지급계획"/>
      <sheetName val="맨홀수량산출"/>
      <sheetName val="E.P.T수량산출서"/>
      <sheetName val="교각별수량"/>
      <sheetName val="단가일람"/>
      <sheetName val="단가적용기준"/>
      <sheetName val="대로근거"/>
      <sheetName val="산근1"/>
      <sheetName val="장비"/>
      <sheetName val="노무"/>
      <sheetName val="돈암사업"/>
      <sheetName val="옹벽1"/>
      <sheetName val="사용성검토"/>
      <sheetName val="깨기수량"/>
      <sheetName val="Oper_Amount"/>
      <sheetName val="8_PILE__(돌출)"/>
      <sheetName val="조도계산서__도서_"/>
      <sheetName val="암거집계_"/>
      <sheetName val="원가_(2)"/>
      <sheetName val="3련_BOX"/>
      <sheetName val="TRE_TABLE"/>
      <sheetName val="노무비_근거"/>
      <sheetName val="_HIT-&gt;HMC_견적(3900)"/>
      <sheetName val="단가표_"/>
      <sheetName val="Cost_bd-&quot;A&quot;"/>
      <sheetName val="전선_및_전선관"/>
      <sheetName val="_견적서"/>
      <sheetName val="보험료산출"/>
      <sheetName val="PIPE내역(FCN)"/>
      <sheetName val="설비내역서"/>
      <sheetName val="전기내역서"/>
      <sheetName val="SW개발대상목록(기능점수)"/>
      <sheetName val="9.1지하2층하부보"/>
      <sheetName val="anchor"/>
      <sheetName val="서울대규장각_가시설흙막이_"/>
      <sheetName val="기본DATA"/>
      <sheetName val="STEEL BOX 단면설계(SEC.8)"/>
      <sheetName val="FOOTING단면력"/>
      <sheetName val="빗물받이(910-510-410)"/>
      <sheetName val="1. 설계서-갑지"/>
      <sheetName val="2. 설계서-을지"/>
      <sheetName val="3. 산출기계"/>
      <sheetName val="4. 산출전기"/>
      <sheetName val="5. 일위대가목록"/>
      <sheetName val="6. 일위대가 "/>
      <sheetName val="7. 물가조사"/>
      <sheetName val="8. 견적대비"/>
      <sheetName val="9. 시중노임"/>
      <sheetName val="회사기초자료"/>
      <sheetName val="단漰_x001d_潼"/>
      <sheetName val="참조"/>
      <sheetName val="단락전류-A"/>
      <sheetName val="군자4교하부-Ö_x0000_"/>
      <sheetName val="일위목차"/>
      <sheetName val="24.보증금(전신전화가입권)"/>
      <sheetName val="계정code"/>
      <sheetName val="시산표"/>
      <sheetName val="비교1"/>
      <sheetName val="실행예산서"/>
      <sheetName val="종합단가표"/>
      <sheetName val="F4-F7"/>
      <sheetName val="woo(mac)"/>
      <sheetName val="구천"/>
      <sheetName val="실행내역서_1"/>
      <sheetName val="예시_(수정_및_삭제금지)"/>
      <sheetName val="CHITIET_VL-NC"/>
      <sheetName val="DON_GIA"/>
      <sheetName val="7_경제성결과"/>
      <sheetName val="I_설계조건"/>
      <sheetName val="배수내역_(2)"/>
      <sheetName val="1__설계조건_2_단면가정_3__하중계산"/>
      <sheetName val="DATA_입력란"/>
      <sheetName val="수량산출서_(2)"/>
      <sheetName val="배수공_시멘트_및_골재량_산출"/>
      <sheetName val="배관배선_단가조사"/>
      <sheetName val="환기시설_(1)"/>
      <sheetName val="환기시설_(2)"/>
      <sheetName val="EQUIPMENT_-2"/>
      <sheetName val="수량산출서_갑지"/>
      <sheetName val="영상단가대비표_"/>
      <sheetName val="_냉각수펌프"/>
      <sheetName val="설계예산서(2016년_보안등_신설공사_단가계약-)_xls"/>
      <sheetName val="3BL공동구_수량"/>
      <sheetName val="L형_옹벽"/>
      <sheetName val="우수공"/>
      <sheetName val="8-3기계경비"/>
      <sheetName val="공통(20-91)"/>
      <sheetName val="궤간정정"/>
      <sheetName val="면(37)"/>
      <sheetName val="면맞춤593-693"/>
      <sheetName val="줄(37)"/>
      <sheetName val="줄맞춤"/>
      <sheetName val="유간(37)"/>
      <sheetName val="유간정정"/>
      <sheetName val="처짐(37)"/>
      <sheetName val="이음처짐"/>
      <sheetName val="위치(37)"/>
      <sheetName val="위치정정"/>
      <sheetName val="다지기(37)"/>
      <sheetName val="총다지기"/>
      <sheetName val="자갈치기(37)"/>
      <sheetName val="자갈치기"/>
      <sheetName val="분기보수"/>
      <sheetName val="기타721-739"/>
      <sheetName val="골재집계"/>
      <sheetName val="공종별 집계"/>
      <sheetName val="호안공"/>
      <sheetName val="H-PILE수량집계"/>
      <sheetName val="하도관리"/>
      <sheetName val="확약서"/>
      <sheetName val="석축설면"/>
      <sheetName val="초기화면"/>
      <sheetName val="중기단가목록"/>
      <sheetName val="설계내역서"/>
      <sheetName val="일위내역"/>
      <sheetName val="지급자재조서"/>
      <sheetName val="1.2.1 마루높이결정"/>
      <sheetName val="3.공통공사대비"/>
      <sheetName val="총蚨ϖ"/>
      <sheetName val="총蓨ώ"/>
      <sheetName val="총벝l"/>
      <sheetName val="총벝ê"/>
      <sheetName val="현장식당(1)"/>
      <sheetName val="가시설단위수량"/>
      <sheetName val="eq_data"/>
      <sheetName val="현장관리비"/>
      <sheetName val="경비2내역"/>
      <sheetName val="95년12월말"/>
      <sheetName val="basic_info"/>
      <sheetName val="구조물터파기수량집계"/>
      <sheetName val="제품별"/>
      <sheetName val="내역_ver1.0"/>
      <sheetName val="일위총괄표"/>
      <sheetName val="증감내역서"/>
      <sheetName val="범례표"/>
      <sheetName val="투찰"/>
      <sheetName val="총_x0002__x0000_"/>
      <sheetName val="기계공사"/>
      <sheetName val="외천교"/>
      <sheetName val="총_x0010__x0000_"/>
      <sheetName val="총肸"/>
      <sheetName val="총Ῐᅯ"/>
      <sheetName val="총葨ù"/>
      <sheetName val="총_x0005__x0000_"/>
      <sheetName val="공통부대비"/>
      <sheetName val="회로내역(승인䠎"/>
      <sheetName val="회로내역(승인Ԉ"/>
      <sheetName val="근생APT-신마감"/>
      <sheetName val="복지관_FIART"/>
      <sheetName val="근생APT-FIART"/>
      <sheetName val="근생-FIART"/>
      <sheetName val="부적합유형"/>
      <sheetName val="부적합 유형"/>
      <sheetName val="6공구(당초)"/>
      <sheetName val="1.개요"/>
      <sheetName val="05년"/>
      <sheetName val="잔공사현황"/>
      <sheetName val="시설물일위"/>
      <sheetName val="일반수량총괄집계"/>
      <sheetName val="교량data"/>
      <sheetName val="주식"/>
      <sheetName val="TOTAL.xls"/>
      <sheetName val="분양가표"/>
      <sheetName val="토공"/>
      <sheetName val="Bill 2.2 Villa 2 beds"/>
      <sheetName val="一発シート"/>
      <sheetName val="기초분물량표"/>
      <sheetName val="설치물량표"/>
      <sheetName val="철거분물량표"/>
      <sheetName val="원설계"/>
      <sheetName val="수량"/>
      <sheetName val="부표단가,총괄표"/>
      <sheetName val="진고설계"/>
      <sheetName val="벽산건설"/>
      <sheetName val="FORM-0"/>
      <sheetName val="노무비(전지2기)"/>
      <sheetName val="노임단가표"/>
      <sheetName val="소일위대가코드표"/>
      <sheetName val="Calcs"/>
      <sheetName val="설계내역"/>
      <sheetName val="표지 (2)"/>
      <sheetName val="건축공사 집계표"/>
      <sheetName val="골조"/>
      <sheetName val="sheet10"/>
      <sheetName val="단면 (2)"/>
      <sheetName val="수량산출서-2"/>
      <sheetName val="7 th"/>
      <sheetName val="3.CCTV설비공사"/>
      <sheetName val="품셈TABLE"/>
      <sheetName val="시점교대"/>
      <sheetName val="총괄BOQ"/>
      <sheetName val="골조시행"/>
      <sheetName val="BOX1"/>
      <sheetName val="연습"/>
      <sheetName val="유지관_x0000_"/>
      <sheetName val="이름정의"/>
      <sheetName val="설계산출기초"/>
      <sheetName val="계수시트"/>
      <sheetName val="c_balju"/>
      <sheetName val="식재품셈"/>
      <sheetName val="원가서"/>
      <sheetName val="데이터"/>
      <sheetName val=" 내역"/>
      <sheetName val="수목단가"/>
      <sheetName val="시설수량표"/>
      <sheetName val="식재수량표"/>
      <sheetName val="가압장구체수량산출서"/>
      <sheetName val="자  재"/>
      <sheetName val="건축외주"/>
      <sheetName val="양수장"/>
      <sheetName val="양수장내역"/>
      <sheetName val="내역(전체)"/>
      <sheetName val="입력"/>
      <sheetName val="AS복구"/>
      <sheetName val="중기터파기"/>
      <sheetName val="변수값"/>
      <sheetName val="중기상차"/>
      <sheetName val="설계예산서"/>
      <sheetName val="노무단가"/>
      <sheetName val="EQ-R1"/>
      <sheetName val="인건비 "/>
      <sheetName val="전체내역 (2)"/>
      <sheetName val="DOGI"/>
      <sheetName val="물가시세표"/>
      <sheetName val="감액총괄표"/>
      <sheetName val="내역(영일)"/>
      <sheetName val="산근"/>
      <sheetName val="C_DATA"/>
      <sheetName val="품셈표"/>
      <sheetName val="공내역"/>
      <sheetName val="[TOTAL.xls]______D_2001_______3"/>
      <sheetName val="[TOTAL.xls]______D_2001_______2"/>
      <sheetName val="[TOTAL.xls]______D_2001_______4"/>
      <sheetName val="REINF."/>
      <sheetName val="SKETCH"/>
      <sheetName val="LOADS"/>
      <sheetName val="design criteria"/>
      <sheetName val="CHECK1"/>
      <sheetName val="소요자재명세서2"/>
      <sheetName val="원본"/>
      <sheetName val="총"/>
      <sheetName val="총缀⇐"/>
      <sheetName val="총䮘໪"/>
      <sheetName val="총ꘓÀ"/>
      <sheetName val="총鎠ັ"/>
      <sheetName val="총㳨⎱"/>
      <sheetName val="총౐ʥ"/>
      <sheetName val="총ꊐ˕"/>
      <sheetName val="총ꊐʮ"/>
      <sheetName val="집수정(600-700)"/>
      <sheetName val="남춘천IC접속_x0000__x0000__x0005__x0000_"/>
      <sheetName val="진행 DATA (2)"/>
      <sheetName val="품의양"/>
      <sheetName val="[TOTAL.xls]______D_2001_______5"/>
      <sheetName val="[TOTAL.xls]______D_2001_______6"/>
      <sheetName val="[TOTAL.xls]______D_2001_______7"/>
      <sheetName val="철근량"/>
      <sheetName val="총 괄 표"/>
      <sheetName val="배수장공사비"/>
      <sheetName val="횡배수관"/>
      <sheetName val="주형"/>
      <sheetName val="중간부"/>
      <sheetName val="안정검토(온1"/>
      <sheetName val="안정검토(온1렷"/>
      <sheetName val="총_xdfcc_"/>
      <sheetName val="암거ၒ"/>
      <sheetName val="b"/>
      <sheetName val="3BL공동구 수_x0000_"/>
      <sheetName val="3BL공동구 수嚠"/>
      <sheetName val="3BL공동구 수吐"/>
      <sheetName val="간접"/>
      <sheetName val="총焘ʒ"/>
      <sheetName val="총̉"/>
      <sheetName val="우_xdb4a_"/>
      <sheetName val="금주1교"/>
      <sheetName val="신림자금"/>
      <sheetName val=" 총괄표"/>
      <sheetName val="총_x005f_x0000_ϭ"/>
      <sheetName val="총_x005f_x0002__x005f_x0000_"/>
      <sheetName val="총_x005f_x0005__x005f_x0000_"/>
      <sheetName val="유지관_x005f_x0000_"/>
      <sheetName val="총_x005f_xdfcc_"/>
      <sheetName val="총_x005f_x0010__x005f_x0000_"/>
      <sheetName val="군자4교하부-Ö_x005f_x0000_"/>
      <sheetName val="단漰_x005f_x001d_潼"/>
      <sheetName val="TARGȞ$"/>
      <sheetName val="안정검토(온1蠷"/>
      <sheetName val="안정검토(온1ჿ"/>
      <sheetName val="옹벽"/>
      <sheetName val="rpcc"/>
      <sheetName val="Assets"/>
      <sheetName val="CC Down load 0716"/>
      <sheetName val="END직무"/>
      <sheetName val="linehaul cost model (2)"/>
      <sheetName val="__Data__"/>
      <sheetName val="Common Wheat"/>
      <sheetName val="トピックス"/>
      <sheetName val="2 카드채권(대출포함)"/>
      <sheetName val="Trans"/>
      <sheetName val="날개벽(시점좌측)"/>
      <sheetName val="은행코드"/>
      <sheetName val="단가 (2)"/>
      <sheetName val="하수급견적대비"/>
      <sheetName val="산거각호표"/>
      <sheetName val="예산명세서"/>
      <sheetName val="1-3_조건,바닥판_"/>
      <sheetName val="입고장부_(4)"/>
      <sheetName val="TABLE_DB"/>
      <sheetName val="쌍용_data_base"/>
      <sheetName val="3_현장배치"/>
      <sheetName val="실행내역_"/>
      <sheetName val="AS포장복구_"/>
      <sheetName val="총집계표"/>
      <sheetName val="공양식"/>
      <sheetName val="TEST1"/>
      <sheetName val="조작대(1연)"/>
      <sheetName val="차선도색수량집계"/>
      <sheetName val="VS P-Q"/>
      <sheetName val="내역서01"/>
      <sheetName val="지사인원사무실"/>
      <sheetName val="자재목록"/>
      <sheetName val="중기목록"/>
      <sheetName val="안정검토(온1瀀"/>
      <sheetName val="안정검토(온1瀕"/>
      <sheetName val="식재퀀濟叏"/>
      <sheetName val="식재က"/>
      <sheetName val="식재Ⴒ꿦휅"/>
      <sheetName val="98NS-N"/>
      <sheetName val="내역(입찰)"/>
      <sheetName val="제안서입력"/>
      <sheetName val="절감계산"/>
      <sheetName val="일반부표"/>
      <sheetName val="일위산출"/>
      <sheetName val="J형측구단위수량"/>
      <sheetName val="횡배수관집현황_2공구_"/>
      <sheetName val="입찰내역 발주처 양식"/>
      <sheetName val="[TOTAL.xls]___________________2"/>
      <sheetName val="교량"/>
      <sheetName val="산출내역서"/>
      <sheetName val="전기일위목록"/>
      <sheetName val="안_x0000__x0000_"/>
      <sheetName val="수량산출서 (ૐƴ"/>
      <sheetName val="수량산출서 (柖"/>
      <sheetName val="수량산출서 (_x0000__x0000_"/>
      <sheetName val="수량산출서 (葔ǯ"/>
      <sheetName val="예산계획"/>
      <sheetName val="본댐설계"/>
      <sheetName val="anaysis_sheet"/>
      <sheetName val="재무가정"/>
      <sheetName val="1"/>
      <sheetName val="관람석제출"/>
      <sheetName val="암거날개벽"/>
      <sheetName val="X68"/>
      <sheetName val="2.대외공문"/>
      <sheetName val="생산DATA"/>
      <sheetName val="판매DATA"/>
      <sheetName val="평가차손90"/>
      <sheetName val="DAT(목표)"/>
      <sheetName val="생산"/>
      <sheetName val="진도현황"/>
      <sheetName val="controll"/>
      <sheetName val="CoA map"/>
      <sheetName val="선급비용"/>
      <sheetName val="대외공문"/>
      <sheetName val="견적 (2)"/>
      <sheetName val="평균H"/>
      <sheetName val="암거단위-1련"/>
      <sheetName val="순공사비"/>
      <sheetName val="아파트 "/>
      <sheetName val="금융"/>
      <sheetName val="Sch7a (토요일)"/>
      <sheetName val="개산공사비"/>
      <sheetName val="tower 10ton"/>
      <sheetName val="eq. mobilization"/>
      <sheetName val="업무처리전"/>
      <sheetName val="설비_(FAB)"/>
      <sheetName val="식재인부"/>
      <sheetName val="조도계산"/>
      <sheetName val="pile bearing capa &amp; arrenge"/>
      <sheetName val="design load"/>
      <sheetName val="working load at the btm ft."/>
      <sheetName val="stability check"/>
      <sheetName val="시중노임단가"/>
      <sheetName val="costing_ESDV"/>
      <sheetName val="costing_FE"/>
      <sheetName val="costing_MOV"/>
      <sheetName val="costing_Press"/>
      <sheetName val="2.재료비"/>
      <sheetName val="1.인건비"/>
      <sheetName val="유화"/>
      <sheetName val="견적내역서"/>
      <sheetName val="설계조정율"/>
      <sheetName val="내역(2000년)"/>
      <sheetName val="일집"/>
      <sheetName val="쌍송교"/>
      <sheetName val="5.모델링"/>
      <sheetName val="인부신상자료"/>
      <sheetName val="TARG＠ͷ"/>
      <sheetName val="설䨕쟛ꀀ"/>
      <sheetName val="DHEQSU_x0000__x0000_"/>
      <sheetName val="고객리스트 담당자"/>
      <sheetName val="C.C RIAL접지"/>
      <sheetName val="전선관부설(1)"/>
      <sheetName val="전선관부설(2)"/>
      <sheetName val="조명TOWER보호대기초"/>
      <sheetName val="울타리기둥기초"/>
      <sheetName val="PAD TR보호대기초"/>
      <sheetName val="울타리출입문기초"/>
      <sheetName val="조명탑기초-32m용"/>
      <sheetName val="조명탑기초-20m용"/>
      <sheetName val="PAD TR 기초"/>
      <sheetName val="CCTV POLE기초"/>
      <sheetName val="차량신호등철주기초"/>
      <sheetName val="보행신호등기초"/>
      <sheetName val="조명제어반기초"/>
      <sheetName val="맨홀(&quot;A&quot; TYPE)"/>
      <sheetName val="맨홀(&quot;B&quot; TYPE)"/>
      <sheetName val="맨홀(&quot;C&quot; TYPE)"/>
      <sheetName val="HANDHOLE"/>
      <sheetName val="HANDHOLE(2)"/>
      <sheetName val="예가표"/>
      <sheetName val="PANEL_중량산출2"/>
      <sheetName val="plan&amp;section_of_foundation2"/>
      <sheetName val="노원열병합__건축공사기성내역서2"/>
      <sheetName val="실행내역서_2"/>
      <sheetName val="CT_2"/>
      <sheetName val="2F_회의실견적(5_14_일대)2"/>
      <sheetName val="조도계산서_(도서)2"/>
      <sheetName val="화재_탐지_설비2"/>
      <sheetName val="변압기_및_발전기_용량1"/>
      <sheetName val="96물가_CODE2"/>
      <sheetName val="sum1_(2)1"/>
      <sheetName val="1_설계조건1"/>
      <sheetName val="CP-E2_(품셈표)2"/>
      <sheetName val="전차선로_물량표1"/>
      <sheetName val="반중력식옹벽3_51"/>
      <sheetName val="신규_수주분(사용자_정의)1"/>
      <sheetName val="소상_&quot;1&quot;2"/>
      <sheetName val="11월_가격1"/>
      <sheetName val="1000_DB구축_부표1"/>
      <sheetName val="6PILE__(돌출)1"/>
      <sheetName val="남양시작동자105노65기1_3화1_21"/>
      <sheetName val="별표_1"/>
      <sheetName val="전선_및_전선관1"/>
      <sheetName val="11_단가비교표_1"/>
      <sheetName val="16_기계경비산출내역_1"/>
      <sheetName val="7_1_자재단가표(케이블)1"/>
      <sheetName val="토공(우물통,기타)_3"/>
      <sheetName val="준검_내역서1"/>
      <sheetName val="여방토공_1"/>
      <sheetName val="내역서1999_8최종1"/>
      <sheetName val="견적대비_견적서1"/>
      <sheetName val="내역서_(2)3"/>
      <sheetName val="Data_Vol1"/>
      <sheetName val="Galaxy_소비자가격표1"/>
      <sheetName val="BASIC_(2)1"/>
      <sheetName val="플랜트_설치1"/>
      <sheetName val="입출재고현황_(2)1"/>
      <sheetName val="Sheet1_(2)1"/>
      <sheetName val="Oper_Amount1"/>
      <sheetName val="8_PILE__(돌출)1"/>
      <sheetName val="_견적서1"/>
      <sheetName val="1__설계조건_2_단면가정_3__하중계산1"/>
      <sheetName val="DATA_입력란1"/>
      <sheetName val="I_설계조건1"/>
      <sheetName val="배수내역_(2)1"/>
      <sheetName val="7_경제성결과1"/>
      <sheetName val="Cost_bd-&quot;A&quot;1"/>
      <sheetName val="교각철근_(기초)1"/>
      <sheetName val="교각철근_(구체+기초)1"/>
      <sheetName val="3련_BOX1"/>
      <sheetName val="조도계산서__도서_1"/>
      <sheetName val="원가_(2)1"/>
      <sheetName val="TRE_TABLE1"/>
      <sheetName val="횡_연장3"/>
      <sheetName val="수량산출서_(2)1"/>
      <sheetName val="_HIT-&gt;HMC_견적(3900)1"/>
      <sheetName val="암거집계_1"/>
      <sheetName val="단가표_1"/>
      <sheetName val="노무비_근거1"/>
      <sheetName val="CHITIET_VL-NC1"/>
      <sheetName val="DON_GIA1"/>
      <sheetName val="배관배선_단가조사1"/>
      <sheetName val="EQUIPMENT_-21"/>
      <sheetName val="수량산출서_갑지1"/>
      <sheetName val="1-3_조건,바닥판_1"/>
      <sheetName val="입고장부_(4)1"/>
      <sheetName val="환기시설_(1)1"/>
      <sheetName val="환기시설_(2)1"/>
      <sheetName val="예시_(수정_및_삭제금지)1"/>
      <sheetName val="3BL공동구_수량1"/>
      <sheetName val="L형_옹벽1"/>
      <sheetName val="설계예산서(2016년_보안등_신설공사_단가계약-)_xl1"/>
      <sheetName val="Site_Expenses"/>
      <sheetName val="TABLE_DB1"/>
      <sheetName val="쌍용_data_base1"/>
      <sheetName val="_냉각수펌프1"/>
      <sheetName val="배수공_시멘트_및_골재량_산출1"/>
      <sheetName val="실행내역_1"/>
      <sheetName val="AS포장복구_1"/>
      <sheetName val="BSD_(2)"/>
      <sheetName val="Customer_Databas"/>
      <sheetName val="C_배수관공"/>
      <sheetName val="4_2_1_마루높이_검토"/>
      <sheetName val="3_현장배치1"/>
      <sheetName val="단가대비표_표지"/>
      <sheetName val="영상단가대비표_1"/>
      <sheetName val="단_box"/>
      <sheetName val="내역_ver1_0"/>
      <sheetName val="사__업__비__수__지__예__산__서"/>
      <sheetName val="VENDOR_LIST"/>
      <sheetName val="G_R300경비"/>
      <sheetName val="수목데이타_"/>
      <sheetName val="6__직접경비"/>
      <sheetName val="2001년_건설노임"/>
      <sheetName val="E_P_T수량산출서"/>
      <sheetName val="11_자재단가"/>
      <sheetName val="9_1지하2층하부보"/>
      <sheetName val="표지_(2)"/>
      <sheetName val="단가_(2)"/>
      <sheetName val="STEEL_BOX_단면설계(SEC_8)"/>
      <sheetName val="1__설계서-갑지"/>
      <sheetName val="2__설계서-을지"/>
      <sheetName val="3__산출기계"/>
      <sheetName val="4__산출전기"/>
      <sheetName val="5__일위대가목록"/>
      <sheetName val="6__일위대가_"/>
      <sheetName val="7__물가조사"/>
      <sheetName val="8__견적대비"/>
      <sheetName val="9__시중노임"/>
      <sheetName val="24_보증금(전신전화가입권)"/>
      <sheetName val="3_공통공사대비"/>
      <sheetName val="단면_(2)"/>
      <sheetName val="단漰潼"/>
      <sheetName val="부적합_유형"/>
      <sheetName val="1_개요"/>
      <sheetName val="인건비_"/>
      <sheetName val="3_CCTV설비공사"/>
      <sheetName val="Prices"/>
      <sheetName val="대비표"/>
      <sheetName val="P-J"/>
      <sheetName val="인부노임"/>
      <sheetName val="물가대비표"/>
      <sheetName val="조정금액결과표 (차수별)"/>
      <sheetName val="견적3"/>
      <sheetName val="매입세"/>
      <sheetName val="취합표"/>
      <sheetName val="물량산출"/>
      <sheetName val="대상공사(조_x0011__x0000__x0000_"/>
      <sheetName val="입찰"/>
      <sheetName val="본공사"/>
      <sheetName val="현경"/>
      <sheetName val="투찰금액"/>
      <sheetName val="BOX날개벽"/>
      <sheetName val="음봉방향"/>
      <sheetName val="GI-LIST"/>
      <sheetName val="工관리비율"/>
      <sheetName val="건축2"/>
      <sheetName val="변경증감내역서"/>
      <sheetName val="충주"/>
      <sheetName val="특수선일위대가"/>
      <sheetName val="공문(신)"/>
      <sheetName val="입찰보고"/>
      <sheetName val="TTL"/>
      <sheetName val="흄관기초"/>
      <sheetName val="1.설계기준 "/>
      <sheetName val="1차 내역서"/>
      <sheetName val="(포장)BOQ-실적공사"/>
      <sheetName val="DAN"/>
      <sheetName val="백호우계수"/>
      <sheetName val="노무비단가"/>
      <sheetName val="가도공"/>
      <sheetName val="GEN"/>
      <sheetName val="배수내역"/>
      <sheetName val="집 계 표"/>
      <sheetName val="업무분장"/>
      <sheetName val="설계명세"/>
      <sheetName val="CAT_5"/>
      <sheetName val="도급자재"/>
      <sheetName val="실행(표지,갑,을)"/>
      <sheetName val="의정부문예회관변경내역"/>
      <sheetName val="가설개략"/>
      <sheetName val="hvac(제어동)"/>
      <sheetName val="일위대가(목록)"/>
      <sheetName val="급수공사"/>
      <sheetName val="공통비"/>
      <sheetName val="WEON"/>
      <sheetName val="b_balju_cho"/>
      <sheetName val="샘플표⁑"/>
      <sheetName val="샘플표⣨"/>
      <sheetName val="샘플표쁑"/>
      <sheetName val="샘플표샨"/>
      <sheetName val="9811"/>
      <sheetName val="조건 (A)"/>
      <sheetName val="_______________2021______2021_2"/>
      <sheetName val="ITB COST"/>
      <sheetName val="Bill_2_2_Villa_2_beds"/>
      <sheetName val="BREAKDOWN(철거설치_x0011_"/>
      <sheetName val="BREAKDOWN(철거설치Æ"/>
      <sheetName val="인천제철"/>
      <sheetName val="일위집계표"/>
      <sheetName val="7.PILE  (돌출)"/>
      <sheetName val="연령_x0000__x0000_"/>
      <sheetName val="2.1  노무비 평균단가산출"/>
      <sheetName val="토적계산서"/>
      <sheetName val="공사요율"/>
      <sheetName val="1.설계기준"/>
      <sheetName val="계측-정부노임단가"/>
      <sheetName val="보차도경계석"/>
      <sheetName val="CPM챠트"/>
      <sheetName val="안"/>
      <sheetName val="노임단가명세표"/>
      <sheetName val="단중표"/>
      <sheetName val="초기화면1"/>
      <sheetName val="교각토공"/>
      <sheetName val="각형맨홀"/>
      <sheetName val="FRP배관단가(만수)"/>
      <sheetName val="만수배관단가"/>
      <sheetName val="공종별_집계"/>
      <sheetName val="VS_P-Q"/>
      <sheetName val="1_2_1_마루높이결정"/>
      <sheetName val="2_대외공문"/>
      <sheetName val="CoA_map"/>
      <sheetName val="7_th"/>
      <sheetName val="건축공사_집계표"/>
      <sheetName val="진행_DATA_(2)"/>
      <sheetName val="CC_Down_load_0716"/>
      <sheetName val="linehaul_cost_model_(2)"/>
      <sheetName val="Common_Wheat"/>
      <sheetName val="2_카드채권(대출포함)"/>
      <sheetName val="견적_(2)"/>
      <sheetName val="아파트_"/>
      <sheetName val="tower_10ton"/>
      <sheetName val="전체내역_(2)"/>
      <sheetName val="입찰내역_발주처_양식"/>
      <sheetName val="Sch7a_(토요일)"/>
      <sheetName val="총_괄_표"/>
      <sheetName val="가설건물"/>
      <sheetName val="MEMORY"/>
      <sheetName val="파일"/>
      <sheetName val="지원5월"/>
      <sheetName val="예산조서"/>
      <sheetName val="CAPVC"/>
      <sheetName val="kich thuoc"/>
      <sheetName val="DTHH"/>
      <sheetName val="시멘트"/>
      <sheetName val="_Users_USER_Downloads_________2"/>
      <sheetName val="실행예산"/>
      <sheetName val="군자4교하부-ז_x0000_"/>
      <sheetName val="지명 안내게시판"/>
      <sheetName val="기계상세"/>
      <sheetName val="FC-101"/>
      <sheetName val="TB-내역서"/>
      <sheetName val="SILICATE"/>
      <sheetName val="Option"/>
      <sheetName val="BLR-S"/>
      <sheetName val="뜃맟뭁돽띿맟?-BLDG"/>
      <sheetName val="원가계산(샷시포함총괄ESC)"/>
      <sheetName val="현장경비"/>
      <sheetName val="장비가동"/>
      <sheetName val="샘플표⃨"/>
      <sheetName val="총괄뀀"/>
      <sheetName val="실내건축일위대가"/>
      <sheetName val="제잡비계산"/>
      <sheetName val="지불내역(장비비)"/>
      <sheetName val="VVVVVVVa"/>
      <sheetName val="h-013211-2"/>
      <sheetName val="토목내역"/>
      <sheetName val=" 갑  지 "/>
      <sheetName val="BM"/>
      <sheetName val="Adimi bldg"/>
      <sheetName val="Pump House"/>
      <sheetName val="Fuel Regu Station"/>
      <sheetName val="G2설비도급"/>
      <sheetName val="DUT-BAT1"/>
      <sheetName val="총Ć_x0000_"/>
      <sheetName val="CAUDIT"/>
      <sheetName val="적용환율"/>
      <sheetName val="경계석수량집계"/>
      <sheetName val="Thick"/>
      <sheetName val="총?"/>
      <sheetName val="간접비"/>
      <sheetName val="차량구입"/>
      <sheetName val="안정검토(온1ȕ"/>
      <sheetName val="토류Y_x0000_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공사대장"/>
    </sheetNames>
    <sheetDataSet>
      <sheetData sheetId="0" refreshError="1"/>
      <sheetData sheetId="1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  <row r="5">
          <cell r="A5">
            <v>5</v>
          </cell>
        </row>
        <row r="6">
          <cell r="A6">
            <v>6</v>
          </cell>
        </row>
        <row r="7">
          <cell r="A7">
            <v>7</v>
          </cell>
        </row>
        <row r="8">
          <cell r="A8">
            <v>8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  <row r="14">
          <cell r="A14">
            <v>14</v>
          </cell>
        </row>
        <row r="15">
          <cell r="A15">
            <v>15</v>
          </cell>
        </row>
        <row r="16">
          <cell r="A16">
            <v>16</v>
          </cell>
        </row>
        <row r="17">
          <cell r="A17">
            <v>17</v>
          </cell>
        </row>
        <row r="18">
          <cell r="A18">
            <v>18</v>
          </cell>
        </row>
        <row r="19">
          <cell r="A19">
            <v>19</v>
          </cell>
        </row>
        <row r="20">
          <cell r="A20">
            <v>20</v>
          </cell>
        </row>
        <row r="21">
          <cell r="A21">
            <v>21</v>
          </cell>
        </row>
        <row r="22">
          <cell r="A22">
            <v>22</v>
          </cell>
        </row>
        <row r="23">
          <cell r="A23">
            <v>23</v>
          </cell>
        </row>
        <row r="24">
          <cell r="A24">
            <v>24</v>
          </cell>
        </row>
        <row r="25">
          <cell r="A25">
            <v>25</v>
          </cell>
        </row>
        <row r="26">
          <cell r="A26">
            <v>26</v>
          </cell>
        </row>
        <row r="27">
          <cell r="A27">
            <v>27</v>
          </cell>
        </row>
        <row r="28">
          <cell r="A28">
            <v>28</v>
          </cell>
        </row>
        <row r="29">
          <cell r="A29">
            <v>29</v>
          </cell>
        </row>
        <row r="30">
          <cell r="A30">
            <v>30</v>
          </cell>
        </row>
        <row r="31">
          <cell r="A31">
            <v>31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34</v>
          </cell>
        </row>
        <row r="35">
          <cell r="A35">
            <v>35</v>
          </cell>
        </row>
        <row r="36">
          <cell r="A36">
            <v>36</v>
          </cell>
        </row>
        <row r="37">
          <cell r="A37">
            <v>37</v>
          </cell>
        </row>
        <row r="38">
          <cell r="A38">
            <v>38</v>
          </cell>
        </row>
        <row r="39">
          <cell r="A39">
            <v>39</v>
          </cell>
        </row>
        <row r="40">
          <cell r="A40">
            <v>40</v>
          </cell>
        </row>
        <row r="41">
          <cell r="A41">
            <v>41</v>
          </cell>
        </row>
        <row r="42">
          <cell r="A42">
            <v>42</v>
          </cell>
        </row>
        <row r="43">
          <cell r="A43">
            <v>43</v>
          </cell>
        </row>
        <row r="44">
          <cell r="A44">
            <v>44</v>
          </cell>
        </row>
        <row r="45">
          <cell r="A45">
            <v>45</v>
          </cell>
        </row>
        <row r="46">
          <cell r="A46">
            <v>46</v>
          </cell>
        </row>
        <row r="47">
          <cell r="A47">
            <v>47</v>
          </cell>
        </row>
        <row r="48">
          <cell r="A48">
            <v>48</v>
          </cell>
        </row>
        <row r="49">
          <cell r="A49">
            <v>49</v>
          </cell>
        </row>
        <row r="50">
          <cell r="A50">
            <v>50</v>
          </cell>
        </row>
        <row r="51">
          <cell r="A51">
            <v>51</v>
          </cell>
        </row>
        <row r="52">
          <cell r="A52">
            <v>52</v>
          </cell>
        </row>
        <row r="53">
          <cell r="A53">
            <v>53</v>
          </cell>
        </row>
        <row r="54">
          <cell r="A54">
            <v>54</v>
          </cell>
        </row>
        <row r="55">
          <cell r="A55">
            <v>55</v>
          </cell>
        </row>
        <row r="56">
          <cell r="A56">
            <v>56</v>
          </cell>
        </row>
        <row r="57">
          <cell r="A57">
            <v>57</v>
          </cell>
        </row>
        <row r="58">
          <cell r="A58">
            <v>58</v>
          </cell>
        </row>
        <row r="59">
          <cell r="A59">
            <v>59</v>
          </cell>
        </row>
        <row r="60">
          <cell r="A60">
            <v>60</v>
          </cell>
        </row>
        <row r="61">
          <cell r="A61">
            <v>61</v>
          </cell>
        </row>
        <row r="62">
          <cell r="A62">
            <v>62</v>
          </cell>
        </row>
        <row r="63">
          <cell r="A63">
            <v>63</v>
          </cell>
        </row>
        <row r="64">
          <cell r="A64">
            <v>64</v>
          </cell>
        </row>
        <row r="65">
          <cell r="A65">
            <v>65</v>
          </cell>
        </row>
        <row r="66">
          <cell r="A66">
            <v>66</v>
          </cell>
        </row>
        <row r="67">
          <cell r="A67">
            <v>67</v>
          </cell>
        </row>
        <row r="68">
          <cell r="A68">
            <v>68</v>
          </cell>
        </row>
        <row r="69">
          <cell r="A69">
            <v>69</v>
          </cell>
        </row>
        <row r="70">
          <cell r="A70">
            <v>70</v>
          </cell>
        </row>
        <row r="71">
          <cell r="A71">
            <v>71</v>
          </cell>
        </row>
        <row r="72">
          <cell r="A72">
            <v>72</v>
          </cell>
        </row>
        <row r="73">
          <cell r="A73">
            <v>73</v>
          </cell>
        </row>
        <row r="74">
          <cell r="A74">
            <v>74</v>
          </cell>
        </row>
        <row r="75">
          <cell r="A75">
            <v>75</v>
          </cell>
        </row>
        <row r="76">
          <cell r="A76">
            <v>76</v>
          </cell>
        </row>
        <row r="77">
          <cell r="A77">
            <v>77</v>
          </cell>
        </row>
        <row r="78">
          <cell r="A78">
            <v>78</v>
          </cell>
        </row>
        <row r="79">
          <cell r="A79">
            <v>79</v>
          </cell>
        </row>
        <row r="80">
          <cell r="A80">
            <v>80</v>
          </cell>
        </row>
        <row r="81">
          <cell r="A81">
            <v>81</v>
          </cell>
        </row>
        <row r="82">
          <cell r="A82">
            <v>82</v>
          </cell>
        </row>
        <row r="83">
          <cell r="A83">
            <v>83</v>
          </cell>
        </row>
        <row r="84">
          <cell r="A84">
            <v>84</v>
          </cell>
        </row>
        <row r="85">
          <cell r="A85">
            <v>85</v>
          </cell>
        </row>
        <row r="86">
          <cell r="A86">
            <v>86</v>
          </cell>
        </row>
        <row r="87">
          <cell r="A87">
            <v>87</v>
          </cell>
        </row>
        <row r="88">
          <cell r="A88">
            <v>88</v>
          </cell>
        </row>
        <row r="89">
          <cell r="A89">
            <v>89</v>
          </cell>
        </row>
        <row r="90">
          <cell r="A90">
            <v>90</v>
          </cell>
        </row>
        <row r="91">
          <cell r="A91">
            <v>91</v>
          </cell>
        </row>
        <row r="92">
          <cell r="A92">
            <v>92</v>
          </cell>
        </row>
        <row r="93">
          <cell r="A93">
            <v>93</v>
          </cell>
        </row>
        <row r="94">
          <cell r="A94">
            <v>94</v>
          </cell>
        </row>
        <row r="95">
          <cell r="A95">
            <v>95</v>
          </cell>
        </row>
        <row r="96">
          <cell r="A96">
            <v>96</v>
          </cell>
        </row>
        <row r="97">
          <cell r="A97">
            <v>97</v>
          </cell>
        </row>
        <row r="98">
          <cell r="A98">
            <v>98</v>
          </cell>
        </row>
        <row r="99">
          <cell r="A99">
            <v>99</v>
          </cell>
        </row>
        <row r="100">
          <cell r="A100">
            <v>100</v>
          </cell>
        </row>
        <row r="101">
          <cell r="A101">
            <v>101</v>
          </cell>
        </row>
        <row r="102">
          <cell r="A102">
            <v>102</v>
          </cell>
        </row>
        <row r="103">
          <cell r="A103">
            <v>103</v>
          </cell>
        </row>
        <row r="104">
          <cell r="A104">
            <v>104</v>
          </cell>
        </row>
        <row r="105">
          <cell r="A105">
            <v>105</v>
          </cell>
        </row>
        <row r="106">
          <cell r="A106">
            <v>106</v>
          </cell>
        </row>
        <row r="107">
          <cell r="A107">
            <v>107</v>
          </cell>
        </row>
        <row r="108">
          <cell r="A108">
            <v>108</v>
          </cell>
        </row>
        <row r="109">
          <cell r="A109">
            <v>109</v>
          </cell>
        </row>
        <row r="110">
          <cell r="A110">
            <v>110</v>
          </cell>
        </row>
        <row r="111">
          <cell r="A111">
            <v>111</v>
          </cell>
        </row>
        <row r="112">
          <cell r="A112">
            <v>112</v>
          </cell>
        </row>
        <row r="113">
          <cell r="A113">
            <v>113</v>
          </cell>
        </row>
        <row r="114">
          <cell r="A114">
            <v>114</v>
          </cell>
        </row>
        <row r="115">
          <cell r="A115">
            <v>115</v>
          </cell>
        </row>
        <row r="116">
          <cell r="A116">
            <v>116</v>
          </cell>
        </row>
        <row r="117">
          <cell r="A117">
            <v>117</v>
          </cell>
        </row>
        <row r="118">
          <cell r="A118">
            <v>118</v>
          </cell>
        </row>
        <row r="119">
          <cell r="A119">
            <v>119</v>
          </cell>
        </row>
        <row r="120">
          <cell r="A120">
            <v>120</v>
          </cell>
        </row>
        <row r="121">
          <cell r="A121">
            <v>121</v>
          </cell>
        </row>
        <row r="122">
          <cell r="A122">
            <v>122</v>
          </cell>
        </row>
        <row r="123">
          <cell r="A123">
            <v>123</v>
          </cell>
        </row>
        <row r="124">
          <cell r="A124">
            <v>124</v>
          </cell>
        </row>
        <row r="125">
          <cell r="A125">
            <v>125</v>
          </cell>
        </row>
        <row r="126">
          <cell r="A126">
            <v>126</v>
          </cell>
        </row>
        <row r="127">
          <cell r="A127">
            <v>127</v>
          </cell>
        </row>
        <row r="128">
          <cell r="A128">
            <v>128</v>
          </cell>
        </row>
        <row r="129">
          <cell r="A129">
            <v>129</v>
          </cell>
        </row>
        <row r="130">
          <cell r="A130">
            <v>130</v>
          </cell>
        </row>
        <row r="131">
          <cell r="A131">
            <v>131</v>
          </cell>
        </row>
        <row r="132">
          <cell r="A132">
            <v>132</v>
          </cell>
        </row>
        <row r="133">
          <cell r="A133">
            <v>133</v>
          </cell>
        </row>
        <row r="134">
          <cell r="A134">
            <v>134</v>
          </cell>
        </row>
        <row r="135">
          <cell r="A135">
            <v>135</v>
          </cell>
        </row>
        <row r="136">
          <cell r="A136">
            <v>136</v>
          </cell>
        </row>
        <row r="137">
          <cell r="A137">
            <v>137</v>
          </cell>
        </row>
        <row r="138">
          <cell r="A138">
            <v>138</v>
          </cell>
        </row>
        <row r="139">
          <cell r="A139">
            <v>139</v>
          </cell>
        </row>
        <row r="140">
          <cell r="A140">
            <v>140</v>
          </cell>
        </row>
        <row r="141">
          <cell r="A141">
            <v>141</v>
          </cell>
        </row>
        <row r="142">
          <cell r="A142">
            <v>142</v>
          </cell>
        </row>
        <row r="143">
          <cell r="A143">
            <v>143</v>
          </cell>
        </row>
        <row r="144">
          <cell r="A144">
            <v>144</v>
          </cell>
        </row>
        <row r="145">
          <cell r="A145">
            <v>145</v>
          </cell>
        </row>
        <row r="146">
          <cell r="A146">
            <v>146</v>
          </cell>
        </row>
        <row r="147">
          <cell r="A147">
            <v>147</v>
          </cell>
        </row>
        <row r="148">
          <cell r="A148">
            <v>148</v>
          </cell>
        </row>
        <row r="149">
          <cell r="A149">
            <v>149</v>
          </cell>
        </row>
        <row r="150">
          <cell r="A150">
            <v>150</v>
          </cell>
        </row>
        <row r="151">
          <cell r="A151">
            <v>151</v>
          </cell>
        </row>
        <row r="152">
          <cell r="A152">
            <v>152</v>
          </cell>
        </row>
        <row r="153">
          <cell r="A153">
            <v>153</v>
          </cell>
        </row>
        <row r="154">
          <cell r="A154">
            <v>154</v>
          </cell>
        </row>
        <row r="155">
          <cell r="A155">
            <v>155</v>
          </cell>
        </row>
        <row r="156">
          <cell r="A156">
            <v>156</v>
          </cell>
        </row>
        <row r="157">
          <cell r="A157">
            <v>157</v>
          </cell>
        </row>
        <row r="158">
          <cell r="A158">
            <v>158</v>
          </cell>
        </row>
        <row r="159">
          <cell r="A159">
            <v>159</v>
          </cell>
        </row>
        <row r="160">
          <cell r="A160">
            <v>160</v>
          </cell>
        </row>
        <row r="161">
          <cell r="A161">
            <v>161</v>
          </cell>
        </row>
        <row r="162">
          <cell r="A162">
            <v>162</v>
          </cell>
        </row>
        <row r="163">
          <cell r="A163">
            <v>163</v>
          </cell>
        </row>
        <row r="164">
          <cell r="A164">
            <v>164</v>
          </cell>
        </row>
        <row r="165">
          <cell r="A165">
            <v>165</v>
          </cell>
        </row>
        <row r="166">
          <cell r="A166">
            <v>166</v>
          </cell>
        </row>
        <row r="167">
          <cell r="A167">
            <v>167</v>
          </cell>
        </row>
        <row r="168">
          <cell r="A168">
            <v>168</v>
          </cell>
        </row>
        <row r="169">
          <cell r="A169">
            <v>169</v>
          </cell>
        </row>
        <row r="170">
          <cell r="A170">
            <v>170</v>
          </cell>
        </row>
        <row r="171">
          <cell r="A171">
            <v>171</v>
          </cell>
        </row>
        <row r="172">
          <cell r="A172">
            <v>172</v>
          </cell>
        </row>
        <row r="173">
          <cell r="A173">
            <v>173</v>
          </cell>
        </row>
        <row r="174">
          <cell r="A174">
            <v>174</v>
          </cell>
        </row>
        <row r="175">
          <cell r="A175">
            <v>175</v>
          </cell>
        </row>
        <row r="176">
          <cell r="A176">
            <v>176</v>
          </cell>
        </row>
        <row r="177">
          <cell r="A177">
            <v>177</v>
          </cell>
        </row>
        <row r="178">
          <cell r="A178">
            <v>178</v>
          </cell>
        </row>
        <row r="179">
          <cell r="A179">
            <v>179</v>
          </cell>
        </row>
        <row r="180">
          <cell r="A180">
            <v>180</v>
          </cell>
        </row>
        <row r="181">
          <cell r="A181">
            <v>181</v>
          </cell>
        </row>
        <row r="182">
          <cell r="A182">
            <v>182</v>
          </cell>
        </row>
        <row r="183">
          <cell r="A183">
            <v>183</v>
          </cell>
        </row>
        <row r="184">
          <cell r="A184">
            <v>184</v>
          </cell>
        </row>
        <row r="185">
          <cell r="A185">
            <v>185</v>
          </cell>
        </row>
        <row r="186">
          <cell r="A186">
            <v>186</v>
          </cell>
        </row>
        <row r="187">
          <cell r="A187">
            <v>187</v>
          </cell>
        </row>
        <row r="188">
          <cell r="A188">
            <v>188</v>
          </cell>
        </row>
        <row r="189">
          <cell r="A189">
            <v>189</v>
          </cell>
        </row>
        <row r="190">
          <cell r="A190">
            <v>190</v>
          </cell>
        </row>
        <row r="191">
          <cell r="A191">
            <v>191</v>
          </cell>
        </row>
        <row r="192">
          <cell r="A192">
            <v>192</v>
          </cell>
        </row>
        <row r="193">
          <cell r="A193">
            <v>193</v>
          </cell>
        </row>
        <row r="194">
          <cell r="A194">
            <v>194</v>
          </cell>
        </row>
        <row r="195">
          <cell r="A195">
            <v>195</v>
          </cell>
        </row>
        <row r="196">
          <cell r="A196">
            <v>196</v>
          </cell>
        </row>
        <row r="197">
          <cell r="A197">
            <v>197</v>
          </cell>
        </row>
        <row r="198">
          <cell r="A198">
            <v>198</v>
          </cell>
        </row>
        <row r="199">
          <cell r="A199">
            <v>199</v>
          </cell>
        </row>
        <row r="200">
          <cell r="A200">
            <v>200</v>
          </cell>
        </row>
        <row r="201">
          <cell r="A201">
            <v>201</v>
          </cell>
        </row>
        <row r="202">
          <cell r="A202">
            <v>202</v>
          </cell>
        </row>
        <row r="203">
          <cell r="A203">
            <v>203</v>
          </cell>
        </row>
        <row r="204">
          <cell r="A204">
            <v>204</v>
          </cell>
        </row>
        <row r="205">
          <cell r="A205">
            <v>205</v>
          </cell>
        </row>
        <row r="206">
          <cell r="A206">
            <v>206</v>
          </cell>
        </row>
        <row r="207">
          <cell r="A207">
            <v>207</v>
          </cell>
        </row>
        <row r="208">
          <cell r="A208">
            <v>208</v>
          </cell>
        </row>
        <row r="209">
          <cell r="A209">
            <v>209</v>
          </cell>
        </row>
        <row r="210">
          <cell r="A210">
            <v>210</v>
          </cell>
        </row>
        <row r="211">
          <cell r="A211">
            <v>211</v>
          </cell>
        </row>
        <row r="212">
          <cell r="A212">
            <v>212</v>
          </cell>
        </row>
        <row r="213">
          <cell r="A213">
            <v>213</v>
          </cell>
        </row>
        <row r="214">
          <cell r="A214">
            <v>214</v>
          </cell>
        </row>
        <row r="215">
          <cell r="A215">
            <v>215</v>
          </cell>
        </row>
        <row r="216">
          <cell r="A216">
            <v>216</v>
          </cell>
        </row>
        <row r="217">
          <cell r="A217">
            <v>217</v>
          </cell>
        </row>
        <row r="218">
          <cell r="A218">
            <v>218</v>
          </cell>
        </row>
        <row r="219">
          <cell r="A219">
            <v>219</v>
          </cell>
        </row>
        <row r="220">
          <cell r="A220">
            <v>220</v>
          </cell>
        </row>
        <row r="221">
          <cell r="A221">
            <v>221</v>
          </cell>
        </row>
        <row r="222">
          <cell r="A222">
            <v>222</v>
          </cell>
        </row>
        <row r="223">
          <cell r="A223">
            <v>223</v>
          </cell>
        </row>
        <row r="224">
          <cell r="A224">
            <v>224</v>
          </cell>
        </row>
        <row r="225">
          <cell r="A225">
            <v>225</v>
          </cell>
        </row>
        <row r="226">
          <cell r="A226">
            <v>226</v>
          </cell>
        </row>
        <row r="227">
          <cell r="A227">
            <v>227</v>
          </cell>
        </row>
        <row r="228">
          <cell r="A228">
            <v>228</v>
          </cell>
        </row>
        <row r="229">
          <cell r="A229">
            <v>229</v>
          </cell>
        </row>
        <row r="230">
          <cell r="A230">
            <v>230</v>
          </cell>
        </row>
        <row r="231">
          <cell r="A231">
            <v>231</v>
          </cell>
        </row>
        <row r="232">
          <cell r="A232">
            <v>232</v>
          </cell>
        </row>
        <row r="233">
          <cell r="A233">
            <v>233</v>
          </cell>
        </row>
        <row r="234">
          <cell r="A234">
            <v>234</v>
          </cell>
        </row>
        <row r="235">
          <cell r="A235">
            <v>235</v>
          </cell>
        </row>
        <row r="236">
          <cell r="A236">
            <v>236</v>
          </cell>
        </row>
        <row r="237">
          <cell r="A237">
            <v>237</v>
          </cell>
        </row>
        <row r="238">
          <cell r="A238">
            <v>238</v>
          </cell>
        </row>
        <row r="239">
          <cell r="A239">
            <v>239</v>
          </cell>
        </row>
        <row r="240">
          <cell r="A240">
            <v>240</v>
          </cell>
        </row>
        <row r="241">
          <cell r="A241">
            <v>241</v>
          </cell>
        </row>
        <row r="242">
          <cell r="A242">
            <v>242</v>
          </cell>
        </row>
        <row r="243">
          <cell r="A243">
            <v>243</v>
          </cell>
        </row>
        <row r="244">
          <cell r="A244">
            <v>244</v>
          </cell>
        </row>
        <row r="245">
          <cell r="A245">
            <v>245</v>
          </cell>
        </row>
        <row r="246">
          <cell r="A246">
            <v>246</v>
          </cell>
        </row>
        <row r="247">
          <cell r="A247">
            <v>247</v>
          </cell>
        </row>
        <row r="248">
          <cell r="A248">
            <v>248</v>
          </cell>
        </row>
        <row r="249">
          <cell r="A249">
            <v>249</v>
          </cell>
        </row>
        <row r="250">
          <cell r="A250">
            <v>250</v>
          </cell>
        </row>
        <row r="251">
          <cell r="A251">
            <v>251</v>
          </cell>
        </row>
        <row r="252">
          <cell r="A252">
            <v>252</v>
          </cell>
        </row>
        <row r="253">
          <cell r="A253">
            <v>253</v>
          </cell>
        </row>
        <row r="254">
          <cell r="A254">
            <v>254</v>
          </cell>
        </row>
        <row r="255">
          <cell r="A255">
            <v>255</v>
          </cell>
        </row>
        <row r="256">
          <cell r="A256">
            <v>256</v>
          </cell>
        </row>
        <row r="257">
          <cell r="A257">
            <v>257</v>
          </cell>
        </row>
        <row r="258">
          <cell r="A258">
            <v>258</v>
          </cell>
        </row>
        <row r="259">
          <cell r="A259">
            <v>259</v>
          </cell>
        </row>
        <row r="260">
          <cell r="A260">
            <v>260</v>
          </cell>
        </row>
        <row r="261">
          <cell r="A261">
            <v>261</v>
          </cell>
        </row>
        <row r="262">
          <cell r="A262">
            <v>262</v>
          </cell>
        </row>
        <row r="263">
          <cell r="A263">
            <v>263</v>
          </cell>
        </row>
        <row r="264">
          <cell r="A264">
            <v>264</v>
          </cell>
        </row>
        <row r="265">
          <cell r="A265">
            <v>265</v>
          </cell>
        </row>
        <row r="266">
          <cell r="A266">
            <v>266</v>
          </cell>
        </row>
        <row r="267">
          <cell r="A267">
            <v>267</v>
          </cell>
        </row>
        <row r="268">
          <cell r="A268">
            <v>268</v>
          </cell>
        </row>
        <row r="269">
          <cell r="A269">
            <v>269</v>
          </cell>
        </row>
        <row r="270">
          <cell r="A270">
            <v>270</v>
          </cell>
        </row>
        <row r="271">
          <cell r="A271">
            <v>271</v>
          </cell>
        </row>
        <row r="272">
          <cell r="A272">
            <v>272</v>
          </cell>
        </row>
        <row r="273">
          <cell r="A273">
            <v>273</v>
          </cell>
        </row>
        <row r="274">
          <cell r="A274">
            <v>274</v>
          </cell>
        </row>
        <row r="275">
          <cell r="A275">
            <v>275</v>
          </cell>
        </row>
        <row r="276">
          <cell r="A276">
            <v>276</v>
          </cell>
        </row>
        <row r="277">
          <cell r="A277">
            <v>277</v>
          </cell>
        </row>
        <row r="278">
          <cell r="A278">
            <v>278</v>
          </cell>
        </row>
        <row r="279">
          <cell r="A279">
            <v>279</v>
          </cell>
        </row>
        <row r="280">
          <cell r="A280">
            <v>280</v>
          </cell>
        </row>
        <row r="281">
          <cell r="A281">
            <v>281</v>
          </cell>
        </row>
        <row r="282">
          <cell r="A282">
            <v>282</v>
          </cell>
        </row>
        <row r="283">
          <cell r="A283">
            <v>283</v>
          </cell>
        </row>
        <row r="284">
          <cell r="A284">
            <v>284</v>
          </cell>
        </row>
        <row r="285">
          <cell r="A285">
            <v>285</v>
          </cell>
        </row>
        <row r="286">
          <cell r="A286">
            <v>286</v>
          </cell>
        </row>
        <row r="287">
          <cell r="A287">
            <v>287</v>
          </cell>
        </row>
        <row r="288">
          <cell r="A288">
            <v>288</v>
          </cell>
        </row>
        <row r="289">
          <cell r="A289">
            <v>289</v>
          </cell>
        </row>
        <row r="290">
          <cell r="A290">
            <v>290</v>
          </cell>
        </row>
        <row r="291">
          <cell r="A291">
            <v>291</v>
          </cell>
        </row>
        <row r="292">
          <cell r="A292">
            <v>292</v>
          </cell>
        </row>
        <row r="293">
          <cell r="A293">
            <v>293</v>
          </cell>
        </row>
        <row r="294">
          <cell r="A294">
            <v>294</v>
          </cell>
        </row>
        <row r="295">
          <cell r="A295">
            <v>295</v>
          </cell>
        </row>
        <row r="296">
          <cell r="A296">
            <v>296</v>
          </cell>
        </row>
        <row r="297">
          <cell r="A297">
            <v>297</v>
          </cell>
        </row>
        <row r="298">
          <cell r="A298">
            <v>298</v>
          </cell>
        </row>
        <row r="299">
          <cell r="A299">
            <v>299</v>
          </cell>
        </row>
        <row r="300">
          <cell r="A300">
            <v>300</v>
          </cell>
        </row>
        <row r="301">
          <cell r="A301">
            <v>301</v>
          </cell>
        </row>
        <row r="302">
          <cell r="A302">
            <v>302</v>
          </cell>
        </row>
        <row r="303">
          <cell r="A303">
            <v>303</v>
          </cell>
        </row>
        <row r="304">
          <cell r="A304">
            <v>304</v>
          </cell>
        </row>
        <row r="305">
          <cell r="A305">
            <v>305</v>
          </cell>
        </row>
        <row r="306">
          <cell r="A306">
            <v>306</v>
          </cell>
        </row>
        <row r="307">
          <cell r="A307">
            <v>307</v>
          </cell>
        </row>
        <row r="308">
          <cell r="A308">
            <v>308</v>
          </cell>
        </row>
        <row r="309">
          <cell r="A309">
            <v>309</v>
          </cell>
        </row>
        <row r="310">
          <cell r="A310">
            <v>310</v>
          </cell>
        </row>
        <row r="311">
          <cell r="A311">
            <v>311</v>
          </cell>
        </row>
        <row r="312">
          <cell r="A312">
            <v>312</v>
          </cell>
        </row>
        <row r="313">
          <cell r="A313">
            <v>313</v>
          </cell>
        </row>
        <row r="314">
          <cell r="A314">
            <v>314</v>
          </cell>
        </row>
        <row r="315">
          <cell r="A315">
            <v>315</v>
          </cell>
        </row>
        <row r="316">
          <cell r="A316">
            <v>316</v>
          </cell>
        </row>
        <row r="317">
          <cell r="A317">
            <v>317</v>
          </cell>
        </row>
        <row r="318">
          <cell r="A318">
            <v>318</v>
          </cell>
        </row>
        <row r="319">
          <cell r="A319">
            <v>319</v>
          </cell>
        </row>
        <row r="320">
          <cell r="A320">
            <v>320</v>
          </cell>
        </row>
        <row r="321">
          <cell r="A321">
            <v>321</v>
          </cell>
        </row>
        <row r="322">
          <cell r="A322">
            <v>322</v>
          </cell>
        </row>
        <row r="323">
          <cell r="A323">
            <v>323</v>
          </cell>
        </row>
        <row r="324">
          <cell r="A324">
            <v>324</v>
          </cell>
        </row>
        <row r="325">
          <cell r="A325">
            <v>325</v>
          </cell>
        </row>
        <row r="326">
          <cell r="A326">
            <v>326</v>
          </cell>
        </row>
        <row r="327">
          <cell r="A327">
            <v>327</v>
          </cell>
        </row>
        <row r="328">
          <cell r="A328">
            <v>328</v>
          </cell>
        </row>
        <row r="329">
          <cell r="A329">
            <v>329</v>
          </cell>
        </row>
        <row r="330">
          <cell r="A330">
            <v>330</v>
          </cell>
        </row>
        <row r="331">
          <cell r="A331">
            <v>331</v>
          </cell>
        </row>
        <row r="332">
          <cell r="A332">
            <v>332</v>
          </cell>
        </row>
        <row r="333">
          <cell r="A333">
            <v>333</v>
          </cell>
        </row>
        <row r="334">
          <cell r="A334">
            <v>334</v>
          </cell>
        </row>
        <row r="335">
          <cell r="A335">
            <v>335</v>
          </cell>
        </row>
        <row r="336">
          <cell r="A336">
            <v>336</v>
          </cell>
        </row>
        <row r="337">
          <cell r="A337">
            <v>337</v>
          </cell>
        </row>
        <row r="338">
          <cell r="A338">
            <v>338</v>
          </cell>
        </row>
        <row r="339">
          <cell r="A339">
            <v>339</v>
          </cell>
        </row>
        <row r="340">
          <cell r="A340">
            <v>340</v>
          </cell>
        </row>
        <row r="341">
          <cell r="A341">
            <v>341</v>
          </cell>
        </row>
        <row r="342">
          <cell r="A342">
            <v>342</v>
          </cell>
        </row>
        <row r="343">
          <cell r="A343">
            <v>343</v>
          </cell>
        </row>
        <row r="344">
          <cell r="A344">
            <v>344</v>
          </cell>
        </row>
        <row r="345">
          <cell r="A345">
            <v>345</v>
          </cell>
        </row>
        <row r="346">
          <cell r="A346">
            <v>346</v>
          </cell>
        </row>
        <row r="347">
          <cell r="A347">
            <v>347</v>
          </cell>
        </row>
        <row r="348">
          <cell r="A348">
            <v>348</v>
          </cell>
        </row>
        <row r="349">
          <cell r="A349">
            <v>349</v>
          </cell>
        </row>
        <row r="350">
          <cell r="A350">
            <v>350</v>
          </cell>
        </row>
        <row r="351">
          <cell r="A351">
            <v>351</v>
          </cell>
        </row>
        <row r="352">
          <cell r="A352">
            <v>352</v>
          </cell>
        </row>
        <row r="353">
          <cell r="A353">
            <v>353</v>
          </cell>
        </row>
        <row r="354">
          <cell r="A354">
            <v>354</v>
          </cell>
        </row>
        <row r="355">
          <cell r="A355">
            <v>355</v>
          </cell>
        </row>
        <row r="356">
          <cell r="A356">
            <v>356</v>
          </cell>
        </row>
        <row r="357">
          <cell r="A357">
            <v>357</v>
          </cell>
        </row>
        <row r="358">
          <cell r="A358">
            <v>358</v>
          </cell>
        </row>
        <row r="359">
          <cell r="A359">
            <v>359</v>
          </cell>
        </row>
        <row r="360">
          <cell r="A360">
            <v>360</v>
          </cell>
        </row>
        <row r="361">
          <cell r="A361">
            <v>361</v>
          </cell>
        </row>
        <row r="362">
          <cell r="A362">
            <v>362</v>
          </cell>
        </row>
        <row r="363">
          <cell r="A363">
            <v>363</v>
          </cell>
        </row>
        <row r="364">
          <cell r="A364">
            <v>364</v>
          </cell>
        </row>
        <row r="365">
          <cell r="A365">
            <v>365</v>
          </cell>
        </row>
        <row r="366">
          <cell r="A366">
            <v>366</v>
          </cell>
        </row>
        <row r="367">
          <cell r="A367">
            <v>367</v>
          </cell>
        </row>
        <row r="368">
          <cell r="A368">
            <v>368</v>
          </cell>
        </row>
        <row r="369">
          <cell r="A369">
            <v>369</v>
          </cell>
        </row>
        <row r="370">
          <cell r="A370">
            <v>370</v>
          </cell>
        </row>
        <row r="371">
          <cell r="A371">
            <v>371</v>
          </cell>
        </row>
        <row r="372">
          <cell r="A372">
            <v>372</v>
          </cell>
        </row>
        <row r="373">
          <cell r="A373">
            <v>373</v>
          </cell>
        </row>
        <row r="374">
          <cell r="A374">
            <v>374</v>
          </cell>
        </row>
        <row r="375">
          <cell r="A375">
            <v>375</v>
          </cell>
        </row>
        <row r="376">
          <cell r="A376">
            <v>376</v>
          </cell>
        </row>
        <row r="377">
          <cell r="A377">
            <v>377</v>
          </cell>
        </row>
        <row r="378">
          <cell r="A378">
            <v>378</v>
          </cell>
        </row>
        <row r="379">
          <cell r="A379">
            <v>379</v>
          </cell>
        </row>
        <row r="380">
          <cell r="A380">
            <v>380</v>
          </cell>
        </row>
        <row r="381">
          <cell r="A381">
            <v>381</v>
          </cell>
        </row>
        <row r="382">
          <cell r="A382">
            <v>382</v>
          </cell>
        </row>
        <row r="383">
          <cell r="A383">
            <v>383</v>
          </cell>
        </row>
        <row r="384">
          <cell r="A384">
            <v>384</v>
          </cell>
        </row>
        <row r="385">
          <cell r="A385">
            <v>385</v>
          </cell>
        </row>
        <row r="386">
          <cell r="A386">
            <v>386</v>
          </cell>
        </row>
        <row r="387">
          <cell r="A387">
            <v>387</v>
          </cell>
        </row>
        <row r="388">
          <cell r="A388">
            <v>388</v>
          </cell>
        </row>
        <row r="389">
          <cell r="A389">
            <v>389</v>
          </cell>
        </row>
        <row r="390">
          <cell r="A390">
            <v>390</v>
          </cell>
        </row>
        <row r="391">
          <cell r="A391">
            <v>391</v>
          </cell>
        </row>
        <row r="392">
          <cell r="A392">
            <v>392</v>
          </cell>
        </row>
        <row r="393">
          <cell r="A393">
            <v>393</v>
          </cell>
        </row>
        <row r="394">
          <cell r="A394">
            <v>394</v>
          </cell>
        </row>
        <row r="395">
          <cell r="A395">
            <v>395</v>
          </cell>
        </row>
        <row r="396">
          <cell r="A396">
            <v>396</v>
          </cell>
        </row>
        <row r="397">
          <cell r="A397">
            <v>397</v>
          </cell>
        </row>
        <row r="398">
          <cell r="A398">
            <v>398</v>
          </cell>
        </row>
        <row r="399">
          <cell r="A399">
            <v>399</v>
          </cell>
        </row>
        <row r="400">
          <cell r="A400">
            <v>400</v>
          </cell>
        </row>
        <row r="401">
          <cell r="A401">
            <v>401</v>
          </cell>
        </row>
        <row r="402">
          <cell r="A402">
            <v>402</v>
          </cell>
        </row>
        <row r="403">
          <cell r="A403">
            <v>403</v>
          </cell>
        </row>
        <row r="404">
          <cell r="A404">
            <v>404</v>
          </cell>
        </row>
        <row r="405">
          <cell r="A405">
            <v>405</v>
          </cell>
        </row>
        <row r="406">
          <cell r="A406">
            <v>406</v>
          </cell>
        </row>
        <row r="407">
          <cell r="A407">
            <v>407</v>
          </cell>
        </row>
        <row r="408">
          <cell r="A408">
            <v>408</v>
          </cell>
        </row>
        <row r="409">
          <cell r="A409">
            <v>409</v>
          </cell>
        </row>
        <row r="410">
          <cell r="A410">
            <v>410</v>
          </cell>
        </row>
        <row r="411">
          <cell r="A411">
            <v>411</v>
          </cell>
        </row>
        <row r="412">
          <cell r="A412">
            <v>412</v>
          </cell>
        </row>
        <row r="413">
          <cell r="A413">
            <v>413</v>
          </cell>
        </row>
        <row r="414">
          <cell r="A414">
            <v>414</v>
          </cell>
        </row>
        <row r="415">
          <cell r="A415">
            <v>415</v>
          </cell>
        </row>
        <row r="416">
          <cell r="A416">
            <v>416</v>
          </cell>
        </row>
        <row r="417">
          <cell r="A417">
            <v>417</v>
          </cell>
        </row>
        <row r="418">
          <cell r="A418">
            <v>418</v>
          </cell>
        </row>
        <row r="419">
          <cell r="A419">
            <v>419</v>
          </cell>
        </row>
        <row r="420">
          <cell r="A420">
            <v>420</v>
          </cell>
        </row>
        <row r="421">
          <cell r="A421">
            <v>421</v>
          </cell>
        </row>
        <row r="422">
          <cell r="A422">
            <v>422</v>
          </cell>
        </row>
        <row r="423">
          <cell r="A423">
            <v>423</v>
          </cell>
        </row>
        <row r="424">
          <cell r="A424">
            <v>424</v>
          </cell>
        </row>
        <row r="425">
          <cell r="A425">
            <v>425</v>
          </cell>
        </row>
        <row r="426">
          <cell r="A426">
            <v>426</v>
          </cell>
        </row>
        <row r="427">
          <cell r="A427">
            <v>427</v>
          </cell>
        </row>
        <row r="428">
          <cell r="A428">
            <v>428</v>
          </cell>
        </row>
        <row r="429">
          <cell r="A429">
            <v>429</v>
          </cell>
        </row>
        <row r="430">
          <cell r="A430">
            <v>430</v>
          </cell>
        </row>
        <row r="431">
          <cell r="A431">
            <v>431</v>
          </cell>
        </row>
        <row r="432">
          <cell r="A432">
            <v>432</v>
          </cell>
        </row>
        <row r="433">
          <cell r="A433">
            <v>433</v>
          </cell>
        </row>
        <row r="434">
          <cell r="A434">
            <v>434</v>
          </cell>
        </row>
        <row r="435">
          <cell r="A435">
            <v>435</v>
          </cell>
        </row>
        <row r="436">
          <cell r="A436">
            <v>436</v>
          </cell>
        </row>
        <row r="437">
          <cell r="A437">
            <v>437</v>
          </cell>
        </row>
        <row r="438">
          <cell r="A438">
            <v>438</v>
          </cell>
        </row>
        <row r="439">
          <cell r="A439">
            <v>439</v>
          </cell>
        </row>
        <row r="440">
          <cell r="A440">
            <v>440</v>
          </cell>
        </row>
        <row r="441">
          <cell r="A441">
            <v>441</v>
          </cell>
        </row>
        <row r="442">
          <cell r="A442">
            <v>442</v>
          </cell>
        </row>
        <row r="443">
          <cell r="A443">
            <v>443</v>
          </cell>
        </row>
        <row r="444">
          <cell r="A444">
            <v>444</v>
          </cell>
        </row>
        <row r="445">
          <cell r="A445">
            <v>445</v>
          </cell>
        </row>
        <row r="446">
          <cell r="A446">
            <v>446</v>
          </cell>
        </row>
        <row r="447">
          <cell r="A447">
            <v>447</v>
          </cell>
        </row>
        <row r="448">
          <cell r="A448">
            <v>448</v>
          </cell>
        </row>
        <row r="449">
          <cell r="A449">
            <v>449</v>
          </cell>
        </row>
        <row r="450">
          <cell r="A450">
            <v>450</v>
          </cell>
        </row>
        <row r="451">
          <cell r="A451">
            <v>451</v>
          </cell>
        </row>
        <row r="452">
          <cell r="A452">
            <v>452</v>
          </cell>
        </row>
        <row r="453">
          <cell r="A453">
            <v>453</v>
          </cell>
        </row>
        <row r="454">
          <cell r="A454">
            <v>454</v>
          </cell>
        </row>
        <row r="455">
          <cell r="A455">
            <v>455</v>
          </cell>
        </row>
        <row r="456">
          <cell r="A456">
            <v>456</v>
          </cell>
        </row>
        <row r="457">
          <cell r="A457">
            <v>457</v>
          </cell>
        </row>
        <row r="458">
          <cell r="A458">
            <v>458</v>
          </cell>
        </row>
        <row r="459">
          <cell r="A459">
            <v>459</v>
          </cell>
        </row>
        <row r="460">
          <cell r="A460">
            <v>460</v>
          </cell>
        </row>
        <row r="461">
          <cell r="A461">
            <v>461</v>
          </cell>
        </row>
        <row r="462">
          <cell r="A462">
            <v>462</v>
          </cell>
        </row>
        <row r="463">
          <cell r="A463">
            <v>463</v>
          </cell>
        </row>
        <row r="464">
          <cell r="A464">
            <v>464</v>
          </cell>
        </row>
        <row r="465">
          <cell r="A465">
            <v>465</v>
          </cell>
        </row>
        <row r="466">
          <cell r="A466">
            <v>466</v>
          </cell>
        </row>
        <row r="467">
          <cell r="A467">
            <v>467</v>
          </cell>
        </row>
        <row r="468">
          <cell r="A468">
            <v>468</v>
          </cell>
        </row>
        <row r="469">
          <cell r="A469">
            <v>469</v>
          </cell>
        </row>
        <row r="470">
          <cell r="A470">
            <v>470</v>
          </cell>
        </row>
        <row r="471">
          <cell r="A471">
            <v>471</v>
          </cell>
        </row>
        <row r="472">
          <cell r="A472">
            <v>472</v>
          </cell>
        </row>
        <row r="473">
          <cell r="A473">
            <v>473</v>
          </cell>
        </row>
        <row r="474">
          <cell r="A474">
            <v>474</v>
          </cell>
        </row>
        <row r="475">
          <cell r="A475">
            <v>475</v>
          </cell>
        </row>
        <row r="476">
          <cell r="A476">
            <v>476</v>
          </cell>
        </row>
        <row r="477">
          <cell r="A477">
            <v>477</v>
          </cell>
        </row>
        <row r="478">
          <cell r="A478">
            <v>478</v>
          </cell>
        </row>
        <row r="479">
          <cell r="A479">
            <v>479</v>
          </cell>
        </row>
        <row r="480">
          <cell r="A480">
            <v>480</v>
          </cell>
        </row>
        <row r="481">
          <cell r="A481">
            <v>481</v>
          </cell>
        </row>
        <row r="482">
          <cell r="A482">
            <v>482</v>
          </cell>
        </row>
        <row r="483">
          <cell r="A483">
            <v>483</v>
          </cell>
        </row>
        <row r="484">
          <cell r="A484">
            <v>484</v>
          </cell>
        </row>
        <row r="485">
          <cell r="A485">
            <v>485</v>
          </cell>
        </row>
        <row r="486">
          <cell r="A486">
            <v>486</v>
          </cell>
        </row>
        <row r="487">
          <cell r="A487">
            <v>487</v>
          </cell>
        </row>
        <row r="488">
          <cell r="A488">
            <v>488</v>
          </cell>
        </row>
        <row r="489">
          <cell r="A489">
            <v>489</v>
          </cell>
        </row>
        <row r="490">
          <cell r="A490">
            <v>490</v>
          </cell>
        </row>
        <row r="491">
          <cell r="A491">
            <v>491</v>
          </cell>
        </row>
        <row r="492">
          <cell r="A492">
            <v>492</v>
          </cell>
        </row>
        <row r="493">
          <cell r="A493">
            <v>493</v>
          </cell>
        </row>
        <row r="494">
          <cell r="A494">
            <v>494</v>
          </cell>
        </row>
        <row r="495">
          <cell r="A495">
            <v>495</v>
          </cell>
        </row>
        <row r="496">
          <cell r="A496">
            <v>496</v>
          </cell>
        </row>
        <row r="497">
          <cell r="A497">
            <v>497</v>
          </cell>
        </row>
        <row r="498">
          <cell r="A498">
            <v>498</v>
          </cell>
        </row>
        <row r="499">
          <cell r="A499">
            <v>499</v>
          </cell>
        </row>
        <row r="500">
          <cell r="A500">
            <v>500</v>
          </cell>
        </row>
        <row r="501">
          <cell r="A501">
            <v>501</v>
          </cell>
        </row>
        <row r="502">
          <cell r="A502">
            <v>502</v>
          </cell>
        </row>
        <row r="503">
          <cell r="A503">
            <v>503</v>
          </cell>
        </row>
        <row r="504">
          <cell r="A504">
            <v>504</v>
          </cell>
        </row>
        <row r="505">
          <cell r="A505">
            <v>505</v>
          </cell>
        </row>
        <row r="506">
          <cell r="A506">
            <v>506</v>
          </cell>
        </row>
        <row r="507">
          <cell r="A507">
            <v>507</v>
          </cell>
        </row>
        <row r="508">
          <cell r="A508">
            <v>508</v>
          </cell>
        </row>
        <row r="509">
          <cell r="A509">
            <v>509</v>
          </cell>
        </row>
        <row r="510">
          <cell r="A510">
            <v>510</v>
          </cell>
        </row>
        <row r="511">
          <cell r="A511">
            <v>511</v>
          </cell>
        </row>
        <row r="512">
          <cell r="A512">
            <v>512</v>
          </cell>
        </row>
        <row r="513">
          <cell r="A513">
            <v>513</v>
          </cell>
        </row>
        <row r="514">
          <cell r="A514">
            <v>514</v>
          </cell>
        </row>
        <row r="515">
          <cell r="A515">
            <v>515</v>
          </cell>
        </row>
        <row r="516">
          <cell r="A516">
            <v>516</v>
          </cell>
        </row>
        <row r="517">
          <cell r="A517">
            <v>517</v>
          </cell>
        </row>
        <row r="518">
          <cell r="A518">
            <v>518</v>
          </cell>
        </row>
        <row r="519">
          <cell r="A519">
            <v>519</v>
          </cell>
        </row>
        <row r="520">
          <cell r="A520">
            <v>520</v>
          </cell>
        </row>
        <row r="521">
          <cell r="A521">
            <v>521</v>
          </cell>
        </row>
        <row r="522">
          <cell r="A522">
            <v>522</v>
          </cell>
        </row>
        <row r="523">
          <cell r="A523">
            <v>523</v>
          </cell>
        </row>
        <row r="524">
          <cell r="A524">
            <v>524</v>
          </cell>
        </row>
        <row r="525">
          <cell r="A525">
            <v>525</v>
          </cell>
        </row>
        <row r="526">
          <cell r="A526">
            <v>526</v>
          </cell>
        </row>
        <row r="527">
          <cell r="A527">
            <v>527</v>
          </cell>
        </row>
        <row r="528">
          <cell r="A528">
            <v>528</v>
          </cell>
        </row>
        <row r="529">
          <cell r="A529">
            <v>529</v>
          </cell>
        </row>
        <row r="530">
          <cell r="A530">
            <v>530</v>
          </cell>
        </row>
        <row r="531">
          <cell r="A531">
            <v>531</v>
          </cell>
        </row>
        <row r="532">
          <cell r="A532">
            <v>532</v>
          </cell>
        </row>
        <row r="533">
          <cell r="A533">
            <v>533</v>
          </cell>
        </row>
        <row r="534">
          <cell r="A534">
            <v>534</v>
          </cell>
        </row>
        <row r="535">
          <cell r="A535">
            <v>535</v>
          </cell>
        </row>
        <row r="536">
          <cell r="A536">
            <v>536</v>
          </cell>
        </row>
        <row r="537">
          <cell r="A537">
            <v>537</v>
          </cell>
        </row>
        <row r="538">
          <cell r="A538">
            <v>538</v>
          </cell>
        </row>
        <row r="539">
          <cell r="A539">
            <v>539</v>
          </cell>
        </row>
        <row r="540">
          <cell r="A540">
            <v>540</v>
          </cell>
        </row>
        <row r="541">
          <cell r="A541">
            <v>541</v>
          </cell>
        </row>
        <row r="542">
          <cell r="A542">
            <v>542</v>
          </cell>
        </row>
        <row r="543">
          <cell r="A543">
            <v>543</v>
          </cell>
        </row>
        <row r="544">
          <cell r="A544">
            <v>544</v>
          </cell>
        </row>
        <row r="545">
          <cell r="A545">
            <v>545</v>
          </cell>
        </row>
        <row r="546">
          <cell r="A546">
            <v>546</v>
          </cell>
        </row>
        <row r="547">
          <cell r="A547">
            <v>547</v>
          </cell>
        </row>
        <row r="548">
          <cell r="A548">
            <v>548</v>
          </cell>
        </row>
        <row r="549">
          <cell r="A549">
            <v>549</v>
          </cell>
        </row>
        <row r="550">
          <cell r="A550">
            <v>550</v>
          </cell>
        </row>
        <row r="551">
          <cell r="A551">
            <v>551</v>
          </cell>
        </row>
        <row r="552">
          <cell r="A552">
            <v>552</v>
          </cell>
        </row>
        <row r="553">
          <cell r="A553">
            <v>553</v>
          </cell>
        </row>
        <row r="554">
          <cell r="A554">
            <v>554</v>
          </cell>
        </row>
        <row r="555">
          <cell r="A555">
            <v>555</v>
          </cell>
        </row>
        <row r="556">
          <cell r="A556">
            <v>556</v>
          </cell>
        </row>
        <row r="557">
          <cell r="A557">
            <v>557</v>
          </cell>
        </row>
        <row r="558">
          <cell r="A558">
            <v>558</v>
          </cell>
        </row>
        <row r="559">
          <cell r="A559">
            <v>559</v>
          </cell>
        </row>
        <row r="560">
          <cell r="A560">
            <v>560</v>
          </cell>
        </row>
        <row r="561">
          <cell r="A561">
            <v>561</v>
          </cell>
        </row>
        <row r="562">
          <cell r="A562">
            <v>562</v>
          </cell>
        </row>
        <row r="563">
          <cell r="A563">
            <v>563</v>
          </cell>
        </row>
        <row r="564">
          <cell r="A564">
            <v>564</v>
          </cell>
        </row>
        <row r="565">
          <cell r="A565">
            <v>565</v>
          </cell>
        </row>
        <row r="566">
          <cell r="A566">
            <v>566</v>
          </cell>
        </row>
        <row r="567">
          <cell r="A567">
            <v>567</v>
          </cell>
        </row>
        <row r="568">
          <cell r="A568">
            <v>568</v>
          </cell>
        </row>
        <row r="569">
          <cell r="A569">
            <v>569</v>
          </cell>
        </row>
        <row r="570">
          <cell r="A570">
            <v>570</v>
          </cell>
        </row>
        <row r="571">
          <cell r="A571">
            <v>571</v>
          </cell>
        </row>
        <row r="572">
          <cell r="A572">
            <v>572</v>
          </cell>
        </row>
        <row r="573">
          <cell r="A573">
            <v>573</v>
          </cell>
        </row>
        <row r="574">
          <cell r="A574">
            <v>574</v>
          </cell>
        </row>
        <row r="575">
          <cell r="A575">
            <v>575</v>
          </cell>
        </row>
        <row r="576">
          <cell r="A576">
            <v>576</v>
          </cell>
        </row>
        <row r="577">
          <cell r="A577">
            <v>577</v>
          </cell>
        </row>
        <row r="578">
          <cell r="A578">
            <v>578</v>
          </cell>
        </row>
        <row r="579">
          <cell r="A579">
            <v>579</v>
          </cell>
        </row>
        <row r="580">
          <cell r="A580">
            <v>580</v>
          </cell>
        </row>
        <row r="581">
          <cell r="A581">
            <v>581</v>
          </cell>
        </row>
        <row r="582">
          <cell r="A582">
            <v>582</v>
          </cell>
        </row>
        <row r="583">
          <cell r="A583">
            <v>583</v>
          </cell>
        </row>
        <row r="584">
          <cell r="A584">
            <v>584</v>
          </cell>
        </row>
        <row r="585">
          <cell r="A585">
            <v>585</v>
          </cell>
        </row>
        <row r="586">
          <cell r="A586">
            <v>586</v>
          </cell>
        </row>
        <row r="587">
          <cell r="A587">
            <v>587</v>
          </cell>
        </row>
        <row r="588">
          <cell r="A588">
            <v>588</v>
          </cell>
        </row>
        <row r="589">
          <cell r="A589">
            <v>589</v>
          </cell>
        </row>
        <row r="590">
          <cell r="A590">
            <v>590</v>
          </cell>
        </row>
        <row r="591">
          <cell r="A591">
            <v>591</v>
          </cell>
        </row>
        <row r="592">
          <cell r="A592">
            <v>592</v>
          </cell>
        </row>
        <row r="593">
          <cell r="A593">
            <v>593</v>
          </cell>
        </row>
        <row r="594">
          <cell r="A594">
            <v>594</v>
          </cell>
        </row>
        <row r="595">
          <cell r="A595">
            <v>595</v>
          </cell>
        </row>
        <row r="596">
          <cell r="A596">
            <v>596</v>
          </cell>
        </row>
        <row r="597">
          <cell r="A597">
            <v>597</v>
          </cell>
        </row>
        <row r="598">
          <cell r="A598">
            <v>598</v>
          </cell>
        </row>
        <row r="599">
          <cell r="A599">
            <v>599</v>
          </cell>
        </row>
        <row r="600">
          <cell r="A600">
            <v>600</v>
          </cell>
        </row>
        <row r="601">
          <cell r="A601">
            <v>601</v>
          </cell>
        </row>
        <row r="602">
          <cell r="A602">
            <v>602</v>
          </cell>
        </row>
        <row r="603">
          <cell r="A603">
            <v>603</v>
          </cell>
        </row>
        <row r="604">
          <cell r="A604">
            <v>604</v>
          </cell>
        </row>
        <row r="605">
          <cell r="A605">
            <v>605</v>
          </cell>
        </row>
        <row r="606">
          <cell r="A606">
            <v>606</v>
          </cell>
        </row>
        <row r="607">
          <cell r="A607">
            <v>607</v>
          </cell>
        </row>
        <row r="608">
          <cell r="A608">
            <v>608</v>
          </cell>
        </row>
        <row r="609">
          <cell r="A609">
            <v>609</v>
          </cell>
        </row>
        <row r="610">
          <cell r="A610">
            <v>610</v>
          </cell>
        </row>
        <row r="611">
          <cell r="A611">
            <v>611</v>
          </cell>
        </row>
        <row r="612">
          <cell r="A612">
            <v>612</v>
          </cell>
        </row>
        <row r="613">
          <cell r="A613">
            <v>613</v>
          </cell>
        </row>
        <row r="614">
          <cell r="A614">
            <v>614</v>
          </cell>
        </row>
        <row r="615">
          <cell r="A615">
            <v>615</v>
          </cell>
        </row>
        <row r="616">
          <cell r="A616">
            <v>616</v>
          </cell>
        </row>
        <row r="617">
          <cell r="A617">
            <v>617</v>
          </cell>
        </row>
        <row r="618">
          <cell r="A618">
            <v>618</v>
          </cell>
        </row>
        <row r="619">
          <cell r="A619">
            <v>619</v>
          </cell>
        </row>
        <row r="620">
          <cell r="A620">
            <v>620</v>
          </cell>
        </row>
        <row r="621">
          <cell r="A621">
            <v>621</v>
          </cell>
        </row>
        <row r="622">
          <cell r="A622">
            <v>622</v>
          </cell>
        </row>
        <row r="623">
          <cell r="A623">
            <v>623</v>
          </cell>
        </row>
        <row r="624">
          <cell r="A624">
            <v>624</v>
          </cell>
        </row>
        <row r="625">
          <cell r="A625">
            <v>625</v>
          </cell>
        </row>
        <row r="626">
          <cell r="A626">
            <v>626</v>
          </cell>
        </row>
        <row r="627">
          <cell r="A627">
            <v>627</v>
          </cell>
        </row>
        <row r="628">
          <cell r="A628">
            <v>628</v>
          </cell>
        </row>
        <row r="629">
          <cell r="A629">
            <v>629</v>
          </cell>
        </row>
        <row r="630">
          <cell r="A630">
            <v>630</v>
          </cell>
        </row>
        <row r="631">
          <cell r="A631">
            <v>631</v>
          </cell>
        </row>
        <row r="632">
          <cell r="A632">
            <v>632</v>
          </cell>
        </row>
        <row r="633">
          <cell r="A633">
            <v>633</v>
          </cell>
        </row>
        <row r="634">
          <cell r="A634">
            <v>634</v>
          </cell>
        </row>
        <row r="635">
          <cell r="A635">
            <v>635</v>
          </cell>
        </row>
        <row r="636">
          <cell r="A636">
            <v>636</v>
          </cell>
        </row>
        <row r="637">
          <cell r="A637">
            <v>637</v>
          </cell>
        </row>
        <row r="638">
          <cell r="A638">
            <v>638</v>
          </cell>
        </row>
        <row r="639">
          <cell r="A639">
            <v>639</v>
          </cell>
        </row>
        <row r="640">
          <cell r="A640">
            <v>640</v>
          </cell>
        </row>
        <row r="641">
          <cell r="A641">
            <v>641</v>
          </cell>
        </row>
        <row r="642">
          <cell r="A642">
            <v>642</v>
          </cell>
        </row>
        <row r="643">
          <cell r="A643">
            <v>643</v>
          </cell>
        </row>
        <row r="644">
          <cell r="A644">
            <v>644</v>
          </cell>
        </row>
        <row r="645">
          <cell r="A645">
            <v>645</v>
          </cell>
        </row>
        <row r="646">
          <cell r="A646">
            <v>646</v>
          </cell>
        </row>
        <row r="647">
          <cell r="A647">
            <v>647</v>
          </cell>
        </row>
        <row r="648">
          <cell r="A648">
            <v>648</v>
          </cell>
        </row>
        <row r="649">
          <cell r="A649">
            <v>649</v>
          </cell>
        </row>
        <row r="650">
          <cell r="A650">
            <v>650</v>
          </cell>
        </row>
        <row r="651">
          <cell r="A651">
            <v>651</v>
          </cell>
        </row>
        <row r="652">
          <cell r="A652">
            <v>652</v>
          </cell>
        </row>
        <row r="653">
          <cell r="A653">
            <v>653</v>
          </cell>
        </row>
        <row r="654">
          <cell r="A654">
            <v>654</v>
          </cell>
        </row>
        <row r="655">
          <cell r="A655">
            <v>655</v>
          </cell>
        </row>
        <row r="656">
          <cell r="A656">
            <v>656</v>
          </cell>
        </row>
        <row r="657">
          <cell r="A657">
            <v>657</v>
          </cell>
        </row>
        <row r="658">
          <cell r="A658">
            <v>658</v>
          </cell>
        </row>
        <row r="659">
          <cell r="A659">
            <v>659</v>
          </cell>
        </row>
        <row r="660">
          <cell r="A660">
            <v>660</v>
          </cell>
        </row>
        <row r="661">
          <cell r="A661">
            <v>661</v>
          </cell>
        </row>
        <row r="662">
          <cell r="A662">
            <v>662</v>
          </cell>
        </row>
        <row r="663">
          <cell r="A663">
            <v>663</v>
          </cell>
        </row>
        <row r="664">
          <cell r="A664">
            <v>664</v>
          </cell>
        </row>
        <row r="665">
          <cell r="A665">
            <v>665</v>
          </cell>
        </row>
        <row r="666">
          <cell r="A666">
            <v>666</v>
          </cell>
        </row>
        <row r="667">
          <cell r="A667">
            <v>667</v>
          </cell>
        </row>
        <row r="668">
          <cell r="A668">
            <v>668</v>
          </cell>
        </row>
        <row r="669">
          <cell r="A669">
            <v>669</v>
          </cell>
        </row>
        <row r="670">
          <cell r="A670">
            <v>670</v>
          </cell>
        </row>
        <row r="671">
          <cell r="A671">
            <v>671</v>
          </cell>
        </row>
        <row r="672">
          <cell r="A672">
            <v>672</v>
          </cell>
        </row>
        <row r="673">
          <cell r="A673">
            <v>673</v>
          </cell>
        </row>
        <row r="674">
          <cell r="A674">
            <v>674</v>
          </cell>
        </row>
        <row r="675">
          <cell r="A675">
            <v>675</v>
          </cell>
        </row>
        <row r="676">
          <cell r="A676">
            <v>676</v>
          </cell>
        </row>
        <row r="677">
          <cell r="A677">
            <v>677</v>
          </cell>
        </row>
        <row r="678">
          <cell r="A678">
            <v>678</v>
          </cell>
        </row>
        <row r="679">
          <cell r="A679">
            <v>679</v>
          </cell>
        </row>
        <row r="680">
          <cell r="A680">
            <v>680</v>
          </cell>
        </row>
        <row r="681">
          <cell r="A681">
            <v>681</v>
          </cell>
        </row>
        <row r="682">
          <cell r="A682">
            <v>682</v>
          </cell>
        </row>
        <row r="683">
          <cell r="A683">
            <v>683</v>
          </cell>
        </row>
        <row r="684">
          <cell r="A684">
            <v>684</v>
          </cell>
        </row>
        <row r="685">
          <cell r="A685">
            <v>685</v>
          </cell>
        </row>
        <row r="686">
          <cell r="A686">
            <v>686</v>
          </cell>
        </row>
        <row r="687">
          <cell r="A687">
            <v>687</v>
          </cell>
        </row>
        <row r="688">
          <cell r="A688">
            <v>688</v>
          </cell>
        </row>
        <row r="689">
          <cell r="A689">
            <v>689</v>
          </cell>
        </row>
        <row r="690">
          <cell r="A690">
            <v>690</v>
          </cell>
        </row>
        <row r="691">
          <cell r="A691">
            <v>691</v>
          </cell>
        </row>
        <row r="692">
          <cell r="A692">
            <v>692</v>
          </cell>
        </row>
        <row r="693">
          <cell r="A693">
            <v>693</v>
          </cell>
        </row>
        <row r="694">
          <cell r="A694">
            <v>694</v>
          </cell>
        </row>
        <row r="695">
          <cell r="A695">
            <v>695</v>
          </cell>
        </row>
        <row r="696">
          <cell r="A696">
            <v>696</v>
          </cell>
        </row>
        <row r="697">
          <cell r="A697">
            <v>697</v>
          </cell>
        </row>
        <row r="698">
          <cell r="A698">
            <v>698</v>
          </cell>
        </row>
        <row r="699">
          <cell r="A699">
            <v>699</v>
          </cell>
        </row>
        <row r="700">
          <cell r="A700">
            <v>700</v>
          </cell>
        </row>
        <row r="701">
          <cell r="A701">
            <v>701</v>
          </cell>
        </row>
        <row r="702">
          <cell r="A702">
            <v>702</v>
          </cell>
        </row>
        <row r="703">
          <cell r="A703">
            <v>703</v>
          </cell>
        </row>
        <row r="704">
          <cell r="A704">
            <v>704</v>
          </cell>
        </row>
        <row r="705">
          <cell r="A705">
            <v>705</v>
          </cell>
        </row>
        <row r="706">
          <cell r="A706">
            <v>706</v>
          </cell>
        </row>
        <row r="707">
          <cell r="A707">
            <v>707</v>
          </cell>
        </row>
        <row r="708">
          <cell r="A708">
            <v>708</v>
          </cell>
        </row>
        <row r="709">
          <cell r="A709">
            <v>709</v>
          </cell>
        </row>
        <row r="710">
          <cell r="A710">
            <v>710</v>
          </cell>
        </row>
        <row r="711">
          <cell r="A711">
            <v>711</v>
          </cell>
        </row>
        <row r="712">
          <cell r="A712">
            <v>712</v>
          </cell>
        </row>
        <row r="713">
          <cell r="A713">
            <v>713</v>
          </cell>
        </row>
        <row r="714">
          <cell r="A714">
            <v>714</v>
          </cell>
        </row>
        <row r="715">
          <cell r="A715">
            <v>715</v>
          </cell>
        </row>
        <row r="716">
          <cell r="A716">
            <v>716</v>
          </cell>
        </row>
        <row r="717">
          <cell r="A717">
            <v>717</v>
          </cell>
        </row>
        <row r="718">
          <cell r="A718">
            <v>718</v>
          </cell>
        </row>
        <row r="719">
          <cell r="A719">
            <v>719</v>
          </cell>
        </row>
        <row r="720">
          <cell r="A720">
            <v>720</v>
          </cell>
        </row>
        <row r="721">
          <cell r="A721">
            <v>721</v>
          </cell>
        </row>
        <row r="722">
          <cell r="A722">
            <v>722</v>
          </cell>
        </row>
        <row r="723">
          <cell r="A723">
            <v>723</v>
          </cell>
        </row>
        <row r="724">
          <cell r="A724">
            <v>724</v>
          </cell>
        </row>
        <row r="725">
          <cell r="A725">
            <v>725</v>
          </cell>
        </row>
        <row r="726">
          <cell r="A726">
            <v>726</v>
          </cell>
        </row>
        <row r="727">
          <cell r="A727">
            <v>727</v>
          </cell>
        </row>
        <row r="728">
          <cell r="A728">
            <v>728</v>
          </cell>
        </row>
        <row r="729">
          <cell r="A729">
            <v>729</v>
          </cell>
        </row>
        <row r="730">
          <cell r="A730">
            <v>730</v>
          </cell>
        </row>
        <row r="731">
          <cell r="A731">
            <v>731</v>
          </cell>
        </row>
        <row r="732">
          <cell r="A732">
            <v>732</v>
          </cell>
        </row>
        <row r="733">
          <cell r="A733">
            <v>733</v>
          </cell>
        </row>
        <row r="734">
          <cell r="A734">
            <v>734</v>
          </cell>
        </row>
        <row r="735">
          <cell r="A735">
            <v>735</v>
          </cell>
        </row>
        <row r="736">
          <cell r="A736">
            <v>736</v>
          </cell>
        </row>
        <row r="737">
          <cell r="A737">
            <v>737</v>
          </cell>
        </row>
        <row r="738">
          <cell r="A738">
            <v>738</v>
          </cell>
        </row>
        <row r="739">
          <cell r="A739">
            <v>739</v>
          </cell>
        </row>
        <row r="740">
          <cell r="A740">
            <v>740</v>
          </cell>
        </row>
        <row r="741">
          <cell r="A741">
            <v>741</v>
          </cell>
        </row>
        <row r="742">
          <cell r="A742">
            <v>742</v>
          </cell>
        </row>
        <row r="743">
          <cell r="A743">
            <v>743</v>
          </cell>
        </row>
        <row r="744">
          <cell r="A744">
            <v>744</v>
          </cell>
        </row>
        <row r="745">
          <cell r="A745">
            <v>745</v>
          </cell>
        </row>
        <row r="746">
          <cell r="A746">
            <v>746</v>
          </cell>
        </row>
        <row r="747">
          <cell r="A747">
            <v>747</v>
          </cell>
        </row>
        <row r="748">
          <cell r="A748">
            <v>748</v>
          </cell>
        </row>
        <row r="749">
          <cell r="A749">
            <v>749</v>
          </cell>
        </row>
        <row r="750">
          <cell r="A750">
            <v>750</v>
          </cell>
        </row>
        <row r="751">
          <cell r="A751">
            <v>751</v>
          </cell>
        </row>
        <row r="752">
          <cell r="A752">
            <v>752</v>
          </cell>
        </row>
        <row r="753">
          <cell r="A753">
            <v>753</v>
          </cell>
        </row>
        <row r="754">
          <cell r="A754">
            <v>754</v>
          </cell>
        </row>
        <row r="755">
          <cell r="A755">
            <v>755</v>
          </cell>
        </row>
        <row r="756">
          <cell r="A756">
            <v>756</v>
          </cell>
        </row>
        <row r="757">
          <cell r="A757">
            <v>757</v>
          </cell>
        </row>
        <row r="758">
          <cell r="A758">
            <v>758</v>
          </cell>
        </row>
        <row r="759">
          <cell r="A759">
            <v>759</v>
          </cell>
        </row>
        <row r="760">
          <cell r="A760">
            <v>760</v>
          </cell>
        </row>
        <row r="761">
          <cell r="A761">
            <v>761</v>
          </cell>
        </row>
        <row r="762">
          <cell r="A762">
            <v>762</v>
          </cell>
        </row>
        <row r="763">
          <cell r="A763">
            <v>763</v>
          </cell>
        </row>
        <row r="764">
          <cell r="A764">
            <v>764</v>
          </cell>
        </row>
        <row r="765">
          <cell r="A765">
            <v>765</v>
          </cell>
        </row>
        <row r="766">
          <cell r="A766">
            <v>766</v>
          </cell>
        </row>
        <row r="767">
          <cell r="A767">
            <v>767</v>
          </cell>
        </row>
        <row r="768">
          <cell r="A768">
            <v>768</v>
          </cell>
        </row>
        <row r="769">
          <cell r="A769">
            <v>769</v>
          </cell>
        </row>
        <row r="770">
          <cell r="A770">
            <v>770</v>
          </cell>
        </row>
        <row r="771">
          <cell r="A771">
            <v>771</v>
          </cell>
        </row>
        <row r="772">
          <cell r="A772">
            <v>772</v>
          </cell>
        </row>
        <row r="773">
          <cell r="A773">
            <v>773</v>
          </cell>
        </row>
        <row r="774">
          <cell r="A774">
            <v>774</v>
          </cell>
        </row>
        <row r="775">
          <cell r="A775">
            <v>775</v>
          </cell>
        </row>
        <row r="776">
          <cell r="A776">
            <v>776</v>
          </cell>
        </row>
        <row r="777">
          <cell r="A777">
            <v>777</v>
          </cell>
        </row>
        <row r="778">
          <cell r="A778">
            <v>778</v>
          </cell>
        </row>
        <row r="779">
          <cell r="A779">
            <v>779</v>
          </cell>
        </row>
        <row r="780">
          <cell r="A780">
            <v>780</v>
          </cell>
        </row>
        <row r="781">
          <cell r="A781">
            <v>781</v>
          </cell>
        </row>
        <row r="782">
          <cell r="A782">
            <v>782</v>
          </cell>
        </row>
        <row r="783">
          <cell r="A783">
            <v>783</v>
          </cell>
        </row>
        <row r="784">
          <cell r="A784">
            <v>784</v>
          </cell>
        </row>
        <row r="785">
          <cell r="A785">
            <v>785</v>
          </cell>
        </row>
        <row r="786">
          <cell r="A786">
            <v>786</v>
          </cell>
        </row>
        <row r="787">
          <cell r="A787">
            <v>787</v>
          </cell>
        </row>
        <row r="788">
          <cell r="A788">
            <v>788</v>
          </cell>
        </row>
        <row r="789">
          <cell r="A789">
            <v>789</v>
          </cell>
        </row>
        <row r="790">
          <cell r="A790">
            <v>790</v>
          </cell>
        </row>
        <row r="791">
          <cell r="A791">
            <v>791</v>
          </cell>
        </row>
        <row r="792">
          <cell r="A792">
            <v>792</v>
          </cell>
        </row>
        <row r="793">
          <cell r="A793">
            <v>793</v>
          </cell>
        </row>
        <row r="794">
          <cell r="A794">
            <v>794</v>
          </cell>
        </row>
        <row r="795">
          <cell r="A795">
            <v>795</v>
          </cell>
        </row>
        <row r="796">
          <cell r="A796">
            <v>796</v>
          </cell>
        </row>
        <row r="797">
          <cell r="A797">
            <v>797</v>
          </cell>
        </row>
        <row r="798">
          <cell r="A798">
            <v>798</v>
          </cell>
        </row>
        <row r="799">
          <cell r="A799">
            <v>799</v>
          </cell>
        </row>
        <row r="800">
          <cell r="A800">
            <v>800</v>
          </cell>
        </row>
        <row r="801">
          <cell r="A801">
            <v>801</v>
          </cell>
        </row>
        <row r="802">
          <cell r="A802">
            <v>802</v>
          </cell>
        </row>
        <row r="803">
          <cell r="A803">
            <v>803</v>
          </cell>
        </row>
        <row r="804">
          <cell r="A804">
            <v>804</v>
          </cell>
        </row>
        <row r="805">
          <cell r="A805">
            <v>805</v>
          </cell>
        </row>
        <row r="806">
          <cell r="A806">
            <v>806</v>
          </cell>
        </row>
        <row r="807">
          <cell r="A807">
            <v>807</v>
          </cell>
        </row>
        <row r="808">
          <cell r="A808">
            <v>808</v>
          </cell>
        </row>
        <row r="809">
          <cell r="A809">
            <v>809</v>
          </cell>
        </row>
        <row r="810">
          <cell r="A810">
            <v>810</v>
          </cell>
        </row>
        <row r="811">
          <cell r="A811">
            <v>811</v>
          </cell>
        </row>
        <row r="812">
          <cell r="A812">
            <v>812</v>
          </cell>
        </row>
        <row r="813">
          <cell r="A813">
            <v>813</v>
          </cell>
        </row>
        <row r="814">
          <cell r="A814">
            <v>814</v>
          </cell>
        </row>
        <row r="815">
          <cell r="A815">
            <v>815</v>
          </cell>
        </row>
        <row r="816">
          <cell r="A816">
            <v>816</v>
          </cell>
        </row>
        <row r="817">
          <cell r="A817">
            <v>817</v>
          </cell>
        </row>
        <row r="818">
          <cell r="A818">
            <v>818</v>
          </cell>
        </row>
        <row r="819">
          <cell r="A819">
            <v>819</v>
          </cell>
        </row>
        <row r="820">
          <cell r="A820">
            <v>820</v>
          </cell>
        </row>
        <row r="821">
          <cell r="A821">
            <v>821</v>
          </cell>
        </row>
        <row r="822">
          <cell r="A822">
            <v>822</v>
          </cell>
        </row>
        <row r="823">
          <cell r="A823">
            <v>823</v>
          </cell>
        </row>
        <row r="824">
          <cell r="A824">
            <v>824</v>
          </cell>
        </row>
        <row r="825">
          <cell r="A825">
            <v>825</v>
          </cell>
        </row>
        <row r="826">
          <cell r="A826">
            <v>826</v>
          </cell>
        </row>
        <row r="827">
          <cell r="A827">
            <v>827</v>
          </cell>
        </row>
        <row r="828">
          <cell r="A828">
            <v>828</v>
          </cell>
        </row>
        <row r="829">
          <cell r="A829">
            <v>829</v>
          </cell>
        </row>
        <row r="830">
          <cell r="A830">
            <v>830</v>
          </cell>
        </row>
        <row r="831">
          <cell r="A831">
            <v>831</v>
          </cell>
        </row>
        <row r="832">
          <cell r="A832">
            <v>832</v>
          </cell>
        </row>
        <row r="833">
          <cell r="A833">
            <v>833</v>
          </cell>
        </row>
        <row r="834">
          <cell r="A834">
            <v>834</v>
          </cell>
        </row>
        <row r="835">
          <cell r="A835">
            <v>835</v>
          </cell>
        </row>
        <row r="836">
          <cell r="A836">
            <v>836</v>
          </cell>
        </row>
        <row r="837">
          <cell r="A837">
            <v>837</v>
          </cell>
        </row>
        <row r="838">
          <cell r="A838">
            <v>838</v>
          </cell>
        </row>
        <row r="839">
          <cell r="A839">
            <v>839</v>
          </cell>
        </row>
        <row r="840">
          <cell r="A840">
            <v>840</v>
          </cell>
        </row>
        <row r="841">
          <cell r="A841">
            <v>841</v>
          </cell>
        </row>
        <row r="842">
          <cell r="A842">
            <v>842</v>
          </cell>
        </row>
        <row r="843">
          <cell r="A843">
            <v>843</v>
          </cell>
        </row>
        <row r="844">
          <cell r="A844">
            <v>844</v>
          </cell>
        </row>
        <row r="845">
          <cell r="A845">
            <v>845</v>
          </cell>
        </row>
        <row r="846">
          <cell r="A846">
            <v>846</v>
          </cell>
        </row>
        <row r="847">
          <cell r="A847">
            <v>847</v>
          </cell>
        </row>
        <row r="848">
          <cell r="A848">
            <v>848</v>
          </cell>
        </row>
        <row r="849">
          <cell r="A849">
            <v>849</v>
          </cell>
        </row>
        <row r="850">
          <cell r="A850">
            <v>850</v>
          </cell>
        </row>
        <row r="851">
          <cell r="A851">
            <v>851</v>
          </cell>
        </row>
        <row r="852">
          <cell r="A852">
            <v>852</v>
          </cell>
        </row>
        <row r="853">
          <cell r="A853">
            <v>853</v>
          </cell>
        </row>
        <row r="854">
          <cell r="A854">
            <v>854</v>
          </cell>
        </row>
        <row r="855">
          <cell r="A855">
            <v>855</v>
          </cell>
        </row>
        <row r="856">
          <cell r="A856">
            <v>856</v>
          </cell>
        </row>
        <row r="857">
          <cell r="A857">
            <v>857</v>
          </cell>
        </row>
        <row r="858">
          <cell r="A858">
            <v>858</v>
          </cell>
        </row>
        <row r="859">
          <cell r="A859">
            <v>859</v>
          </cell>
        </row>
        <row r="860">
          <cell r="A860">
            <v>860</v>
          </cell>
        </row>
        <row r="861">
          <cell r="A861">
            <v>861</v>
          </cell>
        </row>
        <row r="862">
          <cell r="A862">
            <v>862</v>
          </cell>
        </row>
        <row r="863">
          <cell r="A863">
            <v>863</v>
          </cell>
        </row>
        <row r="864">
          <cell r="A864">
            <v>864</v>
          </cell>
        </row>
        <row r="865">
          <cell r="A865">
            <v>865</v>
          </cell>
        </row>
        <row r="866">
          <cell r="A866">
            <v>866</v>
          </cell>
        </row>
        <row r="867">
          <cell r="A867">
            <v>867</v>
          </cell>
        </row>
        <row r="868">
          <cell r="A868">
            <v>868</v>
          </cell>
        </row>
        <row r="869">
          <cell r="A869">
            <v>869</v>
          </cell>
        </row>
        <row r="870">
          <cell r="A870">
            <v>870</v>
          </cell>
        </row>
        <row r="871">
          <cell r="A871">
            <v>871</v>
          </cell>
        </row>
        <row r="872">
          <cell r="A872">
            <v>872</v>
          </cell>
        </row>
        <row r="873">
          <cell r="A873">
            <v>873</v>
          </cell>
        </row>
        <row r="874">
          <cell r="A874">
            <v>874</v>
          </cell>
        </row>
        <row r="875">
          <cell r="A875">
            <v>875</v>
          </cell>
        </row>
        <row r="876">
          <cell r="A876">
            <v>876</v>
          </cell>
        </row>
        <row r="877">
          <cell r="A877">
            <v>877</v>
          </cell>
        </row>
        <row r="878">
          <cell r="A878">
            <v>878</v>
          </cell>
        </row>
        <row r="879">
          <cell r="A879">
            <v>879</v>
          </cell>
        </row>
        <row r="880">
          <cell r="A880">
            <v>880</v>
          </cell>
        </row>
        <row r="881">
          <cell r="A881">
            <v>881</v>
          </cell>
        </row>
        <row r="882">
          <cell r="A882">
            <v>882</v>
          </cell>
        </row>
        <row r="883">
          <cell r="A883">
            <v>883</v>
          </cell>
        </row>
        <row r="884">
          <cell r="A884">
            <v>884</v>
          </cell>
        </row>
        <row r="885">
          <cell r="A885">
            <v>885</v>
          </cell>
        </row>
        <row r="886">
          <cell r="A886">
            <v>886</v>
          </cell>
        </row>
        <row r="887">
          <cell r="A887">
            <v>887</v>
          </cell>
        </row>
        <row r="888">
          <cell r="A888">
            <v>888</v>
          </cell>
        </row>
        <row r="889">
          <cell r="A889">
            <v>889</v>
          </cell>
        </row>
        <row r="890">
          <cell r="A890">
            <v>890</v>
          </cell>
        </row>
        <row r="891">
          <cell r="A891">
            <v>891</v>
          </cell>
        </row>
        <row r="892">
          <cell r="A892">
            <v>892</v>
          </cell>
        </row>
        <row r="893">
          <cell r="A893">
            <v>893</v>
          </cell>
        </row>
        <row r="894">
          <cell r="A894">
            <v>894</v>
          </cell>
        </row>
        <row r="895">
          <cell r="A895">
            <v>895</v>
          </cell>
        </row>
        <row r="896">
          <cell r="A896">
            <v>896</v>
          </cell>
        </row>
        <row r="897">
          <cell r="A897">
            <v>897</v>
          </cell>
        </row>
        <row r="898">
          <cell r="A898">
            <v>898</v>
          </cell>
        </row>
        <row r="899">
          <cell r="A899">
            <v>899</v>
          </cell>
        </row>
        <row r="900">
          <cell r="A900">
            <v>900</v>
          </cell>
        </row>
        <row r="901">
          <cell r="A901">
            <v>901</v>
          </cell>
        </row>
        <row r="902">
          <cell r="A902">
            <v>902</v>
          </cell>
        </row>
        <row r="903">
          <cell r="A903">
            <v>903</v>
          </cell>
        </row>
        <row r="904">
          <cell r="A904">
            <v>904</v>
          </cell>
        </row>
        <row r="905">
          <cell r="A905">
            <v>905</v>
          </cell>
        </row>
        <row r="906">
          <cell r="A906">
            <v>906</v>
          </cell>
        </row>
        <row r="907">
          <cell r="A907">
            <v>907</v>
          </cell>
        </row>
        <row r="908">
          <cell r="A908">
            <v>908</v>
          </cell>
        </row>
        <row r="909">
          <cell r="A909">
            <v>909</v>
          </cell>
        </row>
        <row r="910">
          <cell r="A910">
            <v>910</v>
          </cell>
        </row>
        <row r="911">
          <cell r="A911">
            <v>911</v>
          </cell>
        </row>
        <row r="912">
          <cell r="A912">
            <v>912</v>
          </cell>
        </row>
        <row r="913">
          <cell r="A913">
            <v>913</v>
          </cell>
        </row>
        <row r="914">
          <cell r="A914">
            <v>914</v>
          </cell>
        </row>
        <row r="915">
          <cell r="A915">
            <v>915</v>
          </cell>
        </row>
        <row r="916">
          <cell r="A916">
            <v>916</v>
          </cell>
        </row>
        <row r="917">
          <cell r="A917">
            <v>917</v>
          </cell>
        </row>
        <row r="918">
          <cell r="A918">
            <v>918</v>
          </cell>
        </row>
        <row r="919">
          <cell r="A919">
            <v>919</v>
          </cell>
        </row>
        <row r="920">
          <cell r="A920">
            <v>920</v>
          </cell>
        </row>
        <row r="921">
          <cell r="A921">
            <v>921</v>
          </cell>
        </row>
        <row r="922">
          <cell r="A922">
            <v>922</v>
          </cell>
        </row>
        <row r="923">
          <cell r="A923">
            <v>923</v>
          </cell>
        </row>
        <row r="924">
          <cell r="A924">
            <v>924</v>
          </cell>
        </row>
        <row r="925">
          <cell r="A925">
            <v>925</v>
          </cell>
        </row>
        <row r="926">
          <cell r="A926">
            <v>926</v>
          </cell>
        </row>
        <row r="927">
          <cell r="A927">
            <v>927</v>
          </cell>
        </row>
        <row r="928">
          <cell r="A928">
            <v>928</v>
          </cell>
        </row>
        <row r="929">
          <cell r="A929">
            <v>929</v>
          </cell>
        </row>
        <row r="930">
          <cell r="A930">
            <v>930</v>
          </cell>
        </row>
        <row r="931">
          <cell r="A931">
            <v>931</v>
          </cell>
        </row>
        <row r="932">
          <cell r="A932">
            <v>932</v>
          </cell>
        </row>
        <row r="933">
          <cell r="A933">
            <v>933</v>
          </cell>
        </row>
        <row r="934">
          <cell r="A934">
            <v>934</v>
          </cell>
        </row>
        <row r="935">
          <cell r="A935">
            <v>935</v>
          </cell>
        </row>
        <row r="936">
          <cell r="A936">
            <v>936</v>
          </cell>
        </row>
        <row r="937">
          <cell r="A937">
            <v>937</v>
          </cell>
        </row>
        <row r="938">
          <cell r="A938">
            <v>938</v>
          </cell>
        </row>
        <row r="939">
          <cell r="A939">
            <v>939</v>
          </cell>
        </row>
        <row r="940">
          <cell r="A940">
            <v>940</v>
          </cell>
        </row>
        <row r="941">
          <cell r="A941">
            <v>941</v>
          </cell>
        </row>
        <row r="942">
          <cell r="A942">
            <v>942</v>
          </cell>
        </row>
        <row r="943">
          <cell r="A943">
            <v>943</v>
          </cell>
        </row>
        <row r="944">
          <cell r="A944">
            <v>944</v>
          </cell>
        </row>
        <row r="945">
          <cell r="A945">
            <v>945</v>
          </cell>
        </row>
        <row r="946">
          <cell r="A946">
            <v>946</v>
          </cell>
        </row>
        <row r="947">
          <cell r="A947">
            <v>947</v>
          </cell>
        </row>
        <row r="948">
          <cell r="A948">
            <v>948</v>
          </cell>
        </row>
        <row r="949">
          <cell r="A949">
            <v>949</v>
          </cell>
        </row>
        <row r="950">
          <cell r="A950">
            <v>950</v>
          </cell>
        </row>
        <row r="951">
          <cell r="A951">
            <v>951</v>
          </cell>
        </row>
        <row r="952">
          <cell r="A952">
            <v>952</v>
          </cell>
        </row>
        <row r="953">
          <cell r="A953">
            <v>953</v>
          </cell>
        </row>
        <row r="954">
          <cell r="A954">
            <v>954</v>
          </cell>
        </row>
        <row r="955">
          <cell r="A955">
            <v>955</v>
          </cell>
        </row>
        <row r="956">
          <cell r="A956">
            <v>956</v>
          </cell>
        </row>
        <row r="957">
          <cell r="A957">
            <v>957</v>
          </cell>
        </row>
        <row r="958">
          <cell r="A958">
            <v>958</v>
          </cell>
        </row>
        <row r="959">
          <cell r="A959">
            <v>959</v>
          </cell>
        </row>
        <row r="960">
          <cell r="A960">
            <v>960</v>
          </cell>
        </row>
        <row r="961">
          <cell r="A961">
            <v>961</v>
          </cell>
        </row>
        <row r="962">
          <cell r="A962">
            <v>962</v>
          </cell>
        </row>
        <row r="963">
          <cell r="A963">
            <v>963</v>
          </cell>
        </row>
        <row r="964">
          <cell r="A964">
            <v>964</v>
          </cell>
        </row>
        <row r="965">
          <cell r="A965">
            <v>965</v>
          </cell>
        </row>
        <row r="966">
          <cell r="A966">
            <v>966</v>
          </cell>
        </row>
        <row r="967">
          <cell r="A967">
            <v>967</v>
          </cell>
        </row>
        <row r="968">
          <cell r="A968">
            <v>968</v>
          </cell>
        </row>
        <row r="969">
          <cell r="A969">
            <v>969</v>
          </cell>
        </row>
        <row r="970">
          <cell r="A970">
            <v>970</v>
          </cell>
        </row>
        <row r="971">
          <cell r="A971">
            <v>971</v>
          </cell>
        </row>
        <row r="972">
          <cell r="A972">
            <v>972</v>
          </cell>
        </row>
        <row r="973">
          <cell r="A973">
            <v>973</v>
          </cell>
        </row>
        <row r="974">
          <cell r="A974">
            <v>974</v>
          </cell>
        </row>
        <row r="975">
          <cell r="A975">
            <v>975</v>
          </cell>
        </row>
        <row r="976">
          <cell r="A976">
            <v>976</v>
          </cell>
        </row>
        <row r="977">
          <cell r="A977">
            <v>977</v>
          </cell>
        </row>
        <row r="978">
          <cell r="A978">
            <v>978</v>
          </cell>
        </row>
        <row r="979">
          <cell r="A979">
            <v>979</v>
          </cell>
        </row>
        <row r="980">
          <cell r="A980">
            <v>980</v>
          </cell>
        </row>
        <row r="981">
          <cell r="A981">
            <v>981</v>
          </cell>
        </row>
        <row r="982">
          <cell r="A982">
            <v>982</v>
          </cell>
        </row>
        <row r="983">
          <cell r="A983">
            <v>983</v>
          </cell>
        </row>
        <row r="984">
          <cell r="A984">
            <v>984</v>
          </cell>
        </row>
        <row r="985">
          <cell r="A985">
            <v>985</v>
          </cell>
        </row>
        <row r="986">
          <cell r="A986">
            <v>986</v>
          </cell>
        </row>
        <row r="987">
          <cell r="A987">
            <v>987</v>
          </cell>
        </row>
        <row r="988">
          <cell r="A988">
            <v>988</v>
          </cell>
        </row>
        <row r="989">
          <cell r="A989">
            <v>989</v>
          </cell>
        </row>
        <row r="990">
          <cell r="A990">
            <v>990</v>
          </cell>
        </row>
        <row r="991">
          <cell r="A991">
            <v>991</v>
          </cell>
        </row>
        <row r="992">
          <cell r="A992">
            <v>992</v>
          </cell>
        </row>
        <row r="993">
          <cell r="A993">
            <v>993</v>
          </cell>
        </row>
        <row r="994">
          <cell r="A994">
            <v>994</v>
          </cell>
        </row>
        <row r="995">
          <cell r="A995">
            <v>995</v>
          </cell>
        </row>
        <row r="996">
          <cell r="A996">
            <v>996</v>
          </cell>
        </row>
        <row r="997">
          <cell r="A997">
            <v>997</v>
          </cell>
        </row>
        <row r="998">
          <cell r="A998">
            <v>998</v>
          </cell>
        </row>
        <row r="999">
          <cell r="A999">
            <v>999</v>
          </cell>
        </row>
        <row r="1000">
          <cell r="A1000">
            <v>1000</v>
          </cell>
        </row>
        <row r="1001">
          <cell r="A1001">
            <v>1001</v>
          </cell>
        </row>
        <row r="1002">
          <cell r="A1002">
            <v>1002</v>
          </cell>
        </row>
        <row r="1003">
          <cell r="A1003">
            <v>1003</v>
          </cell>
        </row>
        <row r="1004">
          <cell r="A1004">
            <v>1004</v>
          </cell>
        </row>
        <row r="1005">
          <cell r="A1005">
            <v>1005</v>
          </cell>
        </row>
        <row r="1006">
          <cell r="A1006">
            <v>1006</v>
          </cell>
        </row>
        <row r="1007">
          <cell r="A1007">
            <v>1007</v>
          </cell>
        </row>
        <row r="1008">
          <cell r="A1008">
            <v>1008</v>
          </cell>
        </row>
        <row r="1009">
          <cell r="A1009">
            <v>1009</v>
          </cell>
        </row>
        <row r="1010">
          <cell r="A1010">
            <v>1010</v>
          </cell>
        </row>
        <row r="1011">
          <cell r="A1011">
            <v>1011</v>
          </cell>
        </row>
        <row r="1012">
          <cell r="A1012">
            <v>1012</v>
          </cell>
        </row>
        <row r="1013">
          <cell r="A1013">
            <v>1013</v>
          </cell>
        </row>
        <row r="1014">
          <cell r="A1014">
            <v>1014</v>
          </cell>
        </row>
        <row r="1015">
          <cell r="A1015">
            <v>1015</v>
          </cell>
        </row>
        <row r="1016">
          <cell r="A1016">
            <v>1016</v>
          </cell>
        </row>
        <row r="1017">
          <cell r="A1017">
            <v>1017</v>
          </cell>
        </row>
        <row r="1018">
          <cell r="A1018">
            <v>1018</v>
          </cell>
        </row>
        <row r="1019">
          <cell r="A1019">
            <v>1019</v>
          </cell>
        </row>
        <row r="1020">
          <cell r="A1020">
            <v>1020</v>
          </cell>
        </row>
        <row r="1021">
          <cell r="A1021">
            <v>1021</v>
          </cell>
        </row>
        <row r="1022">
          <cell r="A1022">
            <v>1022</v>
          </cell>
        </row>
        <row r="1023">
          <cell r="A1023">
            <v>1023</v>
          </cell>
        </row>
        <row r="1024">
          <cell r="A1024">
            <v>1024</v>
          </cell>
        </row>
        <row r="1025">
          <cell r="A1025">
            <v>1025</v>
          </cell>
        </row>
        <row r="1026">
          <cell r="A1026">
            <v>1026</v>
          </cell>
        </row>
        <row r="1027">
          <cell r="A1027">
            <v>1027</v>
          </cell>
        </row>
        <row r="1028">
          <cell r="A1028">
            <v>1028</v>
          </cell>
        </row>
        <row r="1029">
          <cell r="A1029">
            <v>1029</v>
          </cell>
        </row>
        <row r="1030">
          <cell r="A1030">
            <v>1030</v>
          </cell>
        </row>
        <row r="1031">
          <cell r="A1031">
            <v>1031</v>
          </cell>
        </row>
        <row r="1032">
          <cell r="A1032">
            <v>1032</v>
          </cell>
        </row>
        <row r="1033">
          <cell r="A1033">
            <v>1033</v>
          </cell>
        </row>
        <row r="1034">
          <cell r="A1034">
            <v>1034</v>
          </cell>
        </row>
        <row r="1035">
          <cell r="A1035">
            <v>1035</v>
          </cell>
        </row>
        <row r="1036">
          <cell r="A1036">
            <v>1036</v>
          </cell>
        </row>
        <row r="1037">
          <cell r="A1037">
            <v>1037</v>
          </cell>
        </row>
        <row r="1038">
          <cell r="A1038">
            <v>1038</v>
          </cell>
        </row>
        <row r="1039">
          <cell r="A1039">
            <v>1039</v>
          </cell>
        </row>
        <row r="1040">
          <cell r="A1040">
            <v>1040</v>
          </cell>
        </row>
        <row r="1041">
          <cell r="A1041">
            <v>1041</v>
          </cell>
        </row>
        <row r="1042">
          <cell r="A1042">
            <v>1042</v>
          </cell>
        </row>
        <row r="1043">
          <cell r="A1043">
            <v>1043</v>
          </cell>
        </row>
        <row r="1044">
          <cell r="A1044">
            <v>1044</v>
          </cell>
        </row>
        <row r="1045">
          <cell r="A1045">
            <v>1045</v>
          </cell>
        </row>
        <row r="1046">
          <cell r="A1046">
            <v>1046</v>
          </cell>
        </row>
        <row r="1047">
          <cell r="A1047">
            <v>1047</v>
          </cell>
        </row>
        <row r="1048">
          <cell r="A1048">
            <v>1048</v>
          </cell>
        </row>
        <row r="1049">
          <cell r="A1049">
            <v>1049</v>
          </cell>
        </row>
        <row r="1050">
          <cell r="A1050">
            <v>1050</v>
          </cell>
        </row>
        <row r="1051">
          <cell r="A1051">
            <v>1051</v>
          </cell>
        </row>
        <row r="1052">
          <cell r="A1052">
            <v>1052</v>
          </cell>
        </row>
        <row r="1053">
          <cell r="A1053">
            <v>1053</v>
          </cell>
        </row>
        <row r="1054">
          <cell r="A1054">
            <v>1054</v>
          </cell>
        </row>
        <row r="1055">
          <cell r="A1055">
            <v>1055</v>
          </cell>
        </row>
        <row r="1056">
          <cell r="A1056">
            <v>1056</v>
          </cell>
        </row>
        <row r="1057">
          <cell r="A1057">
            <v>1057</v>
          </cell>
        </row>
        <row r="1058">
          <cell r="A1058">
            <v>1058</v>
          </cell>
        </row>
        <row r="1059">
          <cell r="A1059">
            <v>1059</v>
          </cell>
        </row>
        <row r="1060">
          <cell r="A1060">
            <v>1060</v>
          </cell>
        </row>
        <row r="1061">
          <cell r="A1061">
            <v>1061</v>
          </cell>
        </row>
        <row r="1062">
          <cell r="A1062">
            <v>1062</v>
          </cell>
        </row>
        <row r="1063">
          <cell r="A1063">
            <v>1063</v>
          </cell>
        </row>
        <row r="1064">
          <cell r="A1064">
            <v>1064</v>
          </cell>
        </row>
        <row r="1065">
          <cell r="A1065">
            <v>1065</v>
          </cell>
        </row>
        <row r="1066">
          <cell r="A1066">
            <v>1066</v>
          </cell>
        </row>
        <row r="1067">
          <cell r="A1067">
            <v>1067</v>
          </cell>
        </row>
        <row r="1068">
          <cell r="A1068">
            <v>1068</v>
          </cell>
        </row>
        <row r="1069">
          <cell r="A1069">
            <v>1069</v>
          </cell>
        </row>
        <row r="1070">
          <cell r="A1070">
            <v>1070</v>
          </cell>
        </row>
        <row r="1071">
          <cell r="A1071">
            <v>1071</v>
          </cell>
        </row>
        <row r="1072">
          <cell r="A1072">
            <v>1072</v>
          </cell>
        </row>
        <row r="1073">
          <cell r="A1073">
            <v>1073</v>
          </cell>
        </row>
        <row r="1074">
          <cell r="A1074">
            <v>1074</v>
          </cell>
        </row>
        <row r="1075">
          <cell r="A1075">
            <v>1075</v>
          </cell>
        </row>
        <row r="1076">
          <cell r="A1076">
            <v>1076</v>
          </cell>
        </row>
        <row r="1077">
          <cell r="A1077">
            <v>1077</v>
          </cell>
        </row>
        <row r="1078">
          <cell r="A1078">
            <v>1078</v>
          </cell>
        </row>
        <row r="1079">
          <cell r="A1079">
            <v>1079</v>
          </cell>
        </row>
        <row r="1080">
          <cell r="A1080">
            <v>1080</v>
          </cell>
        </row>
        <row r="1081">
          <cell r="A1081">
            <v>1081</v>
          </cell>
        </row>
        <row r="1082">
          <cell r="A1082">
            <v>1082</v>
          </cell>
        </row>
        <row r="1083">
          <cell r="A1083">
            <v>1083</v>
          </cell>
        </row>
        <row r="1084">
          <cell r="A1084">
            <v>1084</v>
          </cell>
        </row>
        <row r="1085">
          <cell r="A1085">
            <v>1085</v>
          </cell>
        </row>
        <row r="1086">
          <cell r="A1086">
            <v>1086</v>
          </cell>
        </row>
        <row r="1087">
          <cell r="A1087">
            <v>1087</v>
          </cell>
        </row>
        <row r="1088">
          <cell r="A1088">
            <v>1088</v>
          </cell>
        </row>
        <row r="1089">
          <cell r="A1089">
            <v>1089</v>
          </cell>
        </row>
        <row r="1090">
          <cell r="A1090">
            <v>1090</v>
          </cell>
        </row>
        <row r="1091">
          <cell r="A1091">
            <v>1091</v>
          </cell>
        </row>
        <row r="1092">
          <cell r="A1092">
            <v>1092</v>
          </cell>
        </row>
        <row r="1093">
          <cell r="A1093">
            <v>1093</v>
          </cell>
        </row>
        <row r="1094">
          <cell r="A1094">
            <v>1094</v>
          </cell>
        </row>
        <row r="1095">
          <cell r="A1095">
            <v>1095</v>
          </cell>
        </row>
        <row r="1096">
          <cell r="A1096">
            <v>1096</v>
          </cell>
        </row>
        <row r="1097">
          <cell r="A1097">
            <v>1097</v>
          </cell>
        </row>
        <row r="1098">
          <cell r="A1098">
            <v>1098</v>
          </cell>
        </row>
        <row r="1099">
          <cell r="A1099">
            <v>1099</v>
          </cell>
        </row>
        <row r="1100">
          <cell r="A1100">
            <v>1100</v>
          </cell>
        </row>
        <row r="1101">
          <cell r="A1101">
            <v>1101</v>
          </cell>
        </row>
        <row r="1102">
          <cell r="A1102">
            <v>1102</v>
          </cell>
        </row>
        <row r="1103">
          <cell r="A1103">
            <v>1103</v>
          </cell>
        </row>
        <row r="1104">
          <cell r="A1104">
            <v>1104</v>
          </cell>
        </row>
        <row r="1105">
          <cell r="A1105">
            <v>1105</v>
          </cell>
        </row>
        <row r="1106">
          <cell r="A1106">
            <v>1106</v>
          </cell>
        </row>
        <row r="1107">
          <cell r="A1107">
            <v>1107</v>
          </cell>
        </row>
        <row r="1108">
          <cell r="A1108">
            <v>1108</v>
          </cell>
        </row>
        <row r="1109">
          <cell r="A1109">
            <v>1109</v>
          </cell>
        </row>
        <row r="1110">
          <cell r="A1110">
            <v>1110</v>
          </cell>
        </row>
        <row r="1111">
          <cell r="A1111">
            <v>1111</v>
          </cell>
        </row>
        <row r="1112">
          <cell r="A1112">
            <v>1112</v>
          </cell>
        </row>
        <row r="1113">
          <cell r="A1113">
            <v>1113</v>
          </cell>
        </row>
        <row r="1114">
          <cell r="A1114">
            <v>1114</v>
          </cell>
        </row>
        <row r="1115">
          <cell r="A1115">
            <v>1115</v>
          </cell>
        </row>
        <row r="1116">
          <cell r="A1116">
            <v>1116</v>
          </cell>
        </row>
        <row r="1117">
          <cell r="A1117">
            <v>1117</v>
          </cell>
        </row>
        <row r="1118">
          <cell r="A1118">
            <v>1118</v>
          </cell>
        </row>
        <row r="1119">
          <cell r="A1119">
            <v>1119</v>
          </cell>
        </row>
        <row r="1120">
          <cell r="A1120">
            <v>1120</v>
          </cell>
        </row>
        <row r="1121">
          <cell r="A1121">
            <v>1121</v>
          </cell>
        </row>
        <row r="1122">
          <cell r="A1122">
            <v>1122</v>
          </cell>
        </row>
        <row r="1123">
          <cell r="A1123">
            <v>1123</v>
          </cell>
        </row>
        <row r="1124">
          <cell r="A1124">
            <v>1124</v>
          </cell>
        </row>
        <row r="1125">
          <cell r="A1125">
            <v>1125</v>
          </cell>
        </row>
        <row r="1126">
          <cell r="A1126">
            <v>1126</v>
          </cell>
        </row>
        <row r="1127">
          <cell r="A1127">
            <v>1127</v>
          </cell>
        </row>
        <row r="1128">
          <cell r="A1128">
            <v>1128</v>
          </cell>
        </row>
        <row r="1129">
          <cell r="A1129">
            <v>1129</v>
          </cell>
        </row>
        <row r="1130">
          <cell r="A1130">
            <v>1130</v>
          </cell>
        </row>
        <row r="1131">
          <cell r="A1131">
            <v>1131</v>
          </cell>
        </row>
        <row r="1132">
          <cell r="A1132">
            <v>1132</v>
          </cell>
        </row>
        <row r="1133">
          <cell r="A1133">
            <v>1133</v>
          </cell>
        </row>
        <row r="1134">
          <cell r="A1134">
            <v>1134</v>
          </cell>
        </row>
        <row r="1135">
          <cell r="A1135">
            <v>1135</v>
          </cell>
        </row>
        <row r="1136">
          <cell r="A1136">
            <v>1136</v>
          </cell>
        </row>
        <row r="1137">
          <cell r="A1137">
            <v>1137</v>
          </cell>
        </row>
        <row r="1138">
          <cell r="A1138">
            <v>1138</v>
          </cell>
        </row>
        <row r="1139">
          <cell r="A1139">
            <v>1139</v>
          </cell>
        </row>
        <row r="1140">
          <cell r="A1140">
            <v>1140</v>
          </cell>
        </row>
        <row r="1141">
          <cell r="A1141">
            <v>1141</v>
          </cell>
        </row>
        <row r="1142">
          <cell r="A1142">
            <v>1142</v>
          </cell>
        </row>
        <row r="1143">
          <cell r="A1143">
            <v>1143</v>
          </cell>
        </row>
        <row r="1144">
          <cell r="A1144">
            <v>1144</v>
          </cell>
        </row>
        <row r="1145">
          <cell r="A1145">
            <v>1145</v>
          </cell>
        </row>
        <row r="1146">
          <cell r="A1146">
            <v>1146</v>
          </cell>
        </row>
        <row r="1147">
          <cell r="A1147">
            <v>1147</v>
          </cell>
        </row>
        <row r="1148">
          <cell r="A1148">
            <v>1148</v>
          </cell>
        </row>
        <row r="1149">
          <cell r="A1149">
            <v>1149</v>
          </cell>
        </row>
        <row r="1150">
          <cell r="A1150">
            <v>1150</v>
          </cell>
        </row>
        <row r="1151">
          <cell r="A1151">
            <v>1151</v>
          </cell>
        </row>
        <row r="1152">
          <cell r="A1152">
            <v>1152</v>
          </cell>
        </row>
        <row r="1153">
          <cell r="A1153">
            <v>1153</v>
          </cell>
        </row>
        <row r="1154">
          <cell r="A1154">
            <v>1154</v>
          </cell>
        </row>
        <row r="1155">
          <cell r="A1155">
            <v>1155</v>
          </cell>
        </row>
        <row r="1156">
          <cell r="A1156">
            <v>1156</v>
          </cell>
        </row>
        <row r="1157">
          <cell r="A1157">
            <v>1157</v>
          </cell>
        </row>
        <row r="1158">
          <cell r="A1158">
            <v>1158</v>
          </cell>
        </row>
        <row r="1159">
          <cell r="A1159">
            <v>1159</v>
          </cell>
        </row>
        <row r="1160">
          <cell r="A1160">
            <v>1160</v>
          </cell>
        </row>
        <row r="1161">
          <cell r="A1161">
            <v>1161</v>
          </cell>
        </row>
        <row r="1162">
          <cell r="A1162">
            <v>1162</v>
          </cell>
        </row>
        <row r="1163">
          <cell r="A1163">
            <v>1163</v>
          </cell>
        </row>
        <row r="1164">
          <cell r="A1164">
            <v>1164</v>
          </cell>
        </row>
        <row r="1165">
          <cell r="A1165">
            <v>1165</v>
          </cell>
        </row>
        <row r="1166">
          <cell r="A1166">
            <v>1166</v>
          </cell>
        </row>
        <row r="1167">
          <cell r="A1167">
            <v>1167</v>
          </cell>
        </row>
        <row r="1168">
          <cell r="A1168">
            <v>1168</v>
          </cell>
        </row>
        <row r="1169">
          <cell r="A1169">
            <v>1169</v>
          </cell>
        </row>
        <row r="1170">
          <cell r="A1170">
            <v>1170</v>
          </cell>
        </row>
        <row r="1171">
          <cell r="A1171">
            <v>1171</v>
          </cell>
        </row>
        <row r="1172">
          <cell r="A1172">
            <v>1172</v>
          </cell>
        </row>
        <row r="1173">
          <cell r="A1173">
            <v>1173</v>
          </cell>
        </row>
        <row r="1174">
          <cell r="A1174">
            <v>1174</v>
          </cell>
        </row>
        <row r="1175">
          <cell r="A1175">
            <v>1175</v>
          </cell>
        </row>
        <row r="1176">
          <cell r="A1176">
            <v>1176</v>
          </cell>
        </row>
        <row r="1177">
          <cell r="A1177">
            <v>1177</v>
          </cell>
        </row>
        <row r="1178">
          <cell r="A1178">
            <v>1178</v>
          </cell>
        </row>
        <row r="1179">
          <cell r="A1179">
            <v>1179</v>
          </cell>
        </row>
        <row r="1180">
          <cell r="A1180">
            <v>1180</v>
          </cell>
        </row>
        <row r="1181">
          <cell r="A1181">
            <v>1181</v>
          </cell>
        </row>
        <row r="1182">
          <cell r="A1182">
            <v>1182</v>
          </cell>
        </row>
        <row r="1183">
          <cell r="A1183">
            <v>1183</v>
          </cell>
        </row>
        <row r="1184">
          <cell r="A1184">
            <v>1184</v>
          </cell>
        </row>
        <row r="1185">
          <cell r="A1185">
            <v>1185</v>
          </cell>
        </row>
        <row r="1186">
          <cell r="A1186">
            <v>1186</v>
          </cell>
        </row>
        <row r="1187">
          <cell r="A1187">
            <v>1187</v>
          </cell>
        </row>
        <row r="1188">
          <cell r="A1188">
            <v>1188</v>
          </cell>
        </row>
        <row r="1189">
          <cell r="A1189">
            <v>1189</v>
          </cell>
        </row>
        <row r="1190">
          <cell r="A1190">
            <v>1190</v>
          </cell>
        </row>
        <row r="1191">
          <cell r="A1191">
            <v>1191</v>
          </cell>
        </row>
        <row r="1192">
          <cell r="A1192">
            <v>1192</v>
          </cell>
        </row>
        <row r="1193">
          <cell r="A1193">
            <v>1193</v>
          </cell>
        </row>
        <row r="1194">
          <cell r="A1194">
            <v>1194</v>
          </cell>
        </row>
        <row r="1195">
          <cell r="A1195">
            <v>1195</v>
          </cell>
        </row>
        <row r="1196">
          <cell r="A1196">
            <v>1196</v>
          </cell>
        </row>
        <row r="1197">
          <cell r="A1197">
            <v>1197</v>
          </cell>
        </row>
        <row r="1198">
          <cell r="A1198">
            <v>1198</v>
          </cell>
        </row>
        <row r="1199">
          <cell r="A1199">
            <v>1199</v>
          </cell>
        </row>
        <row r="1200">
          <cell r="A1200">
            <v>1200</v>
          </cell>
        </row>
        <row r="1201">
          <cell r="A1201">
            <v>1201</v>
          </cell>
        </row>
        <row r="1202">
          <cell r="A1202">
            <v>1202</v>
          </cell>
        </row>
        <row r="1203">
          <cell r="A1203">
            <v>1203</v>
          </cell>
        </row>
        <row r="1204">
          <cell r="A1204">
            <v>1204</v>
          </cell>
        </row>
        <row r="1205">
          <cell r="A1205">
            <v>1205</v>
          </cell>
        </row>
        <row r="1206">
          <cell r="A1206">
            <v>1206</v>
          </cell>
        </row>
        <row r="1207">
          <cell r="A1207">
            <v>1207</v>
          </cell>
        </row>
        <row r="1208">
          <cell r="A1208">
            <v>1208</v>
          </cell>
        </row>
        <row r="1209">
          <cell r="A1209">
            <v>1209</v>
          </cell>
        </row>
        <row r="1210">
          <cell r="A1210">
            <v>1210</v>
          </cell>
        </row>
        <row r="1211">
          <cell r="A1211">
            <v>1211</v>
          </cell>
        </row>
        <row r="1212">
          <cell r="A1212">
            <v>1212</v>
          </cell>
        </row>
        <row r="1213">
          <cell r="A1213">
            <v>1213</v>
          </cell>
        </row>
        <row r="1214">
          <cell r="A1214">
            <v>1214</v>
          </cell>
        </row>
        <row r="1215">
          <cell r="A1215">
            <v>1215</v>
          </cell>
        </row>
        <row r="1216">
          <cell r="A1216">
            <v>1216</v>
          </cell>
        </row>
        <row r="1217">
          <cell r="A1217">
            <v>1217</v>
          </cell>
        </row>
        <row r="1218">
          <cell r="A1218">
            <v>1218</v>
          </cell>
        </row>
        <row r="1219">
          <cell r="A1219">
            <v>1219</v>
          </cell>
        </row>
        <row r="1220">
          <cell r="A1220">
            <v>1220</v>
          </cell>
        </row>
        <row r="1221">
          <cell r="A1221">
            <v>1221</v>
          </cell>
        </row>
        <row r="1222">
          <cell r="A1222">
            <v>1222</v>
          </cell>
        </row>
        <row r="1223">
          <cell r="A1223">
            <v>1223</v>
          </cell>
        </row>
        <row r="1224">
          <cell r="A1224">
            <v>1224</v>
          </cell>
        </row>
        <row r="1225">
          <cell r="A1225">
            <v>1225</v>
          </cell>
        </row>
        <row r="1226">
          <cell r="A1226">
            <v>1226</v>
          </cell>
        </row>
        <row r="1227">
          <cell r="A1227">
            <v>1227</v>
          </cell>
        </row>
        <row r="1228">
          <cell r="A1228">
            <v>1228</v>
          </cell>
        </row>
        <row r="1229">
          <cell r="A1229">
            <v>1229</v>
          </cell>
        </row>
        <row r="1230">
          <cell r="A1230">
            <v>1230</v>
          </cell>
        </row>
        <row r="1231">
          <cell r="A1231">
            <v>1231</v>
          </cell>
        </row>
        <row r="1232">
          <cell r="A1232">
            <v>1232</v>
          </cell>
        </row>
        <row r="1233">
          <cell r="A1233">
            <v>1233</v>
          </cell>
        </row>
        <row r="1234">
          <cell r="A1234">
            <v>1234</v>
          </cell>
        </row>
        <row r="1235">
          <cell r="A1235">
            <v>1235</v>
          </cell>
        </row>
        <row r="1236">
          <cell r="A1236">
            <v>1236</v>
          </cell>
        </row>
        <row r="1237">
          <cell r="A1237">
            <v>1237</v>
          </cell>
        </row>
        <row r="1238">
          <cell r="A1238">
            <v>1238</v>
          </cell>
        </row>
        <row r="1239">
          <cell r="A1239">
            <v>1239</v>
          </cell>
        </row>
        <row r="1240">
          <cell r="A1240">
            <v>1240</v>
          </cell>
        </row>
        <row r="1241">
          <cell r="A1241">
            <v>1241</v>
          </cell>
        </row>
        <row r="1242">
          <cell r="A1242">
            <v>1242</v>
          </cell>
        </row>
        <row r="1243">
          <cell r="A1243">
            <v>1243</v>
          </cell>
        </row>
        <row r="1244">
          <cell r="A1244">
            <v>1244</v>
          </cell>
        </row>
        <row r="1245">
          <cell r="A1245">
            <v>1245</v>
          </cell>
        </row>
        <row r="1246">
          <cell r="A1246">
            <v>1246</v>
          </cell>
        </row>
        <row r="1247">
          <cell r="A1247">
            <v>1247</v>
          </cell>
        </row>
        <row r="1248">
          <cell r="A1248">
            <v>1248</v>
          </cell>
        </row>
        <row r="1249">
          <cell r="A1249">
            <v>1249</v>
          </cell>
        </row>
        <row r="1250">
          <cell r="A1250">
            <v>1250</v>
          </cell>
        </row>
        <row r="1251">
          <cell r="A1251">
            <v>1251</v>
          </cell>
        </row>
        <row r="1252">
          <cell r="A1252">
            <v>1252</v>
          </cell>
        </row>
        <row r="1253">
          <cell r="A1253">
            <v>1253</v>
          </cell>
        </row>
        <row r="1254">
          <cell r="A1254">
            <v>1254</v>
          </cell>
        </row>
        <row r="1255">
          <cell r="A1255">
            <v>1255</v>
          </cell>
        </row>
        <row r="1256">
          <cell r="A1256">
            <v>1256</v>
          </cell>
        </row>
        <row r="1257">
          <cell r="A1257">
            <v>1257</v>
          </cell>
        </row>
        <row r="1258">
          <cell r="A1258">
            <v>1258</v>
          </cell>
        </row>
        <row r="1259">
          <cell r="A1259">
            <v>1259</v>
          </cell>
        </row>
        <row r="1260">
          <cell r="A1260">
            <v>1260</v>
          </cell>
        </row>
        <row r="1261">
          <cell r="A1261">
            <v>1261</v>
          </cell>
        </row>
        <row r="1262">
          <cell r="A1262">
            <v>1262</v>
          </cell>
        </row>
        <row r="1263">
          <cell r="A1263">
            <v>1263</v>
          </cell>
        </row>
        <row r="1264">
          <cell r="A1264">
            <v>1264</v>
          </cell>
        </row>
        <row r="1265">
          <cell r="A1265">
            <v>1265</v>
          </cell>
        </row>
        <row r="1266">
          <cell r="A1266">
            <v>1266</v>
          </cell>
        </row>
        <row r="1267">
          <cell r="A1267">
            <v>1267</v>
          </cell>
        </row>
        <row r="1268">
          <cell r="A1268">
            <v>1268</v>
          </cell>
        </row>
        <row r="1269">
          <cell r="A1269">
            <v>1269</v>
          </cell>
        </row>
        <row r="1270">
          <cell r="A1270">
            <v>1270</v>
          </cell>
        </row>
        <row r="1271">
          <cell r="A1271">
            <v>1271</v>
          </cell>
        </row>
        <row r="1272">
          <cell r="A1272">
            <v>1272</v>
          </cell>
        </row>
        <row r="1273">
          <cell r="A1273">
            <v>1273</v>
          </cell>
        </row>
        <row r="1274">
          <cell r="A1274">
            <v>1274</v>
          </cell>
        </row>
        <row r="1275">
          <cell r="A1275">
            <v>1275</v>
          </cell>
        </row>
        <row r="1276">
          <cell r="A1276">
            <v>1276</v>
          </cell>
        </row>
        <row r="1277">
          <cell r="A1277">
            <v>1277</v>
          </cell>
        </row>
        <row r="1278">
          <cell r="A1278">
            <v>1278</v>
          </cell>
        </row>
        <row r="1279">
          <cell r="A1279">
            <v>1279</v>
          </cell>
        </row>
        <row r="1280">
          <cell r="A1280">
            <v>1280</v>
          </cell>
        </row>
        <row r="1281">
          <cell r="A1281">
            <v>1281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 refreshError="1"/>
      <sheetData sheetId="393" refreshError="1"/>
      <sheetData sheetId="394" refreshError="1"/>
      <sheetData sheetId="395"/>
      <sheetData sheetId="396"/>
      <sheetData sheetId="397"/>
      <sheetData sheetId="398"/>
      <sheetData sheetId="399" refreshError="1"/>
      <sheetData sheetId="400" refreshError="1"/>
      <sheetData sheetId="40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/>
      <sheetData sheetId="611">
        <row r="1">
          <cell r="A1" t="str">
            <v>단  종</v>
          </cell>
        </row>
      </sheetData>
      <sheetData sheetId="612">
        <row r="1">
          <cell r="A1" t="str">
            <v>단  종</v>
          </cell>
        </row>
      </sheetData>
      <sheetData sheetId="613"/>
      <sheetData sheetId="614"/>
      <sheetData sheetId="615">
        <row r="1">
          <cell r="A1" t="str">
            <v>단  종</v>
          </cell>
        </row>
      </sheetData>
      <sheetData sheetId="616"/>
      <sheetData sheetId="617"/>
      <sheetData sheetId="618"/>
      <sheetData sheetId="619"/>
      <sheetData sheetId="620" refreshError="1"/>
      <sheetData sheetId="621" refreshError="1"/>
      <sheetData sheetId="622" refreshError="1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/>
      <sheetData sheetId="936" refreshError="1"/>
      <sheetData sheetId="937" refreshError="1"/>
      <sheetData sheetId="938" refreshError="1"/>
      <sheetData sheetId="939" refreshError="1"/>
      <sheetData sheetId="940"/>
      <sheetData sheetId="941">
        <row r="1">
          <cell r="A1" t="str">
            <v>단  종</v>
          </cell>
        </row>
      </sheetData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>
        <row r="1">
          <cell r="A1" t="str">
            <v>단  종</v>
          </cell>
        </row>
      </sheetData>
      <sheetData sheetId="965">
        <row r="1">
          <cell r="A1" t="str">
            <v>단  종</v>
          </cell>
        </row>
      </sheetData>
      <sheetData sheetId="966"/>
      <sheetData sheetId="967">
        <row r="1">
          <cell r="A1" t="str">
            <v>단  종</v>
          </cell>
        </row>
      </sheetData>
      <sheetData sheetId="968">
        <row r="1">
          <cell r="A1" t="str">
            <v>단  종</v>
          </cell>
        </row>
      </sheetData>
      <sheetData sheetId="969" refreshError="1"/>
      <sheetData sheetId="970">
        <row r="1">
          <cell r="A1" t="str">
            <v>단  종</v>
          </cell>
        </row>
      </sheetData>
      <sheetData sheetId="971">
        <row r="1">
          <cell r="A1" t="str">
            <v>단  종</v>
          </cell>
        </row>
      </sheetData>
      <sheetData sheetId="972">
        <row r="1">
          <cell r="A1" t="str">
            <v>단  종</v>
          </cell>
        </row>
      </sheetData>
      <sheetData sheetId="973" refreshError="1"/>
      <sheetData sheetId="974">
        <row r="1">
          <cell r="A1" t="str">
            <v>단  종</v>
          </cell>
        </row>
      </sheetData>
      <sheetData sheetId="975"/>
      <sheetData sheetId="976"/>
      <sheetData sheetId="977"/>
      <sheetData sheetId="978" refreshError="1"/>
      <sheetData sheetId="979" refreshError="1"/>
      <sheetData sheetId="980"/>
      <sheetData sheetId="981" refreshError="1"/>
      <sheetData sheetId="982" refreshError="1"/>
      <sheetData sheetId="983" refreshError="1"/>
      <sheetData sheetId="984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/>
      <sheetData sheetId="1132"/>
      <sheetData sheetId="1133"/>
      <sheetData sheetId="1134"/>
      <sheetData sheetId="1135"/>
      <sheetData sheetId="1136"/>
      <sheetData sheetId="1137" refreshError="1"/>
      <sheetData sheetId="1138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/>
      <sheetData sheetId="1155"/>
      <sheetData sheetId="1156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/>
      <sheetData sheetId="1207"/>
      <sheetData sheetId="1208"/>
      <sheetData sheetId="1209"/>
      <sheetData sheetId="1210"/>
      <sheetData sheetId="1211"/>
      <sheetData sheetId="1212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/>
      <sheetData sheetId="1270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 refreshError="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>
        <row r="1">
          <cell r="A1" t="str">
            <v>단  종</v>
          </cell>
        </row>
      </sheetData>
      <sheetData sheetId="1339"/>
      <sheetData sheetId="1340"/>
      <sheetData sheetId="1341"/>
      <sheetData sheetId="1342">
        <row r="1">
          <cell r="A1" t="str">
            <v>단  종</v>
          </cell>
        </row>
      </sheetData>
      <sheetData sheetId="1343"/>
      <sheetData sheetId="1344">
        <row r="1">
          <cell r="A1" t="str">
            <v>단  종</v>
          </cell>
        </row>
      </sheetData>
      <sheetData sheetId="1345"/>
      <sheetData sheetId="1346">
        <row r="1">
          <cell r="A1" t="str">
            <v>단  종</v>
          </cell>
        </row>
      </sheetData>
      <sheetData sheetId="1347"/>
      <sheetData sheetId="1348">
        <row r="1">
          <cell r="A1" t="str">
            <v>단  종</v>
          </cell>
        </row>
      </sheetData>
      <sheetData sheetId="1349"/>
      <sheetData sheetId="1350"/>
      <sheetData sheetId="1351"/>
      <sheetData sheetId="1352">
        <row r="1">
          <cell r="A1" t="str">
            <v>단  종</v>
          </cell>
        </row>
      </sheetData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>
        <row r="1">
          <cell r="A1" t="str">
            <v>단  종</v>
          </cell>
        </row>
      </sheetData>
      <sheetData sheetId="1370"/>
      <sheetData sheetId="1371"/>
      <sheetData sheetId="1372">
        <row r="1">
          <cell r="A1" t="str">
            <v>단  종</v>
          </cell>
        </row>
      </sheetData>
      <sheetData sheetId="1373">
        <row r="1">
          <cell r="A1" t="str">
            <v>단  종</v>
          </cell>
        </row>
      </sheetData>
      <sheetData sheetId="1374"/>
      <sheetData sheetId="1375"/>
      <sheetData sheetId="1376">
        <row r="1">
          <cell r="A1" t="str">
            <v>단  종</v>
          </cell>
        </row>
      </sheetData>
      <sheetData sheetId="1377">
        <row r="1">
          <cell r="A1" t="str">
            <v>단  종</v>
          </cell>
        </row>
      </sheetData>
      <sheetData sheetId="1378"/>
      <sheetData sheetId="1379">
        <row r="1">
          <cell r="A1" t="str">
            <v>단  종</v>
          </cell>
        </row>
      </sheetData>
      <sheetData sheetId="1380">
        <row r="1">
          <cell r="A1" t="str">
            <v>단  종</v>
          </cell>
        </row>
      </sheetData>
      <sheetData sheetId="1381"/>
      <sheetData sheetId="1382"/>
      <sheetData sheetId="1383"/>
      <sheetData sheetId="1384">
        <row r="1">
          <cell r="A1" t="str">
            <v>단  종</v>
          </cell>
        </row>
      </sheetData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>
        <row r="1">
          <cell r="A1" t="str">
            <v>단  종</v>
          </cell>
        </row>
      </sheetData>
      <sheetData sheetId="1402"/>
      <sheetData sheetId="1403"/>
      <sheetData sheetId="1404">
        <row r="1">
          <cell r="A1" t="str">
            <v>단  종</v>
          </cell>
        </row>
      </sheetData>
      <sheetData sheetId="1405"/>
      <sheetData sheetId="1406">
        <row r="1">
          <cell r="A1" t="str">
            <v>단  종</v>
          </cell>
        </row>
      </sheetData>
      <sheetData sheetId="1407">
        <row r="1">
          <cell r="A1" t="str">
            <v>단  종</v>
          </cell>
        </row>
      </sheetData>
      <sheetData sheetId="1408">
        <row r="1">
          <cell r="A1" t="str">
            <v>단  종</v>
          </cell>
        </row>
      </sheetData>
      <sheetData sheetId="1409"/>
      <sheetData sheetId="1410">
        <row r="1">
          <cell r="A1" t="str">
            <v>단  종</v>
          </cell>
        </row>
      </sheetData>
      <sheetData sheetId="1411">
        <row r="1">
          <cell r="A1" t="str">
            <v>단  종</v>
          </cell>
        </row>
      </sheetData>
      <sheetData sheetId="1412">
        <row r="1">
          <cell r="A1" t="str">
            <v>단  종</v>
          </cell>
        </row>
      </sheetData>
      <sheetData sheetId="1413"/>
      <sheetData sheetId="1414">
        <row r="1">
          <cell r="A1" t="str">
            <v>단  종</v>
          </cell>
        </row>
      </sheetData>
      <sheetData sheetId="1415">
        <row r="1">
          <cell r="A1" t="str">
            <v>단  종</v>
          </cell>
        </row>
      </sheetData>
      <sheetData sheetId="1416">
        <row r="1">
          <cell r="A1" t="str">
            <v>단  종</v>
          </cell>
        </row>
      </sheetData>
      <sheetData sheetId="1417">
        <row r="1">
          <cell r="A1" t="str">
            <v>단  종</v>
          </cell>
        </row>
      </sheetData>
      <sheetData sheetId="1418">
        <row r="1">
          <cell r="A1" t="str">
            <v>단  종</v>
          </cell>
        </row>
      </sheetData>
      <sheetData sheetId="1419"/>
      <sheetData sheetId="1420">
        <row r="1">
          <cell r="A1" t="str">
            <v>단  종</v>
          </cell>
        </row>
      </sheetData>
      <sheetData sheetId="1421"/>
      <sheetData sheetId="1422">
        <row r="1">
          <cell r="A1" t="str">
            <v>단  종</v>
          </cell>
        </row>
      </sheetData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/>
      <sheetData sheetId="1489"/>
      <sheetData sheetId="1490"/>
      <sheetData sheetId="1491"/>
      <sheetData sheetId="1492"/>
      <sheetData sheetId="1493" refreshError="1"/>
      <sheetData sheetId="1494" refreshError="1"/>
      <sheetData sheetId="1495" refreshError="1"/>
      <sheetData sheetId="1496" refreshError="1"/>
      <sheetData sheetId="1497"/>
      <sheetData sheetId="1498" refreshError="1"/>
      <sheetData sheetId="1499" refreshError="1"/>
      <sheetData sheetId="1500" refreshError="1"/>
      <sheetData sheetId="150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ETC"/>
      <sheetName val="PL(YTD)"/>
      <sheetName val="PL(CUR)"/>
      <sheetName val="배부기준"/>
      <sheetName val="배부"/>
      <sheetName val="배부후"/>
      <sheetName val="확정실적"/>
      <sheetName val="인원수출"/>
      <sheetName val="Sheet"/>
      <sheetName val="99Input"/>
      <sheetName val="BAU"/>
      <sheetName val="FIRS"/>
      <sheetName val="요약BS"/>
      <sheetName val="확정실적4월"/>
      <sheetName val="인건-측정"/>
      <sheetName val="수량산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N"/>
      <sheetName val="BOLT"/>
      <sheetName val="PVCFAB"/>
      <sheetName val="HARDWARE"/>
      <sheetName val="ACCESS"/>
      <sheetName val="FILL"/>
      <sheetName val="PRFILL"/>
      <sheetName val="PRPVC"/>
      <sheetName val="PRBOLT"/>
      <sheetName val="PRHARD"/>
      <sheetName val="PRACC"/>
      <sheetName val="PRDIST"/>
    </sheetNames>
    <sheetDataSet>
      <sheetData sheetId="0">
        <row r="5">
          <cell r="B5" t="str">
            <v>300.00</v>
          </cell>
          <cell r="C5" t="str">
            <v>00</v>
          </cell>
          <cell r="D5" t="str">
            <v>ACCESS.</v>
          </cell>
          <cell r="E5" t="str">
            <v>CONBEXTRA-GP</v>
          </cell>
          <cell r="F5" t="str">
            <v>25Kg</v>
          </cell>
          <cell r="G5" t="str">
            <v>N/A</v>
          </cell>
          <cell r="H5" t="str">
            <v>EA</v>
          </cell>
          <cell r="I5">
            <v>140</v>
          </cell>
          <cell r="J5">
            <v>10</v>
          </cell>
          <cell r="K5">
            <v>150</v>
          </cell>
          <cell r="L5">
            <v>25</v>
          </cell>
          <cell r="M5">
            <v>3750</v>
          </cell>
        </row>
        <row r="6">
          <cell r="B6" t="str">
            <v>300.01</v>
          </cell>
          <cell r="C6" t="str">
            <v>01</v>
          </cell>
          <cell r="D6" t="str">
            <v>MECH. PART</v>
          </cell>
          <cell r="E6" t="str">
            <v>FAN</v>
          </cell>
          <cell r="F6" t="str">
            <v>18FT*7BLADES(COFIMCO)</v>
          </cell>
          <cell r="G6" t="str">
            <v>N/A</v>
          </cell>
          <cell r="H6" t="str">
            <v>SET</v>
          </cell>
          <cell r="I6">
            <v>6</v>
          </cell>
          <cell r="J6">
            <v>0</v>
          </cell>
          <cell r="K6">
            <v>6</v>
          </cell>
          <cell r="M6">
            <v>0</v>
          </cell>
        </row>
        <row r="7">
          <cell r="B7" t="str">
            <v>300.01</v>
          </cell>
          <cell r="C7" t="str">
            <v>02</v>
          </cell>
          <cell r="D7" t="str">
            <v>HARD WARES</v>
          </cell>
          <cell r="E7" t="str">
            <v>END PLATE</v>
          </cell>
          <cell r="F7" t="str">
            <v>PI220*9t</v>
          </cell>
          <cell r="G7" t="str">
            <v>HDGS</v>
          </cell>
          <cell r="H7" t="str">
            <v>EA</v>
          </cell>
          <cell r="I7">
            <v>6</v>
          </cell>
          <cell r="J7">
            <v>0</v>
          </cell>
          <cell r="K7">
            <v>6</v>
          </cell>
          <cell r="L7">
            <v>2.7</v>
          </cell>
          <cell r="M7">
            <v>16.200000000000003</v>
          </cell>
        </row>
        <row r="8">
          <cell r="B8" t="str">
            <v>300.01</v>
          </cell>
          <cell r="C8" t="str">
            <v>03</v>
          </cell>
          <cell r="D8" t="str">
            <v>BOLT &amp; NUTS</v>
          </cell>
          <cell r="E8" t="str">
            <v>ALL THREADED ROD</v>
          </cell>
          <cell r="F8" t="str">
            <v>M24*200L</v>
          </cell>
          <cell r="G8" t="str">
            <v>SUS304</v>
          </cell>
          <cell r="H8" t="str">
            <v>EA</v>
          </cell>
          <cell r="I8">
            <v>6</v>
          </cell>
          <cell r="J8">
            <v>0</v>
          </cell>
          <cell r="K8">
            <v>6</v>
          </cell>
          <cell r="L8">
            <v>0.72</v>
          </cell>
          <cell r="M8">
            <v>4.32</v>
          </cell>
        </row>
        <row r="9">
          <cell r="B9" t="str">
            <v>300.01</v>
          </cell>
          <cell r="C9" t="str">
            <v>03</v>
          </cell>
          <cell r="D9" t="str">
            <v>BOLT &amp; NUTS</v>
          </cell>
          <cell r="E9" t="str">
            <v>NUT</v>
          </cell>
          <cell r="F9" t="str">
            <v>M24</v>
          </cell>
          <cell r="G9" t="str">
            <v>SUS304</v>
          </cell>
          <cell r="H9" t="str">
            <v>EA</v>
          </cell>
          <cell r="I9">
            <v>6</v>
          </cell>
          <cell r="J9">
            <v>0</v>
          </cell>
          <cell r="K9">
            <v>6</v>
          </cell>
          <cell r="L9">
            <v>0.06</v>
          </cell>
          <cell r="M9">
            <v>0.36</v>
          </cell>
        </row>
        <row r="10">
          <cell r="B10" t="str">
            <v>300.01</v>
          </cell>
          <cell r="C10" t="str">
            <v>03</v>
          </cell>
          <cell r="D10" t="str">
            <v>BOLT &amp; NUTS</v>
          </cell>
          <cell r="E10" t="str">
            <v>WASHER(PLAIN)</v>
          </cell>
          <cell r="F10" t="str">
            <v>M24</v>
          </cell>
          <cell r="G10" t="str">
            <v>SUS304</v>
          </cell>
          <cell r="H10" t="str">
            <v>EA</v>
          </cell>
          <cell r="I10">
            <v>6</v>
          </cell>
          <cell r="J10">
            <v>1</v>
          </cell>
          <cell r="K10">
            <v>7</v>
          </cell>
          <cell r="L10">
            <v>1.4999999999999999E-2</v>
          </cell>
          <cell r="M10">
            <v>0.105</v>
          </cell>
        </row>
        <row r="11">
          <cell r="B11" t="str">
            <v>300.02</v>
          </cell>
          <cell r="C11" t="str">
            <v>01</v>
          </cell>
          <cell r="D11" t="str">
            <v>MECH. PART</v>
          </cell>
          <cell r="E11" t="str">
            <v>SPEED REDUCER</v>
          </cell>
          <cell r="F11" t="str">
            <v>75KW*QVL2L-CUN-9.0</v>
          </cell>
          <cell r="G11" t="str">
            <v>N/A</v>
          </cell>
          <cell r="H11" t="str">
            <v>SET</v>
          </cell>
          <cell r="I11">
            <v>6</v>
          </cell>
          <cell r="J11">
            <v>0</v>
          </cell>
          <cell r="K11">
            <v>6</v>
          </cell>
          <cell r="M11">
            <v>0</v>
          </cell>
        </row>
        <row r="12">
          <cell r="B12" t="str">
            <v>300.02</v>
          </cell>
          <cell r="C12" t="str">
            <v>02</v>
          </cell>
          <cell r="D12" t="str">
            <v>HARD WARES</v>
          </cell>
          <cell r="E12" t="str">
            <v>SPEED REDUCER BASE</v>
          </cell>
          <cell r="F12" t="str">
            <v>850*145*180H</v>
          </cell>
          <cell r="G12" t="str">
            <v>HDGS</v>
          </cell>
          <cell r="H12" t="str">
            <v>EA</v>
          </cell>
          <cell r="I12">
            <v>6</v>
          </cell>
          <cell r="J12">
            <v>0</v>
          </cell>
          <cell r="K12">
            <v>6</v>
          </cell>
          <cell r="L12">
            <v>29</v>
          </cell>
          <cell r="M12">
            <v>174</v>
          </cell>
        </row>
        <row r="13">
          <cell r="B13" t="str">
            <v>300.02</v>
          </cell>
          <cell r="C13" t="str">
            <v>03</v>
          </cell>
          <cell r="D13" t="str">
            <v>BOLT &amp; NUTS</v>
          </cell>
          <cell r="E13" t="str">
            <v>BOLT</v>
          </cell>
          <cell r="F13" t="str">
            <v>M20*75L</v>
          </cell>
          <cell r="G13" t="str">
            <v>SUS304</v>
          </cell>
          <cell r="H13" t="str">
            <v>EA</v>
          </cell>
          <cell r="I13">
            <v>24</v>
          </cell>
          <cell r="J13">
            <v>1</v>
          </cell>
          <cell r="K13">
            <v>25</v>
          </cell>
          <cell r="L13">
            <v>0.5</v>
          </cell>
          <cell r="M13">
            <v>12.5</v>
          </cell>
        </row>
        <row r="14">
          <cell r="B14" t="str">
            <v>300.02</v>
          </cell>
          <cell r="C14" t="str">
            <v>04</v>
          </cell>
          <cell r="D14" t="str">
            <v>BOLT &amp; NUTS</v>
          </cell>
          <cell r="E14" t="str">
            <v>NUT</v>
          </cell>
          <cell r="F14" t="str">
            <v>M20</v>
          </cell>
          <cell r="G14" t="str">
            <v>SUS304</v>
          </cell>
          <cell r="H14" t="str">
            <v>EA</v>
          </cell>
          <cell r="I14">
            <v>48</v>
          </cell>
          <cell r="J14">
            <v>1</v>
          </cell>
          <cell r="K14">
            <v>49</v>
          </cell>
          <cell r="L14">
            <v>0.06</v>
          </cell>
          <cell r="M14">
            <v>2.94</v>
          </cell>
        </row>
        <row r="15">
          <cell r="B15" t="str">
            <v>300.02</v>
          </cell>
          <cell r="C15" t="str">
            <v>05</v>
          </cell>
          <cell r="D15" t="str">
            <v>BOLT &amp; NUTS</v>
          </cell>
          <cell r="E15" t="str">
            <v>WASHER(PLAIN)</v>
          </cell>
          <cell r="F15" t="str">
            <v>M20</v>
          </cell>
          <cell r="G15" t="str">
            <v>SUS304</v>
          </cell>
          <cell r="H15" t="str">
            <v>EA</v>
          </cell>
          <cell r="I15">
            <v>24</v>
          </cell>
          <cell r="J15">
            <v>1</v>
          </cell>
          <cell r="K15">
            <v>25</v>
          </cell>
          <cell r="L15">
            <v>1.4999999999999999E-2</v>
          </cell>
          <cell r="M15">
            <v>0.375</v>
          </cell>
        </row>
        <row r="16">
          <cell r="B16" t="str">
            <v>300.03</v>
          </cell>
          <cell r="C16" t="str">
            <v>01</v>
          </cell>
          <cell r="D16" t="str">
            <v>MECH. PART</v>
          </cell>
          <cell r="E16" t="str">
            <v>VIBRATION S/W</v>
          </cell>
          <cell r="F16" t="str">
            <v>450S-R</v>
          </cell>
          <cell r="G16" t="str">
            <v>N/A</v>
          </cell>
          <cell r="H16" t="str">
            <v>SET</v>
          </cell>
          <cell r="I16">
            <v>6</v>
          </cell>
          <cell r="J16">
            <v>0</v>
          </cell>
          <cell r="K16">
            <v>6</v>
          </cell>
          <cell r="L16">
            <v>1</v>
          </cell>
          <cell r="M16">
            <v>6</v>
          </cell>
        </row>
        <row r="17">
          <cell r="B17" t="str">
            <v>300.03</v>
          </cell>
          <cell r="C17" t="str">
            <v>02</v>
          </cell>
          <cell r="D17" t="str">
            <v>BOLT &amp; NUTS</v>
          </cell>
          <cell r="E17" t="str">
            <v>BOLT</v>
          </cell>
          <cell r="F17" t="str">
            <v>M6*40L</v>
          </cell>
          <cell r="G17" t="str">
            <v>SUS304</v>
          </cell>
          <cell r="H17" t="str">
            <v>EA</v>
          </cell>
          <cell r="I17">
            <v>24</v>
          </cell>
          <cell r="J17">
            <v>1</v>
          </cell>
          <cell r="K17">
            <v>25</v>
          </cell>
          <cell r="L17">
            <v>0.5</v>
          </cell>
          <cell r="M17">
            <v>12.5</v>
          </cell>
        </row>
        <row r="18">
          <cell r="B18" t="str">
            <v>300.03</v>
          </cell>
          <cell r="C18" t="str">
            <v>03</v>
          </cell>
          <cell r="D18" t="str">
            <v>BOLT &amp; NUTS</v>
          </cell>
          <cell r="E18" t="str">
            <v>NUT</v>
          </cell>
          <cell r="F18" t="str">
            <v>M6</v>
          </cell>
          <cell r="G18" t="str">
            <v>SUS304</v>
          </cell>
          <cell r="H18" t="str">
            <v>EA</v>
          </cell>
          <cell r="I18">
            <v>24</v>
          </cell>
          <cell r="J18">
            <v>1</v>
          </cell>
          <cell r="K18">
            <v>25</v>
          </cell>
          <cell r="L18">
            <v>0.1</v>
          </cell>
          <cell r="M18">
            <v>2.5</v>
          </cell>
        </row>
        <row r="19">
          <cell r="B19" t="str">
            <v>300.03</v>
          </cell>
          <cell r="C19" t="str">
            <v>04</v>
          </cell>
          <cell r="D19" t="str">
            <v>BOLT &amp; NUTS</v>
          </cell>
          <cell r="E19" t="str">
            <v>WASHER(SPRING)</v>
          </cell>
          <cell r="F19" t="str">
            <v>M6</v>
          </cell>
          <cell r="G19" t="str">
            <v>SUS304</v>
          </cell>
          <cell r="H19" t="str">
            <v>EA</v>
          </cell>
          <cell r="I19">
            <v>24</v>
          </cell>
          <cell r="J19">
            <v>1</v>
          </cell>
          <cell r="K19">
            <v>25</v>
          </cell>
          <cell r="L19">
            <v>0.02</v>
          </cell>
          <cell r="M19">
            <v>0.5</v>
          </cell>
        </row>
        <row r="20">
          <cell r="B20" t="str">
            <v>300.03</v>
          </cell>
          <cell r="C20" t="str">
            <v>05</v>
          </cell>
          <cell r="D20" t="str">
            <v>BOLT &amp; NUTS</v>
          </cell>
          <cell r="E20" t="str">
            <v>WASHER(PLAIN)</v>
          </cell>
          <cell r="F20" t="str">
            <v>M6</v>
          </cell>
          <cell r="G20" t="str">
            <v>SUS304</v>
          </cell>
          <cell r="H20" t="str">
            <v>EA</v>
          </cell>
          <cell r="I20">
            <v>24</v>
          </cell>
          <cell r="J20">
            <v>1</v>
          </cell>
          <cell r="K20">
            <v>25</v>
          </cell>
          <cell r="L20">
            <v>0.02</v>
          </cell>
          <cell r="M20">
            <v>0.5</v>
          </cell>
        </row>
        <row r="21">
          <cell r="B21" t="str">
            <v>300.03</v>
          </cell>
          <cell r="C21" t="str">
            <v>06</v>
          </cell>
          <cell r="D21" t="str">
            <v>MECH. PART</v>
          </cell>
          <cell r="E21" t="str">
            <v>VIBRATION TRANDUCER</v>
          </cell>
          <cell r="F21" t="str">
            <v>160E</v>
          </cell>
          <cell r="G21" t="str">
            <v>N/A</v>
          </cell>
          <cell r="H21" t="str">
            <v>SET</v>
          </cell>
          <cell r="I21">
            <v>6</v>
          </cell>
          <cell r="J21">
            <v>0</v>
          </cell>
          <cell r="K21">
            <v>6</v>
          </cell>
          <cell r="L21">
            <v>1</v>
          </cell>
          <cell r="M21">
            <v>6</v>
          </cell>
        </row>
        <row r="22">
          <cell r="B22" t="str">
            <v>300.03</v>
          </cell>
          <cell r="C22" t="str">
            <v>07</v>
          </cell>
          <cell r="D22" t="str">
            <v>BOLT &amp; NUTS</v>
          </cell>
          <cell r="E22" t="str">
            <v>BOLT</v>
          </cell>
          <cell r="F22" t="str">
            <v>M6*40L</v>
          </cell>
          <cell r="G22" t="str">
            <v>SUS304</v>
          </cell>
          <cell r="H22" t="str">
            <v>EA</v>
          </cell>
          <cell r="I22">
            <v>12</v>
          </cell>
          <cell r="J22">
            <v>1</v>
          </cell>
          <cell r="K22">
            <v>13</v>
          </cell>
          <cell r="L22">
            <v>1.6E-2</v>
          </cell>
          <cell r="M22">
            <v>0.20800000000000002</v>
          </cell>
        </row>
        <row r="23">
          <cell r="B23" t="str">
            <v>300.03</v>
          </cell>
          <cell r="C23" t="str">
            <v>08</v>
          </cell>
          <cell r="D23" t="str">
            <v>BOLT &amp; NUTS</v>
          </cell>
          <cell r="E23" t="str">
            <v>NUT</v>
          </cell>
          <cell r="F23" t="str">
            <v>M6</v>
          </cell>
          <cell r="G23" t="str">
            <v>SUS304</v>
          </cell>
          <cell r="H23" t="str">
            <v>EA</v>
          </cell>
          <cell r="I23">
            <v>12</v>
          </cell>
          <cell r="J23">
            <v>1</v>
          </cell>
          <cell r="K23">
            <v>13</v>
          </cell>
          <cell r="L23">
            <v>5.0000000000000001E-3</v>
          </cell>
          <cell r="M23">
            <v>6.5000000000000002E-2</v>
          </cell>
        </row>
        <row r="24">
          <cell r="B24" t="str">
            <v>300.03</v>
          </cell>
          <cell r="C24" t="str">
            <v>09</v>
          </cell>
          <cell r="D24" t="str">
            <v>BOLT &amp; NUTS</v>
          </cell>
          <cell r="E24" t="str">
            <v>WASHER(SPRING)</v>
          </cell>
          <cell r="F24" t="str">
            <v>M6</v>
          </cell>
          <cell r="G24" t="str">
            <v>SUS304</v>
          </cell>
          <cell r="H24" t="str">
            <v>EA</v>
          </cell>
          <cell r="I24">
            <v>12</v>
          </cell>
          <cell r="J24">
            <v>1</v>
          </cell>
          <cell r="K24">
            <v>13</v>
          </cell>
          <cell r="L24">
            <v>3.0000000000000001E-3</v>
          </cell>
          <cell r="M24">
            <v>3.9E-2</v>
          </cell>
        </row>
        <row r="25">
          <cell r="B25" t="str">
            <v>300.03</v>
          </cell>
          <cell r="C25" t="str">
            <v>10</v>
          </cell>
          <cell r="D25" t="str">
            <v>BOLT &amp; NUTS</v>
          </cell>
          <cell r="E25" t="str">
            <v>WASHER(PLAIN)</v>
          </cell>
          <cell r="F25" t="str">
            <v>M8</v>
          </cell>
          <cell r="G25" t="str">
            <v>SUS304</v>
          </cell>
          <cell r="H25" t="str">
            <v>EA</v>
          </cell>
          <cell r="I25">
            <v>12</v>
          </cell>
          <cell r="J25">
            <v>1</v>
          </cell>
          <cell r="K25">
            <v>13</v>
          </cell>
          <cell r="L25">
            <v>3.0000000000000001E-3</v>
          </cell>
          <cell r="M25">
            <v>3.9E-2</v>
          </cell>
        </row>
        <row r="26">
          <cell r="B26" t="str">
            <v>300.03</v>
          </cell>
          <cell r="C26" t="str">
            <v>11</v>
          </cell>
          <cell r="D26" t="str">
            <v>HARD WARES</v>
          </cell>
          <cell r="E26" t="str">
            <v>VIBR. S/W SUPPORT</v>
          </cell>
          <cell r="F26" t="str">
            <v>150*150*1000H</v>
          </cell>
          <cell r="G26" t="str">
            <v>HDGS</v>
          </cell>
          <cell r="H26" t="str">
            <v>EA</v>
          </cell>
          <cell r="I26">
            <v>6</v>
          </cell>
          <cell r="J26">
            <v>0</v>
          </cell>
          <cell r="K26">
            <v>6</v>
          </cell>
          <cell r="L26">
            <v>29</v>
          </cell>
          <cell r="M26">
            <v>174</v>
          </cell>
        </row>
        <row r="27">
          <cell r="B27" t="str">
            <v>300.04</v>
          </cell>
          <cell r="C27" t="str">
            <v>01</v>
          </cell>
          <cell r="D27" t="str">
            <v>BOLT &amp; NUTS</v>
          </cell>
          <cell r="E27" t="str">
            <v>SHAFT GUARD</v>
          </cell>
          <cell r="F27" t="str">
            <v>M16*R172*350H</v>
          </cell>
          <cell r="G27" t="str">
            <v>SUS304</v>
          </cell>
          <cell r="H27" t="str">
            <v>EA</v>
          </cell>
          <cell r="I27">
            <v>6</v>
          </cell>
          <cell r="J27">
            <v>0</v>
          </cell>
          <cell r="K27">
            <v>6</v>
          </cell>
          <cell r="L27">
            <v>29</v>
          </cell>
          <cell r="M27">
            <v>174</v>
          </cell>
        </row>
        <row r="28">
          <cell r="B28" t="str">
            <v>300.04</v>
          </cell>
          <cell r="C28" t="str">
            <v>01</v>
          </cell>
          <cell r="D28" t="str">
            <v>BOLT &amp; NUTS</v>
          </cell>
          <cell r="E28" t="str">
            <v>NUT</v>
          </cell>
          <cell r="F28" t="str">
            <v>M16</v>
          </cell>
          <cell r="G28" t="str">
            <v>SUS304</v>
          </cell>
          <cell r="H28" t="str">
            <v>SET</v>
          </cell>
          <cell r="I28">
            <v>24</v>
          </cell>
          <cell r="J28">
            <v>1</v>
          </cell>
          <cell r="K28">
            <v>25</v>
          </cell>
          <cell r="L28">
            <v>0.03</v>
          </cell>
          <cell r="M28">
            <v>0.75</v>
          </cell>
        </row>
        <row r="29">
          <cell r="B29" t="str">
            <v>300.04</v>
          </cell>
          <cell r="C29" t="str">
            <v>01</v>
          </cell>
          <cell r="D29" t="str">
            <v>BOLT &amp; NUTS</v>
          </cell>
          <cell r="E29" t="str">
            <v>WASHER(PLAIN)</v>
          </cell>
          <cell r="F29" t="str">
            <v>M16</v>
          </cell>
          <cell r="G29" t="str">
            <v>SUS304</v>
          </cell>
          <cell r="H29" t="str">
            <v>SET</v>
          </cell>
          <cell r="I29">
            <v>24</v>
          </cell>
          <cell r="J29">
            <v>1</v>
          </cell>
          <cell r="K29">
            <v>25</v>
          </cell>
          <cell r="L29">
            <v>0.01</v>
          </cell>
          <cell r="M29">
            <v>0.25</v>
          </cell>
        </row>
        <row r="30">
          <cell r="B30" t="str">
            <v>300.04</v>
          </cell>
          <cell r="C30" t="str">
            <v>01</v>
          </cell>
          <cell r="D30" t="str">
            <v>BOLT &amp; NUTS</v>
          </cell>
          <cell r="E30" t="str">
            <v>WASHER(SPRING)</v>
          </cell>
          <cell r="F30" t="str">
            <v>M16</v>
          </cell>
          <cell r="G30" t="str">
            <v>SUS304</v>
          </cell>
          <cell r="H30" t="str">
            <v>SET</v>
          </cell>
          <cell r="I30">
            <v>24</v>
          </cell>
          <cell r="J30">
            <v>1</v>
          </cell>
          <cell r="K30">
            <v>25</v>
          </cell>
          <cell r="L30">
            <v>0.01</v>
          </cell>
          <cell r="M30">
            <v>0.25</v>
          </cell>
        </row>
        <row r="31">
          <cell r="B31" t="str">
            <v>300.04</v>
          </cell>
          <cell r="C31" t="str">
            <v>02</v>
          </cell>
          <cell r="D31" t="str">
            <v>HARD WARES</v>
          </cell>
          <cell r="E31" t="str">
            <v>SHAFT GUARD SUP'T</v>
          </cell>
          <cell r="F31" t="str">
            <v>L-400*250*400H</v>
          </cell>
          <cell r="G31" t="str">
            <v>HDGS</v>
          </cell>
          <cell r="H31" t="str">
            <v>EA</v>
          </cell>
          <cell r="I31">
            <v>6</v>
          </cell>
          <cell r="J31">
            <v>0</v>
          </cell>
          <cell r="K31">
            <v>6</v>
          </cell>
          <cell r="L31">
            <v>3.3</v>
          </cell>
          <cell r="M31">
            <v>19.799999999999997</v>
          </cell>
        </row>
        <row r="32">
          <cell r="B32" t="str">
            <v>300.05</v>
          </cell>
          <cell r="C32" t="str">
            <v>01</v>
          </cell>
          <cell r="D32" t="str">
            <v>MECH. PART</v>
          </cell>
          <cell r="E32" t="str">
            <v>DRIVE SHAFT &amp; COUP.</v>
          </cell>
          <cell r="F32" t="str">
            <v xml:space="preserve"> </v>
          </cell>
          <cell r="G32" t="str">
            <v>COMPOSITE</v>
          </cell>
          <cell r="H32" t="str">
            <v>SET</v>
          </cell>
          <cell r="I32">
            <v>6</v>
          </cell>
          <cell r="J32">
            <v>0</v>
          </cell>
          <cell r="K32">
            <v>6</v>
          </cell>
          <cell r="M32">
            <v>0</v>
          </cell>
        </row>
        <row r="33">
          <cell r="B33" t="str">
            <v>300.06</v>
          </cell>
          <cell r="C33" t="str">
            <v>01</v>
          </cell>
          <cell r="D33" t="str">
            <v>MECH. PART</v>
          </cell>
          <cell r="E33" t="str">
            <v>MOTOR</v>
          </cell>
          <cell r="F33" t="str">
            <v>75KW*4P*60Hz*440V</v>
          </cell>
          <cell r="G33" t="str">
            <v>N/A</v>
          </cell>
          <cell r="H33" t="str">
            <v>SET</v>
          </cell>
          <cell r="I33">
            <v>6</v>
          </cell>
          <cell r="J33">
            <v>0</v>
          </cell>
          <cell r="K33">
            <v>6</v>
          </cell>
          <cell r="M33">
            <v>0</v>
          </cell>
        </row>
        <row r="34">
          <cell r="B34" t="str">
            <v>300.06</v>
          </cell>
          <cell r="C34" t="str">
            <v>02</v>
          </cell>
          <cell r="D34" t="str">
            <v>HARD WARES</v>
          </cell>
          <cell r="E34" t="str">
            <v>MOTOR BASE</v>
          </cell>
          <cell r="F34" t="str">
            <v>150*790*30t</v>
          </cell>
          <cell r="G34" t="str">
            <v>HDGS</v>
          </cell>
          <cell r="H34" t="str">
            <v>EA</v>
          </cell>
          <cell r="I34">
            <v>12</v>
          </cell>
          <cell r="J34">
            <v>0</v>
          </cell>
          <cell r="K34">
            <v>12</v>
          </cell>
          <cell r="L34">
            <v>40</v>
          </cell>
          <cell r="M34">
            <v>480</v>
          </cell>
        </row>
        <row r="35">
          <cell r="B35" t="str">
            <v>300.06</v>
          </cell>
          <cell r="C35" t="str">
            <v>03</v>
          </cell>
          <cell r="D35" t="str">
            <v>BOLT &amp; NUTS</v>
          </cell>
          <cell r="E35" t="str">
            <v>STUD BOLT</v>
          </cell>
          <cell r="F35" t="str">
            <v>M20*90L</v>
          </cell>
          <cell r="G35" t="str">
            <v>SUS304</v>
          </cell>
          <cell r="H35" t="str">
            <v>EA</v>
          </cell>
          <cell r="I35">
            <v>24</v>
          </cell>
          <cell r="J35">
            <v>1</v>
          </cell>
          <cell r="K35">
            <v>25</v>
          </cell>
          <cell r="L35">
            <v>0.45</v>
          </cell>
          <cell r="M35">
            <v>11.25</v>
          </cell>
        </row>
        <row r="36">
          <cell r="B36" t="str">
            <v>300.06</v>
          </cell>
          <cell r="C36" t="str">
            <v>04</v>
          </cell>
          <cell r="D36" t="str">
            <v>BOLT &amp; NUTS</v>
          </cell>
          <cell r="E36" t="str">
            <v>NUT</v>
          </cell>
          <cell r="F36" t="str">
            <v>M20</v>
          </cell>
          <cell r="G36" t="str">
            <v>SUS304</v>
          </cell>
          <cell r="H36" t="str">
            <v>EA</v>
          </cell>
          <cell r="I36">
            <v>24</v>
          </cell>
          <cell r="J36">
            <v>1</v>
          </cell>
          <cell r="K36">
            <v>25</v>
          </cell>
          <cell r="L36">
            <v>0.06</v>
          </cell>
          <cell r="M36">
            <v>1.5</v>
          </cell>
        </row>
        <row r="37">
          <cell r="B37" t="str">
            <v>300.06</v>
          </cell>
          <cell r="C37" t="str">
            <v>05</v>
          </cell>
          <cell r="D37" t="str">
            <v>BOLT &amp; NUTS</v>
          </cell>
          <cell r="E37" t="str">
            <v>WASHER(SPRING)</v>
          </cell>
          <cell r="F37" t="str">
            <v>M20</v>
          </cell>
          <cell r="G37" t="str">
            <v>SUS304</v>
          </cell>
          <cell r="H37" t="str">
            <v>EA</v>
          </cell>
          <cell r="I37">
            <v>24</v>
          </cell>
          <cell r="J37">
            <v>1</v>
          </cell>
          <cell r="K37">
            <v>25</v>
          </cell>
          <cell r="L37">
            <v>1.4999999999999999E-2</v>
          </cell>
          <cell r="M37">
            <v>0.375</v>
          </cell>
        </row>
        <row r="38">
          <cell r="B38" t="str">
            <v>300.06</v>
          </cell>
          <cell r="C38" t="str">
            <v>06</v>
          </cell>
          <cell r="D38" t="str">
            <v>BOLT &amp; NUTS</v>
          </cell>
          <cell r="E38" t="str">
            <v>WASHER(PLAIN)</v>
          </cell>
          <cell r="F38" t="str">
            <v>M20</v>
          </cell>
          <cell r="G38" t="str">
            <v>SUS304</v>
          </cell>
          <cell r="H38" t="str">
            <v>EA</v>
          </cell>
          <cell r="I38">
            <v>24</v>
          </cell>
          <cell r="J38">
            <v>1</v>
          </cell>
          <cell r="K38">
            <v>25</v>
          </cell>
          <cell r="L38">
            <v>1.4999999999999999E-2</v>
          </cell>
          <cell r="M38">
            <v>0.375</v>
          </cell>
        </row>
        <row r="39">
          <cell r="B39" t="str">
            <v>300.07</v>
          </cell>
          <cell r="C39" t="str">
            <v>01</v>
          </cell>
          <cell r="D39" t="str">
            <v>HARD WARES</v>
          </cell>
          <cell r="E39" t="str">
            <v>COUPLING GUARD</v>
          </cell>
          <cell r="F39" t="str">
            <v>R180*300*400H</v>
          </cell>
          <cell r="G39" t="str">
            <v>AL</v>
          </cell>
          <cell r="H39" t="str">
            <v>EA</v>
          </cell>
          <cell r="I39">
            <v>6</v>
          </cell>
          <cell r="J39">
            <v>0</v>
          </cell>
          <cell r="K39">
            <v>6</v>
          </cell>
          <cell r="L39">
            <v>3.2</v>
          </cell>
          <cell r="M39">
            <v>19.200000000000003</v>
          </cell>
        </row>
        <row r="40">
          <cell r="B40" t="str">
            <v>300.08</v>
          </cell>
          <cell r="C40" t="str">
            <v>01</v>
          </cell>
          <cell r="D40" t="str">
            <v>BOLT &amp; NUTS</v>
          </cell>
          <cell r="E40" t="str">
            <v>ANCHOR BOLT</v>
          </cell>
          <cell r="F40" t="str">
            <v>M24*400L</v>
          </cell>
          <cell r="G40" t="str">
            <v>SUS304</v>
          </cell>
          <cell r="H40" t="str">
            <v>EA</v>
          </cell>
          <cell r="I40">
            <v>48</v>
          </cell>
          <cell r="J40">
            <v>2</v>
          </cell>
          <cell r="K40">
            <v>50</v>
          </cell>
          <cell r="L40">
            <v>3.4</v>
          </cell>
          <cell r="M40">
            <v>170</v>
          </cell>
        </row>
        <row r="41">
          <cell r="B41" t="str">
            <v>300.08</v>
          </cell>
          <cell r="C41" t="str">
            <v>02</v>
          </cell>
          <cell r="D41" t="str">
            <v>BOLT &amp; NUTS</v>
          </cell>
          <cell r="E41" t="str">
            <v>NUT</v>
          </cell>
          <cell r="F41" t="str">
            <v>M24</v>
          </cell>
          <cell r="G41" t="str">
            <v>SUS304</v>
          </cell>
          <cell r="H41" t="str">
            <v>EA</v>
          </cell>
          <cell r="I41">
            <v>96</v>
          </cell>
          <cell r="J41">
            <v>4</v>
          </cell>
          <cell r="K41">
            <v>100</v>
          </cell>
          <cell r="L41">
            <v>0.1</v>
          </cell>
          <cell r="M41">
            <v>10</v>
          </cell>
        </row>
        <row r="42">
          <cell r="B42" t="str">
            <v>300.08</v>
          </cell>
          <cell r="C42" t="str">
            <v>03</v>
          </cell>
          <cell r="D42" t="str">
            <v>BOLT &amp; NUTS</v>
          </cell>
          <cell r="E42" t="str">
            <v>WASHER(PLAIN)</v>
          </cell>
          <cell r="F42" t="str">
            <v>M24</v>
          </cell>
          <cell r="G42" t="str">
            <v>SUS304</v>
          </cell>
          <cell r="H42" t="str">
            <v>EA</v>
          </cell>
          <cell r="I42">
            <v>48</v>
          </cell>
          <cell r="J42">
            <v>2</v>
          </cell>
          <cell r="K42">
            <v>50</v>
          </cell>
          <cell r="L42">
            <v>0.02</v>
          </cell>
          <cell r="M42">
            <v>1</v>
          </cell>
        </row>
        <row r="43">
          <cell r="B43" t="str">
            <v>300.09</v>
          </cell>
          <cell r="C43" t="str">
            <v>01</v>
          </cell>
          <cell r="D43" t="str">
            <v>HARD WARES</v>
          </cell>
          <cell r="E43" t="str">
            <v>PAD PLATE</v>
          </cell>
          <cell r="F43" t="str">
            <v>150*150*9t</v>
          </cell>
          <cell r="G43" t="str">
            <v>HDGS</v>
          </cell>
          <cell r="H43" t="str">
            <v>EA</v>
          </cell>
          <cell r="I43">
            <v>48</v>
          </cell>
          <cell r="J43">
            <v>2</v>
          </cell>
          <cell r="K43">
            <v>50</v>
          </cell>
          <cell r="L43">
            <v>1.6</v>
          </cell>
          <cell r="M43">
            <v>80</v>
          </cell>
        </row>
        <row r="44">
          <cell r="B44" t="str">
            <v>300.09</v>
          </cell>
          <cell r="C44" t="str">
            <v>02</v>
          </cell>
          <cell r="D44" t="str">
            <v>HARD WARES</v>
          </cell>
          <cell r="E44" t="str">
            <v>ADJUSTMENT PLATE</v>
          </cell>
          <cell r="F44" t="str">
            <v>0.1t</v>
          </cell>
          <cell r="G44" t="str">
            <v>SUS304</v>
          </cell>
          <cell r="H44" t="str">
            <v>SH</v>
          </cell>
          <cell r="I44">
            <v>384</v>
          </cell>
          <cell r="J44">
            <v>0</v>
          </cell>
          <cell r="K44">
            <v>384</v>
          </cell>
          <cell r="L44">
            <v>7.0000000000000001E-3</v>
          </cell>
          <cell r="M44">
            <v>2.6880000000000002</v>
          </cell>
        </row>
        <row r="45">
          <cell r="B45" t="str">
            <v>300.09</v>
          </cell>
          <cell r="C45" t="str">
            <v>03</v>
          </cell>
          <cell r="D45" t="str">
            <v>HARD WARES</v>
          </cell>
          <cell r="E45" t="str">
            <v>ADJUSTMENT PLATE</v>
          </cell>
          <cell r="F45" t="str">
            <v>0.3t</v>
          </cell>
          <cell r="G45" t="str">
            <v>SUS304</v>
          </cell>
          <cell r="H45" t="str">
            <v>SH</v>
          </cell>
          <cell r="I45">
            <v>192</v>
          </cell>
          <cell r="J45">
            <v>0</v>
          </cell>
          <cell r="K45">
            <v>192</v>
          </cell>
          <cell r="L45">
            <v>2.1000000000000001E-2</v>
          </cell>
          <cell r="M45">
            <v>4.032</v>
          </cell>
        </row>
        <row r="46">
          <cell r="B46" t="str">
            <v>300.09</v>
          </cell>
          <cell r="C46" t="str">
            <v>04</v>
          </cell>
          <cell r="D46" t="str">
            <v>HARD WARES</v>
          </cell>
          <cell r="E46" t="str">
            <v>ADJUSTMENT PLATE</v>
          </cell>
          <cell r="F46" t="str">
            <v>0.5t</v>
          </cell>
          <cell r="G46" t="str">
            <v>SUS304</v>
          </cell>
          <cell r="H46" t="str">
            <v>SH</v>
          </cell>
          <cell r="I46">
            <v>96</v>
          </cell>
          <cell r="J46">
            <v>0</v>
          </cell>
          <cell r="K46">
            <v>96</v>
          </cell>
          <cell r="L46">
            <v>3.5000000000000003E-2</v>
          </cell>
          <cell r="M46">
            <v>3.3600000000000003</v>
          </cell>
        </row>
        <row r="47">
          <cell r="B47" t="str">
            <v>300.10</v>
          </cell>
          <cell r="C47" t="str">
            <v>00</v>
          </cell>
          <cell r="D47" t="str">
            <v>BOLT &amp; NUTS</v>
          </cell>
          <cell r="E47" t="str">
            <v>SET ANCHOR</v>
          </cell>
          <cell r="F47" t="str">
            <v>1/2"</v>
          </cell>
          <cell r="G47" t="str">
            <v>SUS304</v>
          </cell>
          <cell r="H47" t="str">
            <v>SET</v>
          </cell>
          <cell r="I47">
            <v>72</v>
          </cell>
          <cell r="J47">
            <v>0</v>
          </cell>
          <cell r="K47">
            <v>72</v>
          </cell>
          <cell r="L47">
            <v>0.25</v>
          </cell>
          <cell r="M47">
            <v>18</v>
          </cell>
        </row>
        <row r="48">
          <cell r="B48" t="str">
            <v>301.00</v>
          </cell>
          <cell r="C48" t="str">
            <v>00</v>
          </cell>
          <cell r="D48" t="str">
            <v>ACCESS.</v>
          </cell>
          <cell r="E48" t="str">
            <v>LUBRICATION OIL</v>
          </cell>
          <cell r="F48" t="str">
            <v>ISO VG220</v>
          </cell>
          <cell r="G48" t="str">
            <v>N/A</v>
          </cell>
          <cell r="H48" t="str">
            <v>LIT.</v>
          </cell>
          <cell r="I48">
            <v>60</v>
          </cell>
          <cell r="J48">
            <v>12</v>
          </cell>
          <cell r="K48">
            <v>72</v>
          </cell>
          <cell r="L48">
            <v>0.95</v>
          </cell>
          <cell r="M48">
            <v>68.399999999999991</v>
          </cell>
        </row>
        <row r="49">
          <cell r="B49" t="str">
            <v>301.01</v>
          </cell>
          <cell r="C49" t="str">
            <v>01</v>
          </cell>
          <cell r="D49" t="str">
            <v>LUB. PIPING</v>
          </cell>
          <cell r="E49" t="str">
            <v>PIPE(THREADED END)</v>
          </cell>
          <cell r="F49" t="str">
            <v>1"*2960L</v>
          </cell>
          <cell r="G49" t="str">
            <v>SUS304</v>
          </cell>
          <cell r="H49" t="str">
            <v>EA</v>
          </cell>
          <cell r="I49">
            <v>6</v>
          </cell>
          <cell r="J49">
            <v>0</v>
          </cell>
          <cell r="K49">
            <v>6</v>
          </cell>
          <cell r="L49">
            <v>5.8</v>
          </cell>
          <cell r="M49">
            <v>34.799999999999997</v>
          </cell>
        </row>
        <row r="50">
          <cell r="B50" t="str">
            <v>301.01</v>
          </cell>
          <cell r="C50" t="str">
            <v>02</v>
          </cell>
          <cell r="D50" t="str">
            <v>LUB. PIPING</v>
          </cell>
          <cell r="E50" t="str">
            <v>PIPE(THREADED END)</v>
          </cell>
          <cell r="F50" t="str">
            <v>1"*3170L</v>
          </cell>
          <cell r="G50" t="str">
            <v>SUS304</v>
          </cell>
          <cell r="H50" t="str">
            <v>EA</v>
          </cell>
          <cell r="I50">
            <v>6</v>
          </cell>
          <cell r="J50">
            <v>0</v>
          </cell>
          <cell r="K50">
            <v>6</v>
          </cell>
          <cell r="L50">
            <v>5.4</v>
          </cell>
          <cell r="M50">
            <v>32.400000000000006</v>
          </cell>
        </row>
        <row r="51">
          <cell r="B51" t="str">
            <v>301.01</v>
          </cell>
          <cell r="C51" t="str">
            <v>03</v>
          </cell>
          <cell r="D51" t="str">
            <v>LUB. PIPING</v>
          </cell>
          <cell r="E51" t="str">
            <v>PIPE(THREADED END)</v>
          </cell>
          <cell r="F51" t="str">
            <v>1"*470L</v>
          </cell>
          <cell r="G51" t="str">
            <v>SUS304</v>
          </cell>
          <cell r="H51" t="str">
            <v>EA</v>
          </cell>
          <cell r="I51">
            <v>6</v>
          </cell>
          <cell r="J51">
            <v>0</v>
          </cell>
          <cell r="K51">
            <v>6</v>
          </cell>
          <cell r="L51">
            <v>0.3</v>
          </cell>
          <cell r="M51">
            <v>1.7999999999999998</v>
          </cell>
        </row>
        <row r="52">
          <cell r="B52" t="str">
            <v>301.01</v>
          </cell>
          <cell r="C52" t="str">
            <v>04</v>
          </cell>
          <cell r="D52" t="str">
            <v>LUB. PIPING</v>
          </cell>
          <cell r="E52" t="str">
            <v>PIPE(THREADED END)</v>
          </cell>
          <cell r="F52" t="str">
            <v>1"*100L</v>
          </cell>
          <cell r="G52" t="str">
            <v>SUS304</v>
          </cell>
          <cell r="H52" t="str">
            <v>EA</v>
          </cell>
          <cell r="I52">
            <v>12</v>
          </cell>
          <cell r="J52">
            <v>0</v>
          </cell>
          <cell r="K52">
            <v>12</v>
          </cell>
          <cell r="L52">
            <v>0.1</v>
          </cell>
          <cell r="M52">
            <v>1.2000000000000002</v>
          </cell>
        </row>
        <row r="53">
          <cell r="B53" t="str">
            <v>301.01</v>
          </cell>
          <cell r="C53" t="str">
            <v>05</v>
          </cell>
          <cell r="D53" t="str">
            <v>LUB. PIPING</v>
          </cell>
          <cell r="E53" t="str">
            <v>PIPE(THREADED END)</v>
          </cell>
          <cell r="F53" t="str">
            <v>1"*600L</v>
          </cell>
          <cell r="G53" t="str">
            <v>SUS304</v>
          </cell>
          <cell r="H53" t="str">
            <v>EA</v>
          </cell>
          <cell r="I53">
            <v>12</v>
          </cell>
          <cell r="J53">
            <v>0</v>
          </cell>
          <cell r="K53">
            <v>12</v>
          </cell>
          <cell r="L53">
            <v>1</v>
          </cell>
          <cell r="M53">
            <v>12</v>
          </cell>
        </row>
        <row r="54">
          <cell r="B54" t="str">
            <v>301.01</v>
          </cell>
          <cell r="C54" t="str">
            <v>06</v>
          </cell>
          <cell r="D54" t="str">
            <v>LUB. PIPING</v>
          </cell>
          <cell r="E54" t="str">
            <v>PIPE(THREADED END)</v>
          </cell>
          <cell r="F54" t="str">
            <v>1"*600L</v>
          </cell>
          <cell r="G54" t="str">
            <v>SUS304</v>
          </cell>
          <cell r="H54" t="str">
            <v>EA</v>
          </cell>
          <cell r="I54">
            <v>12</v>
          </cell>
          <cell r="J54">
            <v>0</v>
          </cell>
          <cell r="K54">
            <v>12</v>
          </cell>
          <cell r="L54">
            <v>1</v>
          </cell>
          <cell r="M54">
            <v>12</v>
          </cell>
        </row>
        <row r="55">
          <cell r="B55" t="str">
            <v>301.01</v>
          </cell>
          <cell r="C55" t="str">
            <v>07</v>
          </cell>
          <cell r="D55" t="str">
            <v>LUB. PIPING</v>
          </cell>
          <cell r="E55" t="str">
            <v>VENT PIPE</v>
          </cell>
          <cell r="F55" t="str">
            <v>1"*200L</v>
          </cell>
          <cell r="G55" t="str">
            <v>SUS304</v>
          </cell>
          <cell r="H55" t="str">
            <v>EA</v>
          </cell>
          <cell r="I55">
            <v>6</v>
          </cell>
          <cell r="J55">
            <v>0</v>
          </cell>
          <cell r="K55">
            <v>6</v>
          </cell>
          <cell r="L55">
            <v>1</v>
          </cell>
          <cell r="M55">
            <v>6</v>
          </cell>
        </row>
        <row r="56">
          <cell r="B56" t="str">
            <v>301.02</v>
          </cell>
          <cell r="C56" t="str">
            <v>01</v>
          </cell>
          <cell r="D56" t="str">
            <v>LUB. PIPING</v>
          </cell>
          <cell r="E56" t="str">
            <v>SHORT NIPPLE</v>
          </cell>
          <cell r="F56" t="str">
            <v>3/4"</v>
          </cell>
          <cell r="G56" t="str">
            <v>SUS304</v>
          </cell>
          <cell r="H56" t="str">
            <v>EA</v>
          </cell>
          <cell r="I56">
            <v>12</v>
          </cell>
          <cell r="J56">
            <v>0</v>
          </cell>
          <cell r="K56">
            <v>12</v>
          </cell>
          <cell r="L56">
            <v>0.05</v>
          </cell>
          <cell r="M56">
            <v>0.60000000000000009</v>
          </cell>
        </row>
        <row r="57">
          <cell r="B57" t="str">
            <v>301.02</v>
          </cell>
          <cell r="C57" t="str">
            <v>02</v>
          </cell>
          <cell r="D57" t="str">
            <v>LUB. PIPING</v>
          </cell>
          <cell r="E57" t="str">
            <v>SHORT NIPPLE</v>
          </cell>
          <cell r="F57" t="str">
            <v>1"</v>
          </cell>
          <cell r="G57" t="str">
            <v>SUS304</v>
          </cell>
          <cell r="H57" t="str">
            <v>EA</v>
          </cell>
          <cell r="I57">
            <v>42</v>
          </cell>
          <cell r="J57">
            <v>0</v>
          </cell>
          <cell r="K57">
            <v>42</v>
          </cell>
          <cell r="L57">
            <v>0.05</v>
          </cell>
          <cell r="M57">
            <v>2.1</v>
          </cell>
        </row>
        <row r="58">
          <cell r="B58" t="str">
            <v>301.02</v>
          </cell>
          <cell r="C58" t="str">
            <v>03</v>
          </cell>
          <cell r="D58" t="str">
            <v>LUB. PIPING</v>
          </cell>
          <cell r="E58" t="str">
            <v>REDUCE SOCKET</v>
          </cell>
          <cell r="F58" t="str">
            <v>1"*1/4"</v>
          </cell>
          <cell r="G58" t="str">
            <v>SUS304</v>
          </cell>
          <cell r="H58" t="str">
            <v>EA</v>
          </cell>
          <cell r="I58">
            <v>6</v>
          </cell>
          <cell r="J58">
            <v>0</v>
          </cell>
          <cell r="K58">
            <v>6</v>
          </cell>
          <cell r="L58">
            <v>0.1</v>
          </cell>
          <cell r="M58">
            <v>0.60000000000000009</v>
          </cell>
        </row>
        <row r="59">
          <cell r="B59" t="str">
            <v>301.02</v>
          </cell>
          <cell r="C59" t="str">
            <v>04</v>
          </cell>
          <cell r="D59" t="str">
            <v>LUB. PIPING</v>
          </cell>
          <cell r="E59" t="str">
            <v>REDUCE SOCKET</v>
          </cell>
          <cell r="F59" t="str">
            <v>1"*3/4"</v>
          </cell>
          <cell r="G59" t="str">
            <v>SUS304</v>
          </cell>
          <cell r="H59" t="str">
            <v>EA</v>
          </cell>
          <cell r="I59">
            <v>12</v>
          </cell>
          <cell r="J59">
            <v>0</v>
          </cell>
          <cell r="K59">
            <v>12</v>
          </cell>
          <cell r="L59">
            <v>0.1</v>
          </cell>
          <cell r="M59">
            <v>1.2000000000000002</v>
          </cell>
        </row>
        <row r="60">
          <cell r="B60" t="str">
            <v>301.03</v>
          </cell>
          <cell r="C60" t="str">
            <v>00</v>
          </cell>
          <cell r="D60" t="str">
            <v>LUB. PIPING</v>
          </cell>
          <cell r="E60" t="str">
            <v xml:space="preserve">TEE </v>
          </cell>
          <cell r="F60" t="str">
            <v>1"*1"</v>
          </cell>
          <cell r="G60" t="str">
            <v>SUS304</v>
          </cell>
          <cell r="H60" t="str">
            <v>EA</v>
          </cell>
          <cell r="I60">
            <v>18</v>
          </cell>
          <cell r="J60">
            <v>0</v>
          </cell>
          <cell r="K60">
            <v>18</v>
          </cell>
          <cell r="L60">
            <v>0.1</v>
          </cell>
          <cell r="M60">
            <v>1.8</v>
          </cell>
        </row>
        <row r="61">
          <cell r="B61" t="str">
            <v>301.04</v>
          </cell>
          <cell r="C61" t="str">
            <v>00</v>
          </cell>
          <cell r="D61" t="str">
            <v>LUB. PIPING</v>
          </cell>
          <cell r="E61" t="str">
            <v>ELBOW</v>
          </cell>
          <cell r="F61" t="str">
            <v>1"*90O</v>
          </cell>
          <cell r="G61" t="str">
            <v>SUS304</v>
          </cell>
          <cell r="H61" t="str">
            <v>EA</v>
          </cell>
          <cell r="I61">
            <v>24</v>
          </cell>
          <cell r="J61">
            <v>1</v>
          </cell>
          <cell r="K61">
            <v>25</v>
          </cell>
          <cell r="L61">
            <v>0.1</v>
          </cell>
          <cell r="M61">
            <v>2.5</v>
          </cell>
        </row>
        <row r="62">
          <cell r="B62" t="str">
            <v>301.05</v>
          </cell>
          <cell r="C62" t="str">
            <v>00</v>
          </cell>
          <cell r="D62" t="str">
            <v>LUB. PIPING</v>
          </cell>
          <cell r="E62" t="str">
            <v>COKE</v>
          </cell>
          <cell r="F62" t="str">
            <v>1"</v>
          </cell>
          <cell r="G62" t="str">
            <v>SUS304</v>
          </cell>
          <cell r="H62" t="str">
            <v>EA</v>
          </cell>
          <cell r="I62">
            <v>24</v>
          </cell>
          <cell r="J62">
            <v>1</v>
          </cell>
          <cell r="K62">
            <v>25</v>
          </cell>
          <cell r="L62">
            <v>3.0000000000000001E-3</v>
          </cell>
          <cell r="M62">
            <v>7.4999999999999997E-2</v>
          </cell>
        </row>
        <row r="63">
          <cell r="B63" t="str">
            <v>301.06</v>
          </cell>
          <cell r="C63" t="str">
            <v>00</v>
          </cell>
          <cell r="D63" t="str">
            <v>LUB. PIPING</v>
          </cell>
          <cell r="E63" t="str">
            <v>OIL GAUGE</v>
          </cell>
          <cell r="F63" t="str">
            <v>1/4"*150L</v>
          </cell>
          <cell r="G63" t="str">
            <v>BRASS</v>
          </cell>
          <cell r="H63" t="str">
            <v>EA</v>
          </cell>
          <cell r="I63">
            <v>6</v>
          </cell>
          <cell r="J63">
            <v>2</v>
          </cell>
          <cell r="K63">
            <v>8</v>
          </cell>
          <cell r="L63">
            <v>0.1</v>
          </cell>
          <cell r="M63">
            <v>0.8</v>
          </cell>
        </row>
        <row r="64">
          <cell r="B64" t="str">
            <v>301.07</v>
          </cell>
          <cell r="C64" t="str">
            <v>00</v>
          </cell>
          <cell r="D64" t="str">
            <v>HARD WARES</v>
          </cell>
          <cell r="E64" t="str">
            <v>FUNNEL</v>
          </cell>
          <cell r="F64" t="str">
            <v>PI155*200L</v>
          </cell>
          <cell r="G64" t="str">
            <v>SUS304</v>
          </cell>
          <cell r="H64" t="str">
            <v>EA</v>
          </cell>
          <cell r="I64">
            <v>6</v>
          </cell>
          <cell r="J64">
            <v>0</v>
          </cell>
          <cell r="K64">
            <v>6</v>
          </cell>
          <cell r="L64">
            <v>1.45</v>
          </cell>
          <cell r="M64">
            <v>8.6999999999999993</v>
          </cell>
        </row>
        <row r="65">
          <cell r="B65" t="str">
            <v>301.08</v>
          </cell>
          <cell r="C65" t="str">
            <v>01</v>
          </cell>
          <cell r="D65" t="str">
            <v>HARD WARES</v>
          </cell>
          <cell r="E65" t="str">
            <v>PIPE SUPPORT(EXT.)</v>
          </cell>
          <cell r="F65" t="str">
            <v>C-125*921L</v>
          </cell>
          <cell r="G65" t="str">
            <v>SS41</v>
          </cell>
          <cell r="H65" t="str">
            <v>EA</v>
          </cell>
          <cell r="I65">
            <v>6</v>
          </cell>
          <cell r="J65">
            <v>0</v>
          </cell>
          <cell r="K65">
            <v>6</v>
          </cell>
          <cell r="L65">
            <v>15</v>
          </cell>
          <cell r="M65">
            <v>90</v>
          </cell>
        </row>
        <row r="66">
          <cell r="B66" t="str">
            <v>301.08</v>
          </cell>
          <cell r="C66" t="str">
            <v>02</v>
          </cell>
          <cell r="D66" t="str">
            <v>HARD WARES</v>
          </cell>
          <cell r="E66" t="str">
            <v>PIPE SUPPORT(INT.)</v>
          </cell>
          <cell r="F66" t="str">
            <v>32A*350*850L</v>
          </cell>
          <cell r="G66" t="str">
            <v>HDGS</v>
          </cell>
          <cell r="H66" t="str">
            <v>EA</v>
          </cell>
          <cell r="I66">
            <v>6</v>
          </cell>
          <cell r="J66">
            <v>0</v>
          </cell>
          <cell r="K66">
            <v>6</v>
          </cell>
          <cell r="L66">
            <v>4</v>
          </cell>
          <cell r="M66">
            <v>24</v>
          </cell>
        </row>
        <row r="67">
          <cell r="B67" t="str">
            <v>301.08</v>
          </cell>
          <cell r="C67" t="str">
            <v>03</v>
          </cell>
          <cell r="D67" t="str">
            <v>HARD WARES</v>
          </cell>
          <cell r="E67" t="str">
            <v>PLATE</v>
          </cell>
          <cell r="F67" t="str">
            <v>240*134*3.2t</v>
          </cell>
          <cell r="G67" t="str">
            <v>HDGS</v>
          </cell>
          <cell r="H67" t="str">
            <v>EA</v>
          </cell>
          <cell r="I67">
            <v>12</v>
          </cell>
          <cell r="J67">
            <v>0</v>
          </cell>
          <cell r="K67">
            <v>12</v>
          </cell>
          <cell r="L67">
            <v>1</v>
          </cell>
          <cell r="M67">
            <v>12</v>
          </cell>
        </row>
        <row r="68">
          <cell r="B68" t="str">
            <v>301.08</v>
          </cell>
          <cell r="C68" t="str">
            <v>04</v>
          </cell>
          <cell r="D68" t="str">
            <v>BOLT &amp; NUTS</v>
          </cell>
          <cell r="E68" t="str">
            <v>U-BOLT</v>
          </cell>
          <cell r="F68" t="str">
            <v>1"*M10</v>
          </cell>
          <cell r="G68" t="str">
            <v>SUS304</v>
          </cell>
          <cell r="H68" t="str">
            <v>EA</v>
          </cell>
          <cell r="I68">
            <v>42</v>
          </cell>
          <cell r="J68">
            <v>3</v>
          </cell>
          <cell r="K68">
            <v>45</v>
          </cell>
          <cell r="L68">
            <v>0.05</v>
          </cell>
          <cell r="M68">
            <v>2.25</v>
          </cell>
        </row>
        <row r="69">
          <cell r="B69" t="str">
            <v>301.08</v>
          </cell>
          <cell r="C69" t="str">
            <v>05</v>
          </cell>
          <cell r="D69" t="str">
            <v>BOLT &amp; NUTS</v>
          </cell>
          <cell r="E69" t="str">
            <v>NUT</v>
          </cell>
          <cell r="F69" t="str">
            <v>M10</v>
          </cell>
          <cell r="G69" t="str">
            <v>SUS304</v>
          </cell>
          <cell r="H69" t="str">
            <v>EA</v>
          </cell>
          <cell r="I69">
            <v>168</v>
          </cell>
          <cell r="J69">
            <v>12</v>
          </cell>
          <cell r="K69">
            <v>180</v>
          </cell>
          <cell r="L69">
            <v>8.0000000000000002E-3</v>
          </cell>
          <cell r="M69">
            <v>1.44</v>
          </cell>
        </row>
        <row r="70">
          <cell r="B70" t="str">
            <v>301.08</v>
          </cell>
          <cell r="C70" t="str">
            <v>06</v>
          </cell>
          <cell r="D70" t="str">
            <v>BOLT &amp; NUTS</v>
          </cell>
          <cell r="E70" t="str">
            <v>WASHER(PLAIN)</v>
          </cell>
          <cell r="F70" t="str">
            <v>M10</v>
          </cell>
          <cell r="G70" t="str">
            <v>SUS304</v>
          </cell>
          <cell r="H70" t="str">
            <v>EA</v>
          </cell>
          <cell r="I70">
            <v>84</v>
          </cell>
          <cell r="J70">
            <v>6</v>
          </cell>
          <cell r="K70">
            <v>90</v>
          </cell>
          <cell r="L70">
            <v>5.0000000000000001E-3</v>
          </cell>
          <cell r="M70">
            <v>0.45</v>
          </cell>
        </row>
        <row r="71">
          <cell r="B71" t="str">
            <v>301.08</v>
          </cell>
          <cell r="C71" t="str">
            <v>07</v>
          </cell>
          <cell r="D71" t="str">
            <v>BOLT &amp; NUTS</v>
          </cell>
          <cell r="E71" t="str">
            <v>U-BOLT</v>
          </cell>
          <cell r="F71" t="str">
            <v>1 1/4"*M10</v>
          </cell>
          <cell r="G71" t="str">
            <v>SUS304</v>
          </cell>
          <cell r="H71" t="str">
            <v>EA</v>
          </cell>
          <cell r="I71">
            <v>24</v>
          </cell>
          <cell r="J71">
            <v>2</v>
          </cell>
          <cell r="K71">
            <v>26</v>
          </cell>
          <cell r="L71">
            <v>0.08</v>
          </cell>
          <cell r="M71">
            <v>2.08</v>
          </cell>
        </row>
        <row r="72">
          <cell r="B72" t="str">
            <v>301.08</v>
          </cell>
          <cell r="C72" t="str">
            <v>08</v>
          </cell>
          <cell r="D72" t="str">
            <v>BOLT &amp; NUTS</v>
          </cell>
          <cell r="E72" t="str">
            <v>NUT</v>
          </cell>
          <cell r="F72" t="str">
            <v>M10</v>
          </cell>
          <cell r="G72" t="str">
            <v>SUS304</v>
          </cell>
          <cell r="H72" t="str">
            <v>EA</v>
          </cell>
          <cell r="I72">
            <v>96</v>
          </cell>
          <cell r="J72">
            <v>4</v>
          </cell>
          <cell r="K72">
            <v>100</v>
          </cell>
          <cell r="L72">
            <v>8.0000000000000002E-3</v>
          </cell>
          <cell r="M72">
            <v>0.8</v>
          </cell>
        </row>
        <row r="73">
          <cell r="B73" t="str">
            <v>301.08</v>
          </cell>
          <cell r="C73" t="str">
            <v>09</v>
          </cell>
          <cell r="D73" t="str">
            <v>BOLT &amp; NUTS</v>
          </cell>
          <cell r="E73" t="str">
            <v>WASHER(PLAIN)</v>
          </cell>
          <cell r="F73" t="str">
            <v>M10</v>
          </cell>
          <cell r="G73" t="str">
            <v>SUS304</v>
          </cell>
          <cell r="H73" t="str">
            <v>EA</v>
          </cell>
          <cell r="I73">
            <v>48</v>
          </cell>
          <cell r="J73">
            <v>12</v>
          </cell>
          <cell r="K73">
            <v>60</v>
          </cell>
          <cell r="L73">
            <v>5.0000000000000001E-3</v>
          </cell>
          <cell r="M73">
            <v>0.3</v>
          </cell>
        </row>
        <row r="74">
          <cell r="B74" t="str">
            <v>301.09</v>
          </cell>
          <cell r="C74" t="str">
            <v>00</v>
          </cell>
          <cell r="D74" t="str">
            <v>LUB. PIPING</v>
          </cell>
          <cell r="E74" t="str">
            <v>END PLUG</v>
          </cell>
          <cell r="F74" t="str">
            <v>1"</v>
          </cell>
          <cell r="G74" t="str">
            <v>SUS304</v>
          </cell>
          <cell r="H74" t="str">
            <v>EA</v>
          </cell>
          <cell r="I74">
            <v>6</v>
          </cell>
          <cell r="J74">
            <v>0</v>
          </cell>
          <cell r="K74">
            <v>6</v>
          </cell>
          <cell r="L74">
            <v>0.1</v>
          </cell>
          <cell r="M74">
            <v>0.60000000000000009</v>
          </cell>
        </row>
        <row r="75">
          <cell r="B75" t="str">
            <v>301.10</v>
          </cell>
          <cell r="C75" t="str">
            <v>00</v>
          </cell>
          <cell r="D75" t="str">
            <v>BOLT &amp; NUTS</v>
          </cell>
          <cell r="E75" t="str">
            <v>SET ANCHOR</v>
          </cell>
          <cell r="F75" t="str">
            <v>1/2"</v>
          </cell>
          <cell r="G75" t="str">
            <v>SUS304</v>
          </cell>
          <cell r="H75" t="str">
            <v>SET</v>
          </cell>
          <cell r="I75">
            <v>36</v>
          </cell>
          <cell r="J75">
            <v>4</v>
          </cell>
          <cell r="K75">
            <v>40</v>
          </cell>
          <cell r="L75">
            <v>0.25</v>
          </cell>
          <cell r="M75">
            <v>10</v>
          </cell>
        </row>
        <row r="76">
          <cell r="B76" t="str">
            <v>301.11</v>
          </cell>
          <cell r="C76" t="str">
            <v>01</v>
          </cell>
          <cell r="D76" t="str">
            <v>LUB. PIPING</v>
          </cell>
          <cell r="E76" t="str">
            <v>TUBE</v>
          </cell>
          <cell r="F76" t="str">
            <v>1/4"*4800L</v>
          </cell>
          <cell r="G76" t="str">
            <v>CU</v>
          </cell>
          <cell r="H76" t="str">
            <v>EA</v>
          </cell>
          <cell r="I76">
            <v>12</v>
          </cell>
          <cell r="J76">
            <v>2</v>
          </cell>
          <cell r="K76">
            <v>14</v>
          </cell>
          <cell r="L76">
            <v>0.25</v>
          </cell>
          <cell r="M76">
            <v>3.5</v>
          </cell>
        </row>
        <row r="77">
          <cell r="B77" t="str">
            <v>301.11</v>
          </cell>
          <cell r="C77" t="str">
            <v>02</v>
          </cell>
          <cell r="D77" t="str">
            <v>LUB. PIPING</v>
          </cell>
          <cell r="E77" t="str">
            <v>GREASE NIPPLE</v>
          </cell>
          <cell r="F77" t="str">
            <v>1/4"</v>
          </cell>
          <cell r="G77" t="str">
            <v>BRASS</v>
          </cell>
          <cell r="H77" t="str">
            <v>EA</v>
          </cell>
          <cell r="I77">
            <v>12</v>
          </cell>
          <cell r="J77">
            <v>2</v>
          </cell>
          <cell r="K77">
            <v>14</v>
          </cell>
          <cell r="L77">
            <v>0.25</v>
          </cell>
          <cell r="M77">
            <v>3.5</v>
          </cell>
        </row>
        <row r="78">
          <cell r="B78" t="str">
            <v>301.11</v>
          </cell>
          <cell r="C78" t="str">
            <v>03</v>
          </cell>
          <cell r="D78" t="str">
            <v>LUB. PIPING</v>
          </cell>
          <cell r="E78" t="str">
            <v>SOCKET</v>
          </cell>
          <cell r="F78" t="str">
            <v>1/4"</v>
          </cell>
          <cell r="G78" t="str">
            <v>BRASS</v>
          </cell>
          <cell r="H78" t="str">
            <v>EA</v>
          </cell>
          <cell r="I78">
            <v>24</v>
          </cell>
          <cell r="J78">
            <v>2</v>
          </cell>
          <cell r="K78">
            <v>26</v>
          </cell>
          <cell r="L78">
            <v>0.25</v>
          </cell>
          <cell r="M78">
            <v>6.5</v>
          </cell>
        </row>
        <row r="79">
          <cell r="B79" t="str">
            <v>301.11</v>
          </cell>
          <cell r="C79" t="str">
            <v>04</v>
          </cell>
          <cell r="D79" t="str">
            <v>LUB. PIPING</v>
          </cell>
          <cell r="E79" t="str">
            <v>CABLE-TIE</v>
          </cell>
          <cell r="F79" t="str">
            <v>8"</v>
          </cell>
          <cell r="G79" t="str">
            <v>PLASTIC</v>
          </cell>
          <cell r="H79" t="str">
            <v>EA</v>
          </cell>
          <cell r="I79">
            <v>160</v>
          </cell>
          <cell r="J79">
            <v>10</v>
          </cell>
          <cell r="K79">
            <v>170</v>
          </cell>
          <cell r="L79">
            <v>0.25</v>
          </cell>
          <cell r="M79">
            <v>42.5</v>
          </cell>
        </row>
        <row r="80">
          <cell r="B80" t="str">
            <v>301.12</v>
          </cell>
          <cell r="C80" t="str">
            <v>00</v>
          </cell>
          <cell r="D80" t="str">
            <v>HARD WARES</v>
          </cell>
          <cell r="E80" t="str">
            <v>PIPE SUPPORT(INT.2)</v>
          </cell>
          <cell r="F80" t="str">
            <v>32A*330L</v>
          </cell>
          <cell r="G80" t="str">
            <v>HDGS</v>
          </cell>
          <cell r="H80" t="str">
            <v>EA</v>
          </cell>
          <cell r="I80">
            <v>6</v>
          </cell>
          <cell r="J80">
            <v>0</v>
          </cell>
          <cell r="K80">
            <v>6</v>
          </cell>
          <cell r="L80">
            <v>0.25</v>
          </cell>
          <cell r="M80">
            <v>1.5</v>
          </cell>
        </row>
        <row r="81">
          <cell r="B81">
            <v>302.01</v>
          </cell>
          <cell r="C81" t="str">
            <v>00</v>
          </cell>
          <cell r="D81" t="str">
            <v>HARD WARES</v>
          </cell>
          <cell r="E81" t="str">
            <v>ACCESS TRAP COVER</v>
          </cell>
          <cell r="F81" t="str">
            <v>660*960</v>
          </cell>
          <cell r="G81" t="str">
            <v>HDGS</v>
          </cell>
          <cell r="H81" t="str">
            <v>EA</v>
          </cell>
          <cell r="I81">
            <v>9</v>
          </cell>
          <cell r="J81">
            <v>0</v>
          </cell>
          <cell r="K81">
            <v>9</v>
          </cell>
          <cell r="L81">
            <v>28</v>
          </cell>
          <cell r="M81">
            <v>252</v>
          </cell>
        </row>
        <row r="82">
          <cell r="B82" t="str">
            <v>303.01</v>
          </cell>
          <cell r="C82" t="str">
            <v>00</v>
          </cell>
          <cell r="D82" t="str">
            <v>PVC FAB.</v>
          </cell>
          <cell r="E82" t="str">
            <v>ELIMINATOR</v>
          </cell>
          <cell r="F82" t="str">
            <v>WAVE177*1.2*3990L</v>
          </cell>
          <cell r="G82" t="str">
            <v>PVC</v>
          </cell>
          <cell r="H82" t="str">
            <v>EA</v>
          </cell>
          <cell r="I82">
            <v>2688</v>
          </cell>
          <cell r="J82">
            <v>52</v>
          </cell>
          <cell r="K82">
            <v>2740</v>
          </cell>
          <cell r="L82">
            <v>1.6</v>
          </cell>
          <cell r="M82">
            <v>4384</v>
          </cell>
        </row>
        <row r="83">
          <cell r="B83" t="str">
            <v>303.02</v>
          </cell>
          <cell r="C83" t="str">
            <v>00</v>
          </cell>
          <cell r="D83" t="str">
            <v>PVC FAB.</v>
          </cell>
          <cell r="E83" t="str">
            <v>NEW SPACER</v>
          </cell>
          <cell r="F83" t="str">
            <v>CLIP 220*12</v>
          </cell>
          <cell r="G83" t="str">
            <v>PP</v>
          </cell>
          <cell r="H83" t="str">
            <v>EA</v>
          </cell>
          <cell r="I83">
            <v>18648</v>
          </cell>
          <cell r="J83">
            <v>552</v>
          </cell>
          <cell r="K83">
            <v>19200</v>
          </cell>
          <cell r="L83">
            <v>0.03</v>
          </cell>
          <cell r="M83">
            <v>576</v>
          </cell>
        </row>
        <row r="84">
          <cell r="B84" t="str">
            <v>305.01</v>
          </cell>
          <cell r="C84" t="str">
            <v>01</v>
          </cell>
          <cell r="D84" t="str">
            <v>DIST. PIPE</v>
          </cell>
          <cell r="E84" t="str">
            <v>PIPE</v>
          </cell>
          <cell r="F84" t="str">
            <v>150A*4020L</v>
          </cell>
          <cell r="G84" t="str">
            <v>PVC</v>
          </cell>
          <cell r="H84" t="str">
            <v>EA</v>
          </cell>
          <cell r="I84">
            <v>72</v>
          </cell>
          <cell r="J84">
            <v>2</v>
          </cell>
          <cell r="K84">
            <v>74</v>
          </cell>
          <cell r="L84">
            <v>6.1</v>
          </cell>
          <cell r="M84">
            <v>451.4</v>
          </cell>
        </row>
        <row r="85">
          <cell r="B85" t="str">
            <v>305.01</v>
          </cell>
          <cell r="C85" t="str">
            <v>02</v>
          </cell>
          <cell r="D85" t="str">
            <v>DIST. PIPE</v>
          </cell>
          <cell r="E85" t="str">
            <v>PIPE</v>
          </cell>
          <cell r="F85" t="str">
            <v>150A*4000L</v>
          </cell>
          <cell r="G85" t="str">
            <v>PVC</v>
          </cell>
          <cell r="H85" t="str">
            <v>EA</v>
          </cell>
          <cell r="I85">
            <v>72</v>
          </cell>
          <cell r="J85">
            <v>2</v>
          </cell>
          <cell r="K85">
            <v>74</v>
          </cell>
          <cell r="L85">
            <v>5.6</v>
          </cell>
          <cell r="M85">
            <v>414.4</v>
          </cell>
        </row>
        <row r="86">
          <cell r="B86" t="str">
            <v>305.01</v>
          </cell>
          <cell r="C86" t="str">
            <v>03</v>
          </cell>
          <cell r="D86" t="str">
            <v>DIST. PIPE</v>
          </cell>
          <cell r="E86" t="str">
            <v>PIPE COUPLING</v>
          </cell>
          <cell r="F86" t="str">
            <v>150A</v>
          </cell>
          <cell r="G86" t="str">
            <v>PVC</v>
          </cell>
          <cell r="H86" t="str">
            <v>EA</v>
          </cell>
          <cell r="I86">
            <v>72</v>
          </cell>
          <cell r="J86">
            <v>2</v>
          </cell>
          <cell r="K86">
            <v>74</v>
          </cell>
          <cell r="L86">
            <v>1.5</v>
          </cell>
          <cell r="M86">
            <v>111</v>
          </cell>
        </row>
        <row r="87">
          <cell r="B87" t="str">
            <v>305.02</v>
          </cell>
          <cell r="C87" t="str">
            <v>04</v>
          </cell>
          <cell r="D87" t="str">
            <v>ACCESS.</v>
          </cell>
          <cell r="E87" t="str">
            <v>PIPE SADDLE</v>
          </cell>
          <cell r="F87" t="str">
            <v>150A(220*150*120)</v>
          </cell>
          <cell r="G87" t="str">
            <v>EPS</v>
          </cell>
          <cell r="H87" t="str">
            <v>EA</v>
          </cell>
          <cell r="I87">
            <v>288</v>
          </cell>
          <cell r="J87">
            <v>12</v>
          </cell>
          <cell r="K87">
            <v>300</v>
          </cell>
          <cell r="L87">
            <v>0.1</v>
          </cell>
          <cell r="M87">
            <v>30</v>
          </cell>
        </row>
        <row r="88">
          <cell r="B88" t="str">
            <v>305.03</v>
          </cell>
          <cell r="C88" t="str">
            <v>01</v>
          </cell>
          <cell r="D88" t="str">
            <v>ACCESS.</v>
          </cell>
          <cell r="E88" t="str">
            <v>CLIP</v>
          </cell>
          <cell r="F88" t="str">
            <v>1/2"</v>
          </cell>
          <cell r="G88" t="str">
            <v>SUS304</v>
          </cell>
          <cell r="H88" t="str">
            <v>EA</v>
          </cell>
          <cell r="I88">
            <v>576</v>
          </cell>
          <cell r="J88">
            <v>24</v>
          </cell>
          <cell r="K88">
            <v>600</v>
          </cell>
          <cell r="L88">
            <v>0.01</v>
          </cell>
          <cell r="M88">
            <v>6</v>
          </cell>
        </row>
        <row r="89">
          <cell r="B89" t="str">
            <v>305.03</v>
          </cell>
          <cell r="C89" t="str">
            <v>02</v>
          </cell>
          <cell r="D89" t="str">
            <v>ACCESS.</v>
          </cell>
          <cell r="E89" t="str">
            <v>BAND-IT</v>
          </cell>
          <cell r="F89" t="str">
            <v>1/2"</v>
          </cell>
          <cell r="G89" t="str">
            <v>SUS304</v>
          </cell>
          <cell r="H89" t="str">
            <v>M</v>
          </cell>
          <cell r="I89">
            <v>1160</v>
          </cell>
          <cell r="J89">
            <v>48</v>
          </cell>
          <cell r="K89">
            <v>1208</v>
          </cell>
          <cell r="L89">
            <v>0.03</v>
          </cell>
          <cell r="M89">
            <v>36.24</v>
          </cell>
        </row>
        <row r="90">
          <cell r="B90" t="str">
            <v>305.04</v>
          </cell>
          <cell r="C90" t="str">
            <v>01</v>
          </cell>
          <cell r="D90" t="str">
            <v>PVC FAB.</v>
          </cell>
          <cell r="E90" t="str">
            <v>END PLUG I</v>
          </cell>
          <cell r="F90" t="str">
            <v>FOR 150A</v>
          </cell>
          <cell r="G90" t="str">
            <v>PVC</v>
          </cell>
          <cell r="H90" t="str">
            <v>EA</v>
          </cell>
          <cell r="I90">
            <v>72</v>
          </cell>
          <cell r="J90">
            <v>2</v>
          </cell>
          <cell r="K90">
            <v>74</v>
          </cell>
          <cell r="L90">
            <v>0.12</v>
          </cell>
          <cell r="M90">
            <v>8.879999999999999</v>
          </cell>
        </row>
        <row r="91">
          <cell r="B91" t="str">
            <v>305.04</v>
          </cell>
          <cell r="C91" t="str">
            <v>02</v>
          </cell>
          <cell r="D91" t="str">
            <v>PVC FAB.</v>
          </cell>
          <cell r="E91" t="str">
            <v>END PLUG II</v>
          </cell>
          <cell r="F91" t="str">
            <v>FOR 150A</v>
          </cell>
          <cell r="G91" t="str">
            <v>PVC</v>
          </cell>
          <cell r="H91" t="str">
            <v>EA</v>
          </cell>
          <cell r="I91">
            <v>72</v>
          </cell>
          <cell r="J91">
            <v>2</v>
          </cell>
          <cell r="K91">
            <v>74</v>
          </cell>
          <cell r="L91">
            <v>0.12</v>
          </cell>
          <cell r="M91">
            <v>8.879999999999999</v>
          </cell>
        </row>
        <row r="92">
          <cell r="B92" t="str">
            <v>305.04</v>
          </cell>
          <cell r="C92" t="str">
            <v>03</v>
          </cell>
          <cell r="D92" t="str">
            <v>ACCESS.</v>
          </cell>
          <cell r="E92" t="str">
            <v>RUBBER RING</v>
          </cell>
          <cell r="F92" t="str">
            <v>FOR 150A</v>
          </cell>
          <cell r="G92" t="str">
            <v>RUBBER</v>
          </cell>
          <cell r="H92" t="str">
            <v>EA</v>
          </cell>
          <cell r="I92">
            <v>72</v>
          </cell>
          <cell r="J92">
            <v>20</v>
          </cell>
          <cell r="K92">
            <v>92</v>
          </cell>
          <cell r="L92">
            <v>0.05</v>
          </cell>
          <cell r="M92">
            <v>4.6000000000000005</v>
          </cell>
        </row>
        <row r="93">
          <cell r="B93" t="str">
            <v>305.04</v>
          </cell>
          <cell r="C93" t="str">
            <v>04</v>
          </cell>
          <cell r="D93" t="str">
            <v>BOLT &amp; NUTS</v>
          </cell>
          <cell r="E93" t="str">
            <v>BOLT</v>
          </cell>
          <cell r="F93" t="str">
            <v>M8*75L</v>
          </cell>
          <cell r="G93" t="str">
            <v>SUS304</v>
          </cell>
          <cell r="H93" t="str">
            <v>EA</v>
          </cell>
          <cell r="I93">
            <v>72</v>
          </cell>
          <cell r="J93">
            <v>20</v>
          </cell>
          <cell r="K93">
            <v>92</v>
          </cell>
          <cell r="L93">
            <v>0.03</v>
          </cell>
          <cell r="M93">
            <v>2.76</v>
          </cell>
        </row>
        <row r="94">
          <cell r="B94" t="str">
            <v>305.04</v>
          </cell>
          <cell r="C94" t="str">
            <v>05</v>
          </cell>
          <cell r="D94" t="str">
            <v>BOLT &amp; NUTS</v>
          </cell>
          <cell r="E94" t="str">
            <v>NUT(BUTTERFLY)</v>
          </cell>
          <cell r="F94" t="str">
            <v>M8</v>
          </cell>
          <cell r="G94" t="str">
            <v>SUS304</v>
          </cell>
          <cell r="H94" t="str">
            <v>EA</v>
          </cell>
          <cell r="I94">
            <v>72</v>
          </cell>
          <cell r="J94">
            <v>20</v>
          </cell>
          <cell r="K94">
            <v>92</v>
          </cell>
          <cell r="L94">
            <v>3.0000000000000001E-3</v>
          </cell>
          <cell r="M94">
            <v>0.27600000000000002</v>
          </cell>
        </row>
        <row r="95">
          <cell r="B95" t="str">
            <v>305.04</v>
          </cell>
          <cell r="C95" t="str">
            <v>06</v>
          </cell>
          <cell r="D95" t="str">
            <v>BOLT &amp; NUTS</v>
          </cell>
          <cell r="E95" t="str">
            <v>WASHER(PLAIN)</v>
          </cell>
          <cell r="F95" t="str">
            <v>M8</v>
          </cell>
          <cell r="G95" t="str">
            <v>SUS304</v>
          </cell>
          <cell r="H95" t="str">
            <v>EA</v>
          </cell>
          <cell r="I95">
            <v>72</v>
          </cell>
          <cell r="J95">
            <v>20</v>
          </cell>
          <cell r="K95">
            <v>92</v>
          </cell>
          <cell r="L95">
            <v>3.0000000000000001E-3</v>
          </cell>
          <cell r="M95">
            <v>0.27600000000000002</v>
          </cell>
        </row>
        <row r="96">
          <cell r="B96" t="str">
            <v>307.01</v>
          </cell>
          <cell r="C96" t="str">
            <v>01</v>
          </cell>
          <cell r="D96" t="str">
            <v>PVC FAB.</v>
          </cell>
          <cell r="E96" t="str">
            <v>NOZZLE SUPPORT RING</v>
          </cell>
          <cell r="F96" t="str">
            <v>FOR 150A</v>
          </cell>
          <cell r="G96" t="str">
            <v>PP</v>
          </cell>
          <cell r="H96" t="str">
            <v>EA</v>
          </cell>
          <cell r="I96">
            <v>720</v>
          </cell>
          <cell r="J96">
            <v>20</v>
          </cell>
          <cell r="K96">
            <v>740</v>
          </cell>
          <cell r="L96">
            <v>0.04</v>
          </cell>
          <cell r="M96">
            <v>29.6</v>
          </cell>
        </row>
        <row r="97">
          <cell r="B97" t="str">
            <v>307.01</v>
          </cell>
          <cell r="C97" t="str">
            <v>02</v>
          </cell>
          <cell r="D97" t="str">
            <v>PVC FAB.</v>
          </cell>
          <cell r="E97" t="str">
            <v>NOZZLE</v>
          </cell>
          <cell r="F97" t="str">
            <v>PI 30</v>
          </cell>
          <cell r="G97" t="str">
            <v>PP</v>
          </cell>
          <cell r="H97" t="str">
            <v>EA</v>
          </cell>
          <cell r="I97">
            <v>240</v>
          </cell>
          <cell r="J97">
            <v>10</v>
          </cell>
          <cell r="K97">
            <v>250</v>
          </cell>
          <cell r="L97">
            <v>5.0000000000000001E-3</v>
          </cell>
          <cell r="M97">
            <v>1.25</v>
          </cell>
        </row>
        <row r="98">
          <cell r="B98" t="str">
            <v>307.01</v>
          </cell>
          <cell r="C98" t="str">
            <v>03</v>
          </cell>
          <cell r="D98" t="str">
            <v>PVC FAB.</v>
          </cell>
          <cell r="E98" t="str">
            <v>NOZZLE</v>
          </cell>
          <cell r="F98" t="str">
            <v>PI 36</v>
          </cell>
          <cell r="G98" t="str">
            <v>PP</v>
          </cell>
          <cell r="H98" t="str">
            <v>EA</v>
          </cell>
          <cell r="I98">
            <v>480</v>
          </cell>
          <cell r="J98">
            <v>15</v>
          </cell>
          <cell r="K98">
            <v>495</v>
          </cell>
          <cell r="L98">
            <v>5.0000000000000001E-3</v>
          </cell>
          <cell r="M98">
            <v>2.4750000000000001</v>
          </cell>
        </row>
        <row r="99">
          <cell r="B99" t="str">
            <v>307.01</v>
          </cell>
          <cell r="C99" t="str">
            <v>04</v>
          </cell>
          <cell r="D99" t="str">
            <v>PVC FAB.</v>
          </cell>
          <cell r="E99" t="str">
            <v>NOZZLE SUPPORT</v>
          </cell>
          <cell r="F99" t="str">
            <v>HAMON STD'</v>
          </cell>
          <cell r="G99" t="str">
            <v>PBT</v>
          </cell>
          <cell r="H99" t="str">
            <v>EA</v>
          </cell>
          <cell r="I99">
            <v>720</v>
          </cell>
          <cell r="J99">
            <v>20</v>
          </cell>
          <cell r="K99">
            <v>740</v>
          </cell>
          <cell r="L99">
            <v>0.18</v>
          </cell>
          <cell r="M99">
            <v>133.19999999999999</v>
          </cell>
        </row>
        <row r="100">
          <cell r="B100" t="str">
            <v>307.02</v>
          </cell>
          <cell r="C100" t="str">
            <v>01</v>
          </cell>
          <cell r="D100" t="str">
            <v>BOLT &amp; NUTS</v>
          </cell>
          <cell r="E100" t="str">
            <v>BOLT</v>
          </cell>
          <cell r="F100" t="str">
            <v>M6*40L</v>
          </cell>
          <cell r="G100" t="str">
            <v>SUS304</v>
          </cell>
          <cell r="H100" t="str">
            <v>EA</v>
          </cell>
          <cell r="I100">
            <v>1440</v>
          </cell>
          <cell r="J100">
            <v>60</v>
          </cell>
          <cell r="K100">
            <v>1500</v>
          </cell>
          <cell r="L100">
            <v>0.01</v>
          </cell>
          <cell r="M100">
            <v>15</v>
          </cell>
        </row>
        <row r="101">
          <cell r="B101" t="str">
            <v>307.02</v>
          </cell>
          <cell r="C101" t="str">
            <v>02</v>
          </cell>
          <cell r="D101" t="str">
            <v>BOLT &amp; NUTS</v>
          </cell>
          <cell r="E101" t="str">
            <v>NUT</v>
          </cell>
          <cell r="F101" t="str">
            <v>M6</v>
          </cell>
          <cell r="G101" t="str">
            <v>SUS304</v>
          </cell>
          <cell r="H101" t="str">
            <v>EA</v>
          </cell>
          <cell r="I101">
            <v>2880</v>
          </cell>
          <cell r="J101">
            <v>120</v>
          </cell>
          <cell r="K101">
            <v>3000</v>
          </cell>
          <cell r="L101">
            <v>3.0000000000000001E-3</v>
          </cell>
          <cell r="M101">
            <v>9</v>
          </cell>
        </row>
        <row r="102">
          <cell r="B102" t="str">
            <v>307.02</v>
          </cell>
          <cell r="C102" t="str">
            <v>03</v>
          </cell>
          <cell r="D102" t="str">
            <v>BOLT &amp; NUTS</v>
          </cell>
          <cell r="E102" t="str">
            <v>WASHER(PLAIN)</v>
          </cell>
          <cell r="F102" t="str">
            <v>M6</v>
          </cell>
          <cell r="G102" t="str">
            <v>SUS304</v>
          </cell>
          <cell r="H102" t="str">
            <v>EA</v>
          </cell>
          <cell r="I102">
            <v>2880</v>
          </cell>
          <cell r="J102">
            <v>120</v>
          </cell>
          <cell r="K102">
            <v>3000</v>
          </cell>
          <cell r="L102">
            <v>2E-3</v>
          </cell>
          <cell r="M102">
            <v>6</v>
          </cell>
        </row>
        <row r="103">
          <cell r="B103" t="str">
            <v>307.02</v>
          </cell>
          <cell r="C103" t="str">
            <v>04</v>
          </cell>
          <cell r="D103" t="str">
            <v>BOLT &amp; NUTS</v>
          </cell>
          <cell r="E103" t="str">
            <v>WASHER(SERRATED)</v>
          </cell>
          <cell r="F103" t="str">
            <v>M6</v>
          </cell>
          <cell r="G103" t="str">
            <v>SUS304</v>
          </cell>
          <cell r="H103" t="str">
            <v>EA</v>
          </cell>
          <cell r="I103">
            <v>1440</v>
          </cell>
          <cell r="J103">
            <v>60</v>
          </cell>
          <cell r="K103">
            <v>1500</v>
          </cell>
          <cell r="L103">
            <v>2E-3</v>
          </cell>
          <cell r="M103">
            <v>3</v>
          </cell>
        </row>
        <row r="104">
          <cell r="B104" t="str">
            <v>308.01</v>
          </cell>
          <cell r="C104" t="str">
            <v>01</v>
          </cell>
          <cell r="D104" t="str">
            <v>FILL PART</v>
          </cell>
          <cell r="E104" t="str">
            <v>FILL SHEET</v>
          </cell>
          <cell r="F104" t="str">
            <v>500*2000*0.33t</v>
          </cell>
          <cell r="G104" t="str">
            <v>PVC</v>
          </cell>
          <cell r="H104" t="str">
            <v>SH</v>
          </cell>
          <cell r="I104">
            <v>36000</v>
          </cell>
          <cell r="J104">
            <v>1800</v>
          </cell>
          <cell r="K104">
            <v>37800</v>
          </cell>
          <cell r="L104">
            <v>0.46</v>
          </cell>
          <cell r="M104">
            <v>17388</v>
          </cell>
        </row>
        <row r="105">
          <cell r="B105" t="str">
            <v>308.01</v>
          </cell>
          <cell r="C105" t="str">
            <v>02</v>
          </cell>
          <cell r="D105" t="str">
            <v>ACCESS.</v>
          </cell>
          <cell r="E105" t="str">
            <v>GLUE</v>
          </cell>
          <cell r="F105" t="str">
            <v xml:space="preserve">FOR ROLLING JIG </v>
          </cell>
          <cell r="G105" t="str">
            <v>N/A</v>
          </cell>
          <cell r="H105" t="str">
            <v>Kg</v>
          </cell>
          <cell r="I105">
            <v>1512</v>
          </cell>
          <cell r="J105">
            <v>63</v>
          </cell>
          <cell r="K105">
            <v>1575</v>
          </cell>
          <cell r="L105">
            <v>1</v>
          </cell>
          <cell r="M105">
            <v>1575</v>
          </cell>
        </row>
        <row r="106">
          <cell r="B106" t="str">
            <v>309.01</v>
          </cell>
          <cell r="C106" t="str">
            <v>01</v>
          </cell>
          <cell r="D106" t="str">
            <v>HARD WARES</v>
          </cell>
          <cell r="E106" t="str">
            <v>WALK WAY - I</v>
          </cell>
          <cell r="F106" t="str">
            <v>1840W*1992H</v>
          </cell>
          <cell r="G106" t="str">
            <v>HDGS</v>
          </cell>
          <cell r="H106" t="str">
            <v>EA</v>
          </cell>
          <cell r="I106">
            <v>6</v>
          </cell>
          <cell r="J106">
            <v>0</v>
          </cell>
          <cell r="K106">
            <v>6</v>
          </cell>
          <cell r="L106">
            <v>45</v>
          </cell>
          <cell r="M106">
            <v>270</v>
          </cell>
        </row>
        <row r="107">
          <cell r="B107" t="str">
            <v>309.01</v>
          </cell>
          <cell r="C107" t="str">
            <v>02</v>
          </cell>
          <cell r="D107" t="str">
            <v>HARD WARES</v>
          </cell>
          <cell r="E107" t="str">
            <v>WALK WAY - II</v>
          </cell>
          <cell r="F107" t="str">
            <v>1808W*1960H</v>
          </cell>
          <cell r="G107" t="str">
            <v>SUS304</v>
          </cell>
          <cell r="H107" t="str">
            <v>SET</v>
          </cell>
          <cell r="I107">
            <v>6</v>
          </cell>
          <cell r="J107">
            <v>0</v>
          </cell>
          <cell r="K107">
            <v>6</v>
          </cell>
          <cell r="L107">
            <v>7</v>
          </cell>
          <cell r="M107">
            <v>42</v>
          </cell>
        </row>
        <row r="108">
          <cell r="B108" t="str">
            <v>309.01</v>
          </cell>
          <cell r="C108" t="str">
            <v>03</v>
          </cell>
          <cell r="D108" t="str">
            <v>HARD WARES</v>
          </cell>
          <cell r="E108" t="str">
            <v>LADDER - I</v>
          </cell>
          <cell r="F108" t="str">
            <v>1808W*1960H</v>
          </cell>
          <cell r="G108" t="str">
            <v>SUS304</v>
          </cell>
          <cell r="H108" t="str">
            <v>EA</v>
          </cell>
          <cell r="I108">
            <v>6</v>
          </cell>
          <cell r="J108">
            <v>0</v>
          </cell>
          <cell r="K108">
            <v>6</v>
          </cell>
          <cell r="L108">
            <v>11</v>
          </cell>
          <cell r="M108">
            <v>66</v>
          </cell>
        </row>
        <row r="109">
          <cell r="B109" t="str">
            <v>309.01</v>
          </cell>
          <cell r="C109" t="str">
            <v>04</v>
          </cell>
          <cell r="D109" t="str">
            <v>HARD WARES</v>
          </cell>
          <cell r="E109" t="str">
            <v>LADDER -II</v>
          </cell>
          <cell r="F109" t="str">
            <v>M8*30L</v>
          </cell>
          <cell r="G109" t="str">
            <v>SUS304</v>
          </cell>
          <cell r="H109" t="str">
            <v>EA</v>
          </cell>
          <cell r="I109">
            <v>6</v>
          </cell>
          <cell r="J109">
            <v>0</v>
          </cell>
          <cell r="K109">
            <v>6</v>
          </cell>
          <cell r="L109">
            <v>1.4E-2</v>
          </cell>
          <cell r="M109">
            <v>8.4000000000000005E-2</v>
          </cell>
        </row>
        <row r="110">
          <cell r="B110" t="str">
            <v>309.02</v>
          </cell>
          <cell r="C110" t="str">
            <v>01</v>
          </cell>
          <cell r="D110" t="str">
            <v>BOLT &amp; NUTS</v>
          </cell>
          <cell r="E110" t="str">
            <v>SET ANCHOR</v>
          </cell>
          <cell r="F110" t="str">
            <v>1/2"</v>
          </cell>
          <cell r="G110" t="str">
            <v>SUS304</v>
          </cell>
          <cell r="H110" t="str">
            <v>EA</v>
          </cell>
          <cell r="I110">
            <v>84</v>
          </cell>
          <cell r="J110">
            <v>0</v>
          </cell>
          <cell r="K110">
            <v>84</v>
          </cell>
          <cell r="L110">
            <v>5.0000000000000001E-3</v>
          </cell>
          <cell r="M110">
            <v>0.42</v>
          </cell>
        </row>
        <row r="111">
          <cell r="B111" t="str">
            <v>309.02</v>
          </cell>
          <cell r="C111" t="str">
            <v>02</v>
          </cell>
          <cell r="D111" t="str">
            <v>BOLT &amp; NUTS</v>
          </cell>
          <cell r="E111" t="str">
            <v>BOLT</v>
          </cell>
          <cell r="F111" t="str">
            <v>M12*50L</v>
          </cell>
          <cell r="G111" t="str">
            <v>SUS304</v>
          </cell>
          <cell r="H111" t="str">
            <v>EA</v>
          </cell>
          <cell r="I111">
            <v>12</v>
          </cell>
          <cell r="J111">
            <v>0</v>
          </cell>
          <cell r="K111">
            <v>12</v>
          </cell>
          <cell r="L111">
            <v>3.6</v>
          </cell>
          <cell r="M111">
            <v>43.2</v>
          </cell>
        </row>
        <row r="112">
          <cell r="B112" t="str">
            <v>309.02</v>
          </cell>
          <cell r="C112" t="str">
            <v>03</v>
          </cell>
          <cell r="D112" t="str">
            <v>BOLT &amp; NUTS</v>
          </cell>
          <cell r="E112" t="str">
            <v>NUT</v>
          </cell>
          <cell r="F112" t="str">
            <v>M12</v>
          </cell>
          <cell r="G112" t="str">
            <v>SUS304</v>
          </cell>
          <cell r="H112" t="str">
            <v>EA</v>
          </cell>
          <cell r="I112">
            <v>12</v>
          </cell>
          <cell r="J112">
            <v>0</v>
          </cell>
          <cell r="K112">
            <v>12</v>
          </cell>
          <cell r="L112">
            <v>58</v>
          </cell>
          <cell r="M112">
            <v>696</v>
          </cell>
        </row>
        <row r="113">
          <cell r="B113" t="str">
            <v>309.02</v>
          </cell>
          <cell r="C113" t="str">
            <v>04</v>
          </cell>
          <cell r="D113" t="str">
            <v>BOLT &amp; NUTS</v>
          </cell>
          <cell r="E113" t="str">
            <v>WASHER(PLAIN)</v>
          </cell>
          <cell r="F113" t="str">
            <v>M12</v>
          </cell>
          <cell r="G113" t="str">
            <v>SUS304</v>
          </cell>
          <cell r="H113" t="str">
            <v>EA</v>
          </cell>
          <cell r="I113">
            <v>12</v>
          </cell>
          <cell r="J113">
            <v>0</v>
          </cell>
          <cell r="K113">
            <v>12</v>
          </cell>
          <cell r="L113">
            <v>58</v>
          </cell>
          <cell r="M113">
            <v>696</v>
          </cell>
        </row>
        <row r="114">
          <cell r="B114" t="str">
            <v>310.01</v>
          </cell>
          <cell r="C114" t="str">
            <v>01</v>
          </cell>
          <cell r="D114" t="str">
            <v>HARD WARES</v>
          </cell>
          <cell r="E114" t="str">
            <v>HANDRAIL PIPE</v>
          </cell>
          <cell r="F114" t="str">
            <v>32A*6000L</v>
          </cell>
          <cell r="G114" t="str">
            <v>SS41+PAINT</v>
          </cell>
          <cell r="H114" t="str">
            <v>EA</v>
          </cell>
          <cell r="I114">
            <v>22</v>
          </cell>
          <cell r="J114">
            <v>0</v>
          </cell>
          <cell r="K114">
            <v>22</v>
          </cell>
          <cell r="L114">
            <v>34</v>
          </cell>
          <cell r="M114">
            <v>748</v>
          </cell>
        </row>
        <row r="115">
          <cell r="B115" t="str">
            <v>310.01</v>
          </cell>
          <cell r="C115" t="str">
            <v>02</v>
          </cell>
          <cell r="D115" t="str">
            <v>HARD WARES</v>
          </cell>
          <cell r="E115" t="str">
            <v>HANDRAIL POST I</v>
          </cell>
          <cell r="F115" t="str">
            <v>50*9t*1000L</v>
          </cell>
          <cell r="G115" t="str">
            <v>SS41+PAINT</v>
          </cell>
          <cell r="H115" t="str">
            <v>EA</v>
          </cell>
          <cell r="I115">
            <v>114</v>
          </cell>
          <cell r="J115">
            <v>0</v>
          </cell>
          <cell r="K115">
            <v>114</v>
          </cell>
          <cell r="L115">
            <v>9</v>
          </cell>
          <cell r="M115">
            <v>1026</v>
          </cell>
        </row>
        <row r="116">
          <cell r="B116" t="str">
            <v>310.01</v>
          </cell>
          <cell r="C116" t="str">
            <v>03</v>
          </cell>
          <cell r="D116" t="str">
            <v>HARD WARES</v>
          </cell>
          <cell r="E116" t="str">
            <v>HANDRAIL POST II</v>
          </cell>
          <cell r="F116" t="str">
            <v>50*9t*980L</v>
          </cell>
          <cell r="G116" t="str">
            <v>SS41+PAINT</v>
          </cell>
          <cell r="H116" t="str">
            <v>EA</v>
          </cell>
          <cell r="I116">
            <v>25</v>
          </cell>
          <cell r="J116">
            <v>0</v>
          </cell>
          <cell r="K116">
            <v>25</v>
          </cell>
          <cell r="L116">
            <v>38</v>
          </cell>
          <cell r="M116">
            <v>950</v>
          </cell>
        </row>
        <row r="117">
          <cell r="B117" t="str">
            <v>310.01</v>
          </cell>
          <cell r="C117" t="str">
            <v>04</v>
          </cell>
          <cell r="D117" t="str">
            <v>HARD WARES</v>
          </cell>
          <cell r="E117" t="str">
            <v>KNEERAIL PIPE</v>
          </cell>
          <cell r="F117" t="str">
            <v>15A*6000L</v>
          </cell>
          <cell r="G117" t="str">
            <v>SS41+PAINT</v>
          </cell>
          <cell r="H117" t="str">
            <v>EA</v>
          </cell>
          <cell r="I117">
            <v>22</v>
          </cell>
          <cell r="J117">
            <v>0</v>
          </cell>
          <cell r="K117">
            <v>22</v>
          </cell>
          <cell r="L117">
            <v>34</v>
          </cell>
          <cell r="M117">
            <v>748</v>
          </cell>
        </row>
        <row r="118">
          <cell r="B118" t="str">
            <v>310.01</v>
          </cell>
          <cell r="C118" t="str">
            <v>05</v>
          </cell>
          <cell r="D118" t="str">
            <v>HARD WARES</v>
          </cell>
          <cell r="E118" t="str">
            <v>TOE PLATE</v>
          </cell>
          <cell r="F118" t="str">
            <v>100*5t*6000L</v>
          </cell>
          <cell r="G118" t="str">
            <v>SS41+PAINT</v>
          </cell>
          <cell r="H118" t="str">
            <v>EA</v>
          </cell>
          <cell r="I118">
            <v>22</v>
          </cell>
          <cell r="J118">
            <v>0</v>
          </cell>
          <cell r="K118">
            <v>22</v>
          </cell>
          <cell r="L118">
            <v>15</v>
          </cell>
          <cell r="M118">
            <v>330</v>
          </cell>
        </row>
        <row r="119">
          <cell r="B119" t="str">
            <v>310.01</v>
          </cell>
          <cell r="C119" t="str">
            <v>06</v>
          </cell>
          <cell r="D119" t="str">
            <v>HARD WARES</v>
          </cell>
          <cell r="E119" t="str">
            <v>BASE PLATE</v>
          </cell>
          <cell r="F119" t="str">
            <v>200*100*9t</v>
          </cell>
          <cell r="G119" t="str">
            <v>SS41+PAINT</v>
          </cell>
          <cell r="H119" t="str">
            <v>EA</v>
          </cell>
          <cell r="I119">
            <v>139</v>
          </cell>
          <cell r="J119">
            <v>0</v>
          </cell>
          <cell r="K119">
            <v>139</v>
          </cell>
          <cell r="L119">
            <v>33</v>
          </cell>
          <cell r="M119">
            <v>4587</v>
          </cell>
        </row>
        <row r="120">
          <cell r="B120" t="str">
            <v>310.02</v>
          </cell>
          <cell r="C120" t="str">
            <v>00</v>
          </cell>
          <cell r="D120" t="str">
            <v>BOLT &amp; NUTS</v>
          </cell>
          <cell r="E120" t="str">
            <v>SET ANCHOR</v>
          </cell>
          <cell r="F120" t="str">
            <v>3/8"</v>
          </cell>
          <cell r="G120" t="str">
            <v>SUS304</v>
          </cell>
          <cell r="H120" t="str">
            <v>EA</v>
          </cell>
          <cell r="I120">
            <v>278</v>
          </cell>
          <cell r="J120">
            <v>0</v>
          </cell>
          <cell r="K120">
            <v>278</v>
          </cell>
          <cell r="L120">
            <v>0.25</v>
          </cell>
          <cell r="M120">
            <v>69.5</v>
          </cell>
        </row>
        <row r="121">
          <cell r="B121" t="str">
            <v>311.01</v>
          </cell>
          <cell r="C121" t="str">
            <v>01</v>
          </cell>
          <cell r="D121" t="str">
            <v>HARD WARES</v>
          </cell>
          <cell r="E121" t="str">
            <v>CAGE LADDER I</v>
          </cell>
          <cell r="F121" t="str">
            <v>R350*6005L</v>
          </cell>
          <cell r="G121" t="str">
            <v>HDGS</v>
          </cell>
          <cell r="H121" t="str">
            <v>EA</v>
          </cell>
          <cell r="I121">
            <v>1</v>
          </cell>
          <cell r="J121">
            <v>0</v>
          </cell>
          <cell r="K121">
            <v>1</v>
          </cell>
          <cell r="L121">
            <v>79</v>
          </cell>
          <cell r="M121">
            <v>79</v>
          </cell>
        </row>
        <row r="122">
          <cell r="B122" t="str">
            <v>311.01</v>
          </cell>
          <cell r="C122" t="str">
            <v>01</v>
          </cell>
          <cell r="D122" t="str">
            <v>HARD WARES</v>
          </cell>
          <cell r="E122" t="str">
            <v>CAGE LADDER II</v>
          </cell>
          <cell r="F122" t="str">
            <v>R350*4225L</v>
          </cell>
          <cell r="G122" t="str">
            <v>HDGS</v>
          </cell>
          <cell r="H122" t="str">
            <v>EA</v>
          </cell>
          <cell r="I122">
            <v>1</v>
          </cell>
          <cell r="J122">
            <v>0</v>
          </cell>
          <cell r="K122">
            <v>1</v>
          </cell>
          <cell r="L122">
            <v>79</v>
          </cell>
          <cell r="M122">
            <v>79</v>
          </cell>
        </row>
        <row r="123">
          <cell r="B123" t="str">
            <v>311/02</v>
          </cell>
          <cell r="C123" t="str">
            <v>01</v>
          </cell>
          <cell r="D123" t="str">
            <v>BOLT &amp; NUTS</v>
          </cell>
          <cell r="E123" t="str">
            <v>SET ANCHOR</v>
          </cell>
          <cell r="F123" t="str">
            <v>1/2"</v>
          </cell>
          <cell r="G123" t="str">
            <v>SUS304</v>
          </cell>
          <cell r="H123" t="str">
            <v>EA</v>
          </cell>
          <cell r="I123">
            <v>40</v>
          </cell>
          <cell r="J123">
            <v>2</v>
          </cell>
          <cell r="K123">
            <v>42</v>
          </cell>
          <cell r="L123">
            <v>72</v>
          </cell>
          <cell r="M123">
            <v>3024</v>
          </cell>
        </row>
        <row r="124">
          <cell r="B124" t="str">
            <v>311/02</v>
          </cell>
          <cell r="C124" t="str">
            <v>02</v>
          </cell>
          <cell r="D124" t="str">
            <v>BOLT &amp; NUTS</v>
          </cell>
          <cell r="E124" t="str">
            <v>BOLT</v>
          </cell>
          <cell r="F124" t="str">
            <v>M12*60L</v>
          </cell>
          <cell r="G124" t="str">
            <v>SUS304</v>
          </cell>
          <cell r="H124" t="str">
            <v>EA</v>
          </cell>
          <cell r="I124">
            <v>94</v>
          </cell>
          <cell r="J124">
            <v>4</v>
          </cell>
          <cell r="K124">
            <v>98</v>
          </cell>
          <cell r="L124">
            <v>72</v>
          </cell>
          <cell r="M124">
            <v>7056</v>
          </cell>
        </row>
        <row r="125">
          <cell r="B125" t="str">
            <v>311/02</v>
          </cell>
          <cell r="C125" t="str">
            <v>03</v>
          </cell>
          <cell r="D125" t="str">
            <v>BOLT &amp; NUTS</v>
          </cell>
          <cell r="E125" t="str">
            <v>WASHER(PLAIN)</v>
          </cell>
          <cell r="F125" t="str">
            <v>M12</v>
          </cell>
          <cell r="G125" t="str">
            <v>SUS304</v>
          </cell>
          <cell r="H125" t="str">
            <v>EA</v>
          </cell>
          <cell r="I125">
            <v>94</v>
          </cell>
          <cell r="J125">
            <v>4</v>
          </cell>
          <cell r="K125">
            <v>98</v>
          </cell>
          <cell r="L125">
            <v>78</v>
          </cell>
          <cell r="M125">
            <v>7644</v>
          </cell>
        </row>
        <row r="126">
          <cell r="B126" t="str">
            <v>311/02</v>
          </cell>
          <cell r="C126" t="str">
            <v>04</v>
          </cell>
          <cell r="D126" t="str">
            <v>BOLT &amp; NUTS</v>
          </cell>
          <cell r="E126" t="str">
            <v>NUT</v>
          </cell>
          <cell r="F126" t="str">
            <v>M12</v>
          </cell>
          <cell r="G126" t="str">
            <v>SUS304</v>
          </cell>
          <cell r="H126" t="str">
            <v>EA</v>
          </cell>
          <cell r="I126">
            <v>94</v>
          </cell>
          <cell r="J126">
            <v>4</v>
          </cell>
          <cell r="K126">
            <v>98</v>
          </cell>
          <cell r="L126">
            <v>66</v>
          </cell>
          <cell r="M126">
            <v>6468</v>
          </cell>
        </row>
        <row r="127">
          <cell r="B127" t="str">
            <v>311.03</v>
          </cell>
          <cell r="C127" t="str">
            <v>01</v>
          </cell>
          <cell r="D127" t="str">
            <v>HARD WARES</v>
          </cell>
          <cell r="E127" t="str">
            <v>CONN. PLATE</v>
          </cell>
          <cell r="F127" t="str">
            <v>50*9*260L</v>
          </cell>
          <cell r="G127" t="str">
            <v>HDGS</v>
          </cell>
          <cell r="H127" t="str">
            <v>EA</v>
          </cell>
          <cell r="I127">
            <v>2</v>
          </cell>
          <cell r="J127">
            <v>0</v>
          </cell>
          <cell r="K127">
            <v>2</v>
          </cell>
          <cell r="L127">
            <v>170</v>
          </cell>
          <cell r="M127">
            <v>340</v>
          </cell>
        </row>
        <row r="128">
          <cell r="B128" t="str">
            <v>311.03</v>
          </cell>
          <cell r="C128" t="str">
            <v>02</v>
          </cell>
          <cell r="D128" t="str">
            <v>HARD WARES</v>
          </cell>
          <cell r="E128" t="str">
            <v>CONN. PLATE</v>
          </cell>
          <cell r="F128" t="str">
            <v>50*9*300L</v>
          </cell>
          <cell r="G128" t="str">
            <v>HDGS</v>
          </cell>
          <cell r="H128" t="str">
            <v>EA</v>
          </cell>
          <cell r="I128">
            <v>7</v>
          </cell>
          <cell r="J128">
            <v>0</v>
          </cell>
          <cell r="K128">
            <v>7</v>
          </cell>
          <cell r="L128">
            <v>100</v>
          </cell>
          <cell r="M128">
            <v>700</v>
          </cell>
        </row>
        <row r="129">
          <cell r="B129" t="str">
            <v>SPARE PART</v>
          </cell>
          <cell r="D129" t="str">
            <v>ACCESS.</v>
          </cell>
          <cell r="E129" t="str">
            <v>OIL SEAL FOR GEAR</v>
          </cell>
          <cell r="F129" t="str">
            <v xml:space="preserve"> </v>
          </cell>
          <cell r="G129" t="str">
            <v>RUBBER</v>
          </cell>
          <cell r="H129" t="str">
            <v>EA</v>
          </cell>
          <cell r="I129">
            <v>9</v>
          </cell>
          <cell r="J129">
            <v>0</v>
          </cell>
          <cell r="K129">
            <v>9</v>
          </cell>
          <cell r="L129">
            <v>0.05</v>
          </cell>
          <cell r="M129">
            <v>0.45</v>
          </cell>
        </row>
        <row r="130">
          <cell r="B130" t="str">
            <v>SPARE PART</v>
          </cell>
          <cell r="D130" t="str">
            <v>ACCESS.</v>
          </cell>
          <cell r="E130" t="str">
            <v>OIL SEAL FOR GEAR</v>
          </cell>
          <cell r="F130" t="str">
            <v xml:space="preserve"> </v>
          </cell>
          <cell r="G130" t="str">
            <v>RUBBER</v>
          </cell>
          <cell r="H130" t="str">
            <v>EA</v>
          </cell>
          <cell r="I130">
            <v>9</v>
          </cell>
          <cell r="J130">
            <v>0</v>
          </cell>
          <cell r="K130">
            <v>9</v>
          </cell>
          <cell r="L130">
            <v>0.05</v>
          </cell>
          <cell r="M130">
            <v>0.45</v>
          </cell>
        </row>
        <row r="131">
          <cell r="B131" t="str">
            <v>SPARE PART</v>
          </cell>
          <cell r="D131" t="str">
            <v>ACCESS.</v>
          </cell>
          <cell r="E131" t="str">
            <v>OIL SEAL FOR GEAR</v>
          </cell>
          <cell r="F131" t="str">
            <v xml:space="preserve"> </v>
          </cell>
          <cell r="G131" t="str">
            <v>RUBBER</v>
          </cell>
          <cell r="H131" t="str">
            <v>EA</v>
          </cell>
          <cell r="I131">
            <v>9</v>
          </cell>
          <cell r="J131">
            <v>0</v>
          </cell>
          <cell r="K131">
            <v>9</v>
          </cell>
          <cell r="L131">
            <v>0.04</v>
          </cell>
          <cell r="M131">
            <v>0.36</v>
          </cell>
        </row>
        <row r="132">
          <cell r="B132" t="str">
            <v>SPARE PART</v>
          </cell>
          <cell r="D132" t="str">
            <v>PVC FAB.</v>
          </cell>
          <cell r="E132" t="str">
            <v>END PLUG SET</v>
          </cell>
          <cell r="F132" t="str">
            <v>FOR 150A</v>
          </cell>
          <cell r="G132" t="str">
            <v>PVC</v>
          </cell>
          <cell r="H132" t="str">
            <v>SET</v>
          </cell>
          <cell r="I132">
            <v>18</v>
          </cell>
          <cell r="J132">
            <v>0</v>
          </cell>
          <cell r="K132">
            <v>18</v>
          </cell>
          <cell r="L132">
            <v>0.25</v>
          </cell>
          <cell r="M132">
            <v>4.5</v>
          </cell>
        </row>
        <row r="133">
          <cell r="B133" t="str">
            <v>SPARE PART</v>
          </cell>
          <cell r="D133" t="str">
            <v>PVC FAB.</v>
          </cell>
          <cell r="E133" t="str">
            <v>NOZZLE WITH SUPPORT</v>
          </cell>
          <cell r="F133" t="str">
            <v>PI 30</v>
          </cell>
          <cell r="G133" t="str">
            <v>PP</v>
          </cell>
          <cell r="H133" t="str">
            <v>SET</v>
          </cell>
          <cell r="I133">
            <v>20</v>
          </cell>
          <cell r="J133">
            <v>0</v>
          </cell>
          <cell r="K133">
            <v>20</v>
          </cell>
          <cell r="L133">
            <v>5.0000000000000001E-3</v>
          </cell>
          <cell r="M133">
            <v>0.1</v>
          </cell>
        </row>
        <row r="134">
          <cell r="B134" t="str">
            <v>SPARE PART</v>
          </cell>
          <cell r="D134" t="str">
            <v>PVC FAB.</v>
          </cell>
          <cell r="E134" t="str">
            <v>NOZZLE WITH SUPPORT</v>
          </cell>
          <cell r="F134" t="str">
            <v>PI 36</v>
          </cell>
          <cell r="G134" t="str">
            <v>PP</v>
          </cell>
          <cell r="H134" t="str">
            <v>SET</v>
          </cell>
          <cell r="I134">
            <v>30</v>
          </cell>
          <cell r="J134">
            <v>0</v>
          </cell>
          <cell r="K134">
            <v>30</v>
          </cell>
          <cell r="L134">
            <v>0.01</v>
          </cell>
          <cell r="M134">
            <v>0.3</v>
          </cell>
        </row>
        <row r="135">
          <cell r="B135" t="str">
            <v>SPECIAL TOOL</v>
          </cell>
          <cell r="D135" t="str">
            <v>ACCESS.</v>
          </cell>
          <cell r="E135" t="str">
            <v>ANGLE PROTRACTOR</v>
          </cell>
          <cell r="F135" t="str">
            <v>TAJIMA</v>
          </cell>
          <cell r="G135" t="str">
            <v>N/A</v>
          </cell>
          <cell r="H135" t="str">
            <v>SET</v>
          </cell>
          <cell r="I135">
            <v>1</v>
          </cell>
          <cell r="J135">
            <v>0</v>
          </cell>
          <cell r="K135">
            <v>1</v>
          </cell>
          <cell r="L135">
            <v>0.1</v>
          </cell>
          <cell r="M135">
            <v>0.1</v>
          </cell>
        </row>
        <row r="136">
          <cell r="B136" t="str">
            <v>SPECIAL TOOL</v>
          </cell>
          <cell r="D136" t="str">
            <v>ACCESS.</v>
          </cell>
          <cell r="E136" t="str">
            <v>GLUING MACHINE</v>
          </cell>
          <cell r="F136" t="str">
            <v>HAMON STD'</v>
          </cell>
          <cell r="G136" t="str">
            <v>N/A</v>
          </cell>
          <cell r="H136" t="str">
            <v>SET</v>
          </cell>
          <cell r="I136">
            <v>1</v>
          </cell>
          <cell r="J136">
            <v>0</v>
          </cell>
          <cell r="K136">
            <v>1</v>
          </cell>
          <cell r="L136">
            <v>45</v>
          </cell>
          <cell r="M136">
            <v>45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N"/>
      <sheetName val="WOODBM"/>
      <sheetName val="PRFAN"/>
      <sheetName val="PRGEAR"/>
      <sheetName val="PRMOTOR"/>
      <sheetName val="PRWOOD"/>
      <sheetName val="PRFILL"/>
      <sheetName val="PRPVC"/>
      <sheetName val="PRFRP"/>
      <sheetName val="PRHARD(1)"/>
      <sheetName val="PRBOLT(1)"/>
      <sheetName val="PRACCESS"/>
      <sheetName val="PREXP"/>
      <sheetName val="PKLIST"/>
      <sheetName val="PRshaft"/>
      <sheetName val="PRBOLT(2)"/>
      <sheetName val="PRVIB"/>
      <sheetName val="POW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이동식보일러전기설치철거일위"/>
      <sheetName val="IL-IDONG"/>
      <sheetName val="JAJ-IDON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대비표"/>
      <sheetName val="견적대비표"/>
      <sheetName val="내역서"/>
      <sheetName val="PANEL 중량산출"/>
      <sheetName val="중량산출"/>
      <sheetName val="수량산출"/>
      <sheetName val="직노"/>
      <sheetName val="내역서1999.8최종"/>
      <sheetName val="자재단가표"/>
      <sheetName val="신우"/>
      <sheetName val="Sheet14"/>
      <sheetName val="Sheet13"/>
      <sheetName val="대치판정"/>
      <sheetName val="약품공급2"/>
      <sheetName val="내역서1"/>
      <sheetName val="일보_생산"/>
      <sheetName val="연습"/>
      <sheetName val="K-SET1"/>
      <sheetName val="일위대가"/>
      <sheetName val="N賃率-職"/>
      <sheetName val="집계표"/>
      <sheetName val="인건-측정"/>
      <sheetName val="Sheet2"/>
      <sheetName val="Sheet3"/>
      <sheetName val="Sheet1"/>
      <sheetName val="단가산출"/>
      <sheetName val="시화점실행"/>
      <sheetName val="을지"/>
      <sheetName val="한일양산"/>
      <sheetName val="합천내역"/>
      <sheetName val="일위"/>
      <sheetName val="1.수인터널"/>
      <sheetName val="견적서"/>
      <sheetName val="과천MAIN"/>
      <sheetName val="제출내역 (2)"/>
      <sheetName val="sw1"/>
      <sheetName val="화산경계"/>
      <sheetName val="공사원가계산서"/>
      <sheetName val="NOMUBI"/>
      <sheetName val="도체종-상수표"/>
      <sheetName val="내역"/>
      <sheetName val="원가계산 (2)"/>
      <sheetName val="일위_파일"/>
      <sheetName val="강교(Sub)"/>
      <sheetName val="PANEL_중량산출"/>
      <sheetName val="내역서1999_8최종"/>
      <sheetName val="빌딩 안내"/>
      <sheetName val="원가계산서"/>
      <sheetName val="DATA"/>
      <sheetName val="계수시트"/>
      <sheetName val="EL90"/>
      <sheetName val="G.R300경비"/>
      <sheetName val="EQT-ESTN"/>
      <sheetName val="환율"/>
      <sheetName val="원본(갑지)"/>
      <sheetName val="우수공"/>
      <sheetName val="원본"/>
      <sheetName val="I一般比"/>
      <sheetName val="세부내역서"/>
      <sheetName val="수량집계"/>
      <sheetName val="총괄집계표"/>
      <sheetName val="맨홀"/>
      <sheetName val="98수문일위"/>
      <sheetName val="몰탈재료산출"/>
      <sheetName val="01"/>
      <sheetName val="직재"/>
      <sheetName val="노임"/>
      <sheetName val="요율"/>
      <sheetName val="FAX"/>
    </sheetNames>
    <sheetDataSet>
      <sheetData sheetId="0"/>
      <sheetData sheetId="1"/>
      <sheetData sheetId="2"/>
      <sheetData sheetId="3"/>
      <sheetData sheetId="4"/>
      <sheetData sheetId="5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  <row r="5">
          <cell r="A5">
            <v>5</v>
          </cell>
        </row>
        <row r="6">
          <cell r="A6">
            <v>6</v>
          </cell>
        </row>
        <row r="7">
          <cell r="A7">
            <v>7</v>
          </cell>
        </row>
        <row r="8">
          <cell r="A8">
            <v>8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  <row r="14">
          <cell r="A14">
            <v>14</v>
          </cell>
        </row>
        <row r="15">
          <cell r="A15">
            <v>15</v>
          </cell>
        </row>
        <row r="16">
          <cell r="A16">
            <v>16</v>
          </cell>
        </row>
        <row r="17">
          <cell r="A17">
            <v>17</v>
          </cell>
        </row>
        <row r="18">
          <cell r="A18">
            <v>18</v>
          </cell>
        </row>
        <row r="19">
          <cell r="A19">
            <v>19</v>
          </cell>
        </row>
        <row r="20">
          <cell r="A20">
            <v>20</v>
          </cell>
        </row>
        <row r="21">
          <cell r="A21">
            <v>21</v>
          </cell>
        </row>
        <row r="22">
          <cell r="A22">
            <v>22</v>
          </cell>
        </row>
        <row r="23">
          <cell r="A23">
            <v>23</v>
          </cell>
        </row>
        <row r="24">
          <cell r="A24">
            <v>24</v>
          </cell>
        </row>
        <row r="25">
          <cell r="A25">
            <v>25</v>
          </cell>
        </row>
        <row r="26">
          <cell r="A26">
            <v>26</v>
          </cell>
        </row>
        <row r="27">
          <cell r="A27">
            <v>27</v>
          </cell>
        </row>
        <row r="28">
          <cell r="A28">
            <v>28</v>
          </cell>
        </row>
        <row r="29">
          <cell r="A29">
            <v>29</v>
          </cell>
        </row>
        <row r="30">
          <cell r="A30">
            <v>30</v>
          </cell>
        </row>
        <row r="31">
          <cell r="A31">
            <v>31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34</v>
          </cell>
        </row>
        <row r="35">
          <cell r="A35">
            <v>35</v>
          </cell>
        </row>
        <row r="36">
          <cell r="A36">
            <v>36</v>
          </cell>
        </row>
        <row r="37">
          <cell r="A37">
            <v>37</v>
          </cell>
        </row>
        <row r="38">
          <cell r="A38">
            <v>38</v>
          </cell>
        </row>
        <row r="39">
          <cell r="A39">
            <v>39</v>
          </cell>
        </row>
        <row r="40">
          <cell r="A40">
            <v>40</v>
          </cell>
        </row>
        <row r="41">
          <cell r="A41">
            <v>41</v>
          </cell>
        </row>
        <row r="42">
          <cell r="A42">
            <v>42</v>
          </cell>
        </row>
        <row r="43">
          <cell r="A43">
            <v>43</v>
          </cell>
        </row>
        <row r="44">
          <cell r="A44">
            <v>44</v>
          </cell>
        </row>
        <row r="45">
          <cell r="A45">
            <v>45</v>
          </cell>
        </row>
        <row r="46">
          <cell r="A46">
            <v>46</v>
          </cell>
        </row>
        <row r="47">
          <cell r="A47">
            <v>47</v>
          </cell>
        </row>
        <row r="48">
          <cell r="A48">
            <v>48</v>
          </cell>
        </row>
        <row r="49">
          <cell r="A49">
            <v>49</v>
          </cell>
        </row>
        <row r="50">
          <cell r="A50">
            <v>50</v>
          </cell>
        </row>
        <row r="51">
          <cell r="A51">
            <v>51</v>
          </cell>
        </row>
        <row r="52">
          <cell r="A52">
            <v>52</v>
          </cell>
        </row>
        <row r="53">
          <cell r="A53">
            <v>53</v>
          </cell>
        </row>
        <row r="54">
          <cell r="A54">
            <v>54</v>
          </cell>
        </row>
        <row r="55">
          <cell r="A55">
            <v>55</v>
          </cell>
        </row>
        <row r="56">
          <cell r="A56">
            <v>56</v>
          </cell>
        </row>
        <row r="57">
          <cell r="A57">
            <v>57</v>
          </cell>
        </row>
        <row r="58">
          <cell r="A58">
            <v>58</v>
          </cell>
        </row>
        <row r="59">
          <cell r="A59">
            <v>59</v>
          </cell>
        </row>
        <row r="60">
          <cell r="A60">
            <v>60</v>
          </cell>
        </row>
        <row r="61">
          <cell r="A61">
            <v>61</v>
          </cell>
        </row>
        <row r="62">
          <cell r="A62">
            <v>62</v>
          </cell>
        </row>
        <row r="63">
          <cell r="A63">
            <v>63</v>
          </cell>
        </row>
        <row r="64">
          <cell r="A64">
            <v>64</v>
          </cell>
        </row>
        <row r="65">
          <cell r="A65">
            <v>65</v>
          </cell>
        </row>
        <row r="66">
          <cell r="A66">
            <v>66</v>
          </cell>
        </row>
        <row r="67">
          <cell r="A67">
            <v>67</v>
          </cell>
        </row>
        <row r="68">
          <cell r="A68">
            <v>68</v>
          </cell>
        </row>
        <row r="69">
          <cell r="A69">
            <v>69</v>
          </cell>
        </row>
        <row r="70">
          <cell r="A70">
            <v>70</v>
          </cell>
        </row>
        <row r="71">
          <cell r="A71">
            <v>71</v>
          </cell>
        </row>
        <row r="72">
          <cell r="A72">
            <v>72</v>
          </cell>
        </row>
        <row r="73">
          <cell r="A73">
            <v>73</v>
          </cell>
        </row>
        <row r="74">
          <cell r="A74">
            <v>74</v>
          </cell>
        </row>
        <row r="75">
          <cell r="A75">
            <v>75</v>
          </cell>
        </row>
        <row r="76">
          <cell r="A76">
            <v>76</v>
          </cell>
        </row>
        <row r="77">
          <cell r="A77">
            <v>77</v>
          </cell>
        </row>
        <row r="78">
          <cell r="A78">
            <v>78</v>
          </cell>
        </row>
        <row r="79">
          <cell r="A79">
            <v>79</v>
          </cell>
        </row>
        <row r="80">
          <cell r="A80">
            <v>80</v>
          </cell>
        </row>
        <row r="81">
          <cell r="A81">
            <v>81</v>
          </cell>
        </row>
        <row r="82">
          <cell r="A82">
            <v>82</v>
          </cell>
        </row>
        <row r="83">
          <cell r="A83">
            <v>83</v>
          </cell>
        </row>
        <row r="84">
          <cell r="A84">
            <v>84</v>
          </cell>
        </row>
        <row r="85">
          <cell r="A85">
            <v>85</v>
          </cell>
        </row>
        <row r="86">
          <cell r="A86">
            <v>86</v>
          </cell>
        </row>
        <row r="87">
          <cell r="A87">
            <v>87</v>
          </cell>
        </row>
        <row r="88">
          <cell r="A88">
            <v>88</v>
          </cell>
        </row>
        <row r="89">
          <cell r="A89">
            <v>89</v>
          </cell>
        </row>
        <row r="90">
          <cell r="A90">
            <v>90</v>
          </cell>
        </row>
        <row r="91">
          <cell r="A91">
            <v>91</v>
          </cell>
        </row>
        <row r="92">
          <cell r="A92">
            <v>92</v>
          </cell>
        </row>
        <row r="93">
          <cell r="A93">
            <v>93</v>
          </cell>
        </row>
        <row r="94">
          <cell r="A94">
            <v>94</v>
          </cell>
        </row>
        <row r="95">
          <cell r="A95">
            <v>95</v>
          </cell>
        </row>
        <row r="96">
          <cell r="A96">
            <v>96</v>
          </cell>
        </row>
        <row r="97">
          <cell r="A97">
            <v>97</v>
          </cell>
        </row>
        <row r="98">
          <cell r="A98">
            <v>98</v>
          </cell>
        </row>
        <row r="99">
          <cell r="A99">
            <v>99</v>
          </cell>
        </row>
        <row r="100">
          <cell r="A100">
            <v>100</v>
          </cell>
        </row>
        <row r="101">
          <cell r="A101">
            <v>101</v>
          </cell>
        </row>
        <row r="102">
          <cell r="A102">
            <v>102</v>
          </cell>
        </row>
        <row r="103">
          <cell r="A103">
            <v>103</v>
          </cell>
        </row>
        <row r="104">
          <cell r="A104">
            <v>104</v>
          </cell>
        </row>
        <row r="105">
          <cell r="A105">
            <v>105</v>
          </cell>
        </row>
        <row r="106">
          <cell r="A106">
            <v>106</v>
          </cell>
        </row>
        <row r="107">
          <cell r="A107">
            <v>107</v>
          </cell>
        </row>
        <row r="108">
          <cell r="A108">
            <v>108</v>
          </cell>
        </row>
        <row r="109">
          <cell r="A109">
            <v>109</v>
          </cell>
        </row>
        <row r="110">
          <cell r="A110">
            <v>110</v>
          </cell>
        </row>
        <row r="111">
          <cell r="A111">
            <v>111</v>
          </cell>
        </row>
        <row r="112">
          <cell r="A112">
            <v>112</v>
          </cell>
        </row>
        <row r="113">
          <cell r="A113">
            <v>113</v>
          </cell>
        </row>
        <row r="114">
          <cell r="A114">
            <v>114</v>
          </cell>
        </row>
        <row r="115">
          <cell r="A115">
            <v>115</v>
          </cell>
        </row>
        <row r="116">
          <cell r="A116">
            <v>116</v>
          </cell>
        </row>
        <row r="117">
          <cell r="A117">
            <v>117</v>
          </cell>
        </row>
        <row r="118">
          <cell r="A118">
            <v>118</v>
          </cell>
        </row>
        <row r="119">
          <cell r="A119">
            <v>119</v>
          </cell>
        </row>
        <row r="120">
          <cell r="A120">
            <v>120</v>
          </cell>
        </row>
        <row r="121">
          <cell r="A121">
            <v>121</v>
          </cell>
        </row>
        <row r="122">
          <cell r="A122">
            <v>122</v>
          </cell>
        </row>
        <row r="123">
          <cell r="A123">
            <v>123</v>
          </cell>
        </row>
        <row r="124">
          <cell r="A124">
            <v>124</v>
          </cell>
        </row>
        <row r="125">
          <cell r="A125">
            <v>125</v>
          </cell>
        </row>
        <row r="126">
          <cell r="A126">
            <v>126</v>
          </cell>
        </row>
        <row r="127">
          <cell r="A127">
            <v>127</v>
          </cell>
        </row>
        <row r="128">
          <cell r="A128">
            <v>128</v>
          </cell>
        </row>
        <row r="129">
          <cell r="A129">
            <v>129</v>
          </cell>
        </row>
        <row r="130">
          <cell r="A130">
            <v>130</v>
          </cell>
        </row>
        <row r="131">
          <cell r="A131">
            <v>131</v>
          </cell>
        </row>
        <row r="132">
          <cell r="A132">
            <v>132</v>
          </cell>
        </row>
        <row r="133">
          <cell r="A133">
            <v>133</v>
          </cell>
        </row>
        <row r="134">
          <cell r="A134">
            <v>134</v>
          </cell>
        </row>
        <row r="135">
          <cell r="A135">
            <v>135</v>
          </cell>
        </row>
        <row r="136">
          <cell r="A136">
            <v>136</v>
          </cell>
        </row>
        <row r="137">
          <cell r="A137">
            <v>137</v>
          </cell>
        </row>
        <row r="138">
          <cell r="A138">
            <v>138</v>
          </cell>
        </row>
        <row r="139">
          <cell r="A139">
            <v>139</v>
          </cell>
        </row>
        <row r="140">
          <cell r="A140">
            <v>140</v>
          </cell>
        </row>
        <row r="141">
          <cell r="A141">
            <v>141</v>
          </cell>
        </row>
        <row r="142">
          <cell r="A142">
            <v>142</v>
          </cell>
        </row>
        <row r="143">
          <cell r="A143">
            <v>143</v>
          </cell>
        </row>
        <row r="144">
          <cell r="A144">
            <v>144</v>
          </cell>
        </row>
        <row r="145">
          <cell r="A145">
            <v>145</v>
          </cell>
        </row>
        <row r="146">
          <cell r="A146">
            <v>146</v>
          </cell>
        </row>
        <row r="147">
          <cell r="A147">
            <v>147</v>
          </cell>
        </row>
        <row r="148">
          <cell r="A148">
            <v>148</v>
          </cell>
        </row>
        <row r="149">
          <cell r="A149">
            <v>149</v>
          </cell>
        </row>
        <row r="150">
          <cell r="A150">
            <v>150</v>
          </cell>
        </row>
        <row r="151">
          <cell r="A151">
            <v>151</v>
          </cell>
        </row>
        <row r="152">
          <cell r="A152">
            <v>152</v>
          </cell>
        </row>
        <row r="153">
          <cell r="A153">
            <v>153</v>
          </cell>
        </row>
        <row r="154">
          <cell r="A154">
            <v>154</v>
          </cell>
        </row>
        <row r="155">
          <cell r="A155">
            <v>155</v>
          </cell>
        </row>
        <row r="156">
          <cell r="A156">
            <v>156</v>
          </cell>
        </row>
        <row r="157">
          <cell r="A157">
            <v>157</v>
          </cell>
        </row>
        <row r="158">
          <cell r="A158">
            <v>158</v>
          </cell>
        </row>
        <row r="159">
          <cell r="A159">
            <v>159</v>
          </cell>
        </row>
        <row r="160">
          <cell r="A160">
            <v>160</v>
          </cell>
        </row>
        <row r="161">
          <cell r="A161">
            <v>161</v>
          </cell>
        </row>
        <row r="162">
          <cell r="A162">
            <v>162</v>
          </cell>
        </row>
        <row r="163">
          <cell r="A163">
            <v>163</v>
          </cell>
        </row>
        <row r="164">
          <cell r="A164">
            <v>164</v>
          </cell>
        </row>
        <row r="165">
          <cell r="A165">
            <v>165</v>
          </cell>
        </row>
        <row r="166">
          <cell r="A166">
            <v>166</v>
          </cell>
        </row>
        <row r="167">
          <cell r="A167">
            <v>167</v>
          </cell>
        </row>
        <row r="168">
          <cell r="A168">
            <v>168</v>
          </cell>
        </row>
        <row r="169">
          <cell r="A169">
            <v>169</v>
          </cell>
        </row>
        <row r="170">
          <cell r="A170">
            <v>170</v>
          </cell>
        </row>
        <row r="171">
          <cell r="A171">
            <v>171</v>
          </cell>
        </row>
        <row r="172">
          <cell r="A172">
            <v>172</v>
          </cell>
        </row>
        <row r="173">
          <cell r="A173">
            <v>173</v>
          </cell>
        </row>
        <row r="174">
          <cell r="A174">
            <v>174</v>
          </cell>
        </row>
        <row r="175">
          <cell r="A175">
            <v>175</v>
          </cell>
        </row>
        <row r="176">
          <cell r="A176">
            <v>176</v>
          </cell>
        </row>
        <row r="177">
          <cell r="A177">
            <v>177</v>
          </cell>
        </row>
        <row r="178">
          <cell r="A178">
            <v>178</v>
          </cell>
        </row>
        <row r="179">
          <cell r="A179">
            <v>179</v>
          </cell>
        </row>
        <row r="180">
          <cell r="A180">
            <v>180</v>
          </cell>
        </row>
        <row r="181">
          <cell r="A181">
            <v>181</v>
          </cell>
        </row>
        <row r="182">
          <cell r="A182">
            <v>182</v>
          </cell>
        </row>
        <row r="183">
          <cell r="A183">
            <v>183</v>
          </cell>
        </row>
        <row r="184">
          <cell r="A184">
            <v>184</v>
          </cell>
        </row>
        <row r="185">
          <cell r="A185">
            <v>185</v>
          </cell>
        </row>
        <row r="186">
          <cell r="A186">
            <v>186</v>
          </cell>
        </row>
        <row r="187">
          <cell r="A187">
            <v>187</v>
          </cell>
        </row>
        <row r="188">
          <cell r="A188">
            <v>188</v>
          </cell>
        </row>
        <row r="189">
          <cell r="A189">
            <v>189</v>
          </cell>
        </row>
        <row r="190">
          <cell r="A190">
            <v>190</v>
          </cell>
        </row>
        <row r="191">
          <cell r="A191">
            <v>191</v>
          </cell>
        </row>
        <row r="192">
          <cell r="A192">
            <v>192</v>
          </cell>
        </row>
        <row r="193">
          <cell r="A193">
            <v>193</v>
          </cell>
        </row>
        <row r="194">
          <cell r="A194">
            <v>194</v>
          </cell>
        </row>
        <row r="195">
          <cell r="A195">
            <v>195</v>
          </cell>
        </row>
        <row r="196">
          <cell r="A196">
            <v>196</v>
          </cell>
        </row>
        <row r="197">
          <cell r="A197">
            <v>197</v>
          </cell>
        </row>
        <row r="198">
          <cell r="A198">
            <v>198</v>
          </cell>
        </row>
        <row r="199">
          <cell r="A199">
            <v>199</v>
          </cell>
        </row>
        <row r="200">
          <cell r="A200">
            <v>200</v>
          </cell>
        </row>
        <row r="201">
          <cell r="A201">
            <v>201</v>
          </cell>
        </row>
        <row r="202">
          <cell r="A202">
            <v>202</v>
          </cell>
        </row>
        <row r="203">
          <cell r="A203">
            <v>203</v>
          </cell>
        </row>
        <row r="204">
          <cell r="A204">
            <v>204</v>
          </cell>
        </row>
        <row r="205">
          <cell r="A205">
            <v>205</v>
          </cell>
        </row>
        <row r="206">
          <cell r="A206">
            <v>206</v>
          </cell>
        </row>
        <row r="207">
          <cell r="A207">
            <v>207</v>
          </cell>
        </row>
        <row r="208">
          <cell r="A208">
            <v>208</v>
          </cell>
        </row>
        <row r="209">
          <cell r="A209">
            <v>209</v>
          </cell>
        </row>
        <row r="210">
          <cell r="A210">
            <v>210</v>
          </cell>
        </row>
        <row r="211">
          <cell r="A211">
            <v>211</v>
          </cell>
        </row>
        <row r="212">
          <cell r="A212">
            <v>212</v>
          </cell>
        </row>
        <row r="213">
          <cell r="A213">
            <v>213</v>
          </cell>
        </row>
        <row r="214">
          <cell r="A214">
            <v>214</v>
          </cell>
        </row>
        <row r="215">
          <cell r="A215">
            <v>215</v>
          </cell>
        </row>
        <row r="216">
          <cell r="A216">
            <v>216</v>
          </cell>
        </row>
        <row r="217">
          <cell r="A217">
            <v>217</v>
          </cell>
        </row>
        <row r="218">
          <cell r="A218">
            <v>218</v>
          </cell>
        </row>
        <row r="219">
          <cell r="A219">
            <v>219</v>
          </cell>
        </row>
        <row r="220">
          <cell r="A220">
            <v>220</v>
          </cell>
        </row>
        <row r="221">
          <cell r="A221">
            <v>221</v>
          </cell>
        </row>
        <row r="222">
          <cell r="A222">
            <v>222</v>
          </cell>
        </row>
        <row r="223">
          <cell r="A223">
            <v>223</v>
          </cell>
        </row>
        <row r="224">
          <cell r="A224">
            <v>224</v>
          </cell>
        </row>
        <row r="225">
          <cell r="A225">
            <v>225</v>
          </cell>
        </row>
        <row r="226">
          <cell r="A226">
            <v>226</v>
          </cell>
        </row>
        <row r="227">
          <cell r="A227">
            <v>227</v>
          </cell>
        </row>
        <row r="228">
          <cell r="A228">
            <v>228</v>
          </cell>
        </row>
        <row r="229">
          <cell r="A229">
            <v>229</v>
          </cell>
        </row>
        <row r="230">
          <cell r="A230">
            <v>230</v>
          </cell>
        </row>
        <row r="231">
          <cell r="A231">
            <v>231</v>
          </cell>
        </row>
        <row r="232">
          <cell r="A232">
            <v>232</v>
          </cell>
        </row>
        <row r="233">
          <cell r="A233">
            <v>233</v>
          </cell>
        </row>
        <row r="234">
          <cell r="A234">
            <v>234</v>
          </cell>
        </row>
        <row r="235">
          <cell r="A235">
            <v>235</v>
          </cell>
        </row>
        <row r="236">
          <cell r="A236">
            <v>236</v>
          </cell>
        </row>
        <row r="237">
          <cell r="A237">
            <v>237</v>
          </cell>
        </row>
        <row r="238">
          <cell r="A238">
            <v>238</v>
          </cell>
        </row>
        <row r="239">
          <cell r="A239">
            <v>239</v>
          </cell>
        </row>
        <row r="240">
          <cell r="A240">
            <v>240</v>
          </cell>
        </row>
        <row r="241">
          <cell r="A241">
            <v>241</v>
          </cell>
        </row>
        <row r="242">
          <cell r="A242">
            <v>242</v>
          </cell>
        </row>
        <row r="243">
          <cell r="A243">
            <v>243</v>
          </cell>
        </row>
        <row r="244">
          <cell r="A244">
            <v>244</v>
          </cell>
        </row>
        <row r="245">
          <cell r="A245">
            <v>245</v>
          </cell>
        </row>
        <row r="246">
          <cell r="A246">
            <v>246</v>
          </cell>
        </row>
        <row r="247">
          <cell r="A247">
            <v>247</v>
          </cell>
        </row>
        <row r="248">
          <cell r="A248">
            <v>248</v>
          </cell>
        </row>
        <row r="249">
          <cell r="A249">
            <v>249</v>
          </cell>
        </row>
        <row r="250">
          <cell r="A250">
            <v>250</v>
          </cell>
        </row>
        <row r="251">
          <cell r="A251">
            <v>251</v>
          </cell>
        </row>
        <row r="252">
          <cell r="A252">
            <v>252</v>
          </cell>
        </row>
        <row r="253">
          <cell r="A253">
            <v>253</v>
          </cell>
        </row>
        <row r="254">
          <cell r="A254">
            <v>254</v>
          </cell>
        </row>
        <row r="255">
          <cell r="A255">
            <v>255</v>
          </cell>
        </row>
        <row r="256">
          <cell r="A256">
            <v>256</v>
          </cell>
        </row>
        <row r="257">
          <cell r="A257">
            <v>257</v>
          </cell>
        </row>
        <row r="258">
          <cell r="A258">
            <v>258</v>
          </cell>
        </row>
        <row r="259">
          <cell r="A259">
            <v>259</v>
          </cell>
        </row>
        <row r="260">
          <cell r="A260">
            <v>260</v>
          </cell>
        </row>
        <row r="261">
          <cell r="A261">
            <v>261</v>
          </cell>
        </row>
        <row r="262">
          <cell r="A262">
            <v>262</v>
          </cell>
        </row>
        <row r="263">
          <cell r="A263">
            <v>263</v>
          </cell>
        </row>
        <row r="264">
          <cell r="A264">
            <v>264</v>
          </cell>
        </row>
        <row r="265">
          <cell r="A265">
            <v>265</v>
          </cell>
        </row>
        <row r="266">
          <cell r="A266">
            <v>266</v>
          </cell>
        </row>
        <row r="267">
          <cell r="A267">
            <v>267</v>
          </cell>
        </row>
        <row r="268">
          <cell r="A268">
            <v>268</v>
          </cell>
        </row>
        <row r="269">
          <cell r="A269">
            <v>269</v>
          </cell>
        </row>
        <row r="270">
          <cell r="A270">
            <v>270</v>
          </cell>
        </row>
        <row r="271">
          <cell r="A271">
            <v>271</v>
          </cell>
        </row>
        <row r="272">
          <cell r="A272">
            <v>272</v>
          </cell>
        </row>
        <row r="273">
          <cell r="A273">
            <v>273</v>
          </cell>
        </row>
        <row r="274">
          <cell r="A274">
            <v>274</v>
          </cell>
        </row>
        <row r="275">
          <cell r="A275">
            <v>275</v>
          </cell>
        </row>
        <row r="276">
          <cell r="A276">
            <v>276</v>
          </cell>
        </row>
        <row r="277">
          <cell r="A277">
            <v>277</v>
          </cell>
        </row>
        <row r="278">
          <cell r="A278">
            <v>278</v>
          </cell>
        </row>
        <row r="279">
          <cell r="A279">
            <v>279</v>
          </cell>
        </row>
        <row r="280">
          <cell r="A280">
            <v>280</v>
          </cell>
        </row>
        <row r="281">
          <cell r="A281">
            <v>281</v>
          </cell>
        </row>
        <row r="282">
          <cell r="A282">
            <v>282</v>
          </cell>
        </row>
        <row r="283">
          <cell r="A283">
            <v>283</v>
          </cell>
        </row>
        <row r="284">
          <cell r="A284">
            <v>284</v>
          </cell>
        </row>
        <row r="285">
          <cell r="A285">
            <v>285</v>
          </cell>
        </row>
        <row r="286">
          <cell r="A286">
            <v>286</v>
          </cell>
        </row>
        <row r="287">
          <cell r="A287">
            <v>287</v>
          </cell>
        </row>
        <row r="288">
          <cell r="A288">
            <v>288</v>
          </cell>
        </row>
        <row r="289">
          <cell r="A289">
            <v>289</v>
          </cell>
        </row>
        <row r="290">
          <cell r="A290">
            <v>290</v>
          </cell>
        </row>
        <row r="291">
          <cell r="A291">
            <v>291</v>
          </cell>
        </row>
        <row r="292">
          <cell r="A292">
            <v>292</v>
          </cell>
        </row>
        <row r="293">
          <cell r="A293">
            <v>293</v>
          </cell>
        </row>
        <row r="294">
          <cell r="A294">
            <v>294</v>
          </cell>
        </row>
        <row r="295">
          <cell r="A295">
            <v>295</v>
          </cell>
        </row>
        <row r="296">
          <cell r="A296">
            <v>296</v>
          </cell>
        </row>
        <row r="297">
          <cell r="A297">
            <v>297</v>
          </cell>
        </row>
        <row r="298">
          <cell r="A298">
            <v>298</v>
          </cell>
        </row>
        <row r="299">
          <cell r="A299">
            <v>299</v>
          </cell>
        </row>
        <row r="300">
          <cell r="A300">
            <v>300</v>
          </cell>
        </row>
        <row r="301">
          <cell r="A301">
            <v>301</v>
          </cell>
        </row>
        <row r="302">
          <cell r="A302">
            <v>302</v>
          </cell>
        </row>
        <row r="303">
          <cell r="A303">
            <v>303</v>
          </cell>
        </row>
        <row r="304">
          <cell r="A304">
            <v>304</v>
          </cell>
        </row>
        <row r="305">
          <cell r="A305">
            <v>305</v>
          </cell>
        </row>
        <row r="306">
          <cell r="A306">
            <v>306</v>
          </cell>
        </row>
        <row r="307">
          <cell r="A307">
            <v>307</v>
          </cell>
        </row>
        <row r="308">
          <cell r="A308">
            <v>308</v>
          </cell>
        </row>
        <row r="309">
          <cell r="A309">
            <v>309</v>
          </cell>
        </row>
        <row r="310">
          <cell r="A310">
            <v>310</v>
          </cell>
        </row>
        <row r="311">
          <cell r="A311">
            <v>311</v>
          </cell>
        </row>
        <row r="312">
          <cell r="A312">
            <v>312</v>
          </cell>
        </row>
        <row r="313">
          <cell r="A313">
            <v>313</v>
          </cell>
        </row>
        <row r="314">
          <cell r="A314">
            <v>314</v>
          </cell>
        </row>
        <row r="315">
          <cell r="A315">
            <v>315</v>
          </cell>
        </row>
        <row r="316">
          <cell r="A316">
            <v>316</v>
          </cell>
        </row>
        <row r="317">
          <cell r="A317">
            <v>317</v>
          </cell>
        </row>
        <row r="318">
          <cell r="A318">
            <v>318</v>
          </cell>
        </row>
        <row r="319">
          <cell r="A319">
            <v>319</v>
          </cell>
        </row>
        <row r="320">
          <cell r="A320">
            <v>320</v>
          </cell>
        </row>
        <row r="321">
          <cell r="A321">
            <v>321</v>
          </cell>
        </row>
        <row r="322">
          <cell r="A322">
            <v>322</v>
          </cell>
        </row>
        <row r="323">
          <cell r="A323">
            <v>323</v>
          </cell>
        </row>
        <row r="324">
          <cell r="A324">
            <v>324</v>
          </cell>
        </row>
        <row r="325">
          <cell r="A325">
            <v>325</v>
          </cell>
        </row>
        <row r="326">
          <cell r="A326">
            <v>326</v>
          </cell>
        </row>
        <row r="327">
          <cell r="A327">
            <v>327</v>
          </cell>
        </row>
        <row r="328">
          <cell r="A328">
            <v>328</v>
          </cell>
        </row>
        <row r="329">
          <cell r="A329">
            <v>329</v>
          </cell>
        </row>
        <row r="330">
          <cell r="A330">
            <v>330</v>
          </cell>
        </row>
        <row r="331">
          <cell r="A331">
            <v>331</v>
          </cell>
        </row>
        <row r="332">
          <cell r="A332">
            <v>332</v>
          </cell>
        </row>
        <row r="333">
          <cell r="A333">
            <v>333</v>
          </cell>
        </row>
        <row r="334">
          <cell r="A334">
            <v>334</v>
          </cell>
        </row>
        <row r="335">
          <cell r="A335">
            <v>335</v>
          </cell>
        </row>
        <row r="336">
          <cell r="A336">
            <v>336</v>
          </cell>
        </row>
        <row r="337">
          <cell r="A337">
            <v>337</v>
          </cell>
        </row>
        <row r="338">
          <cell r="A338">
            <v>338</v>
          </cell>
        </row>
        <row r="339">
          <cell r="A339">
            <v>339</v>
          </cell>
        </row>
        <row r="340">
          <cell r="A340">
            <v>340</v>
          </cell>
        </row>
        <row r="341">
          <cell r="A341">
            <v>341</v>
          </cell>
        </row>
        <row r="342">
          <cell r="A342">
            <v>342</v>
          </cell>
        </row>
        <row r="343">
          <cell r="A343">
            <v>343</v>
          </cell>
        </row>
        <row r="344">
          <cell r="A344">
            <v>344</v>
          </cell>
        </row>
        <row r="345">
          <cell r="A345">
            <v>345</v>
          </cell>
        </row>
        <row r="346">
          <cell r="A346">
            <v>346</v>
          </cell>
        </row>
        <row r="347">
          <cell r="A347">
            <v>347</v>
          </cell>
        </row>
        <row r="348">
          <cell r="A348">
            <v>348</v>
          </cell>
        </row>
        <row r="349">
          <cell r="A349">
            <v>349</v>
          </cell>
        </row>
        <row r="350">
          <cell r="A350">
            <v>350</v>
          </cell>
        </row>
        <row r="351">
          <cell r="A351">
            <v>351</v>
          </cell>
        </row>
        <row r="352">
          <cell r="A352">
            <v>352</v>
          </cell>
        </row>
        <row r="353">
          <cell r="A353">
            <v>353</v>
          </cell>
        </row>
        <row r="354">
          <cell r="A354">
            <v>354</v>
          </cell>
        </row>
        <row r="355">
          <cell r="A355">
            <v>355</v>
          </cell>
        </row>
        <row r="356">
          <cell r="A356">
            <v>356</v>
          </cell>
        </row>
        <row r="357">
          <cell r="A357">
            <v>357</v>
          </cell>
        </row>
        <row r="358">
          <cell r="A358">
            <v>358</v>
          </cell>
        </row>
        <row r="359">
          <cell r="A359">
            <v>359</v>
          </cell>
        </row>
        <row r="360">
          <cell r="A360">
            <v>360</v>
          </cell>
        </row>
        <row r="361">
          <cell r="A361">
            <v>361</v>
          </cell>
        </row>
        <row r="362">
          <cell r="A362">
            <v>362</v>
          </cell>
        </row>
        <row r="363">
          <cell r="A363">
            <v>363</v>
          </cell>
        </row>
        <row r="364">
          <cell r="A364">
            <v>364</v>
          </cell>
        </row>
        <row r="365">
          <cell r="A365">
            <v>365</v>
          </cell>
        </row>
        <row r="366">
          <cell r="A366">
            <v>366</v>
          </cell>
        </row>
        <row r="367">
          <cell r="A367">
            <v>367</v>
          </cell>
        </row>
        <row r="368">
          <cell r="A368">
            <v>368</v>
          </cell>
        </row>
        <row r="369">
          <cell r="A369">
            <v>369</v>
          </cell>
        </row>
        <row r="370">
          <cell r="A370">
            <v>370</v>
          </cell>
        </row>
        <row r="371">
          <cell r="A371">
            <v>371</v>
          </cell>
        </row>
        <row r="372">
          <cell r="A372">
            <v>372</v>
          </cell>
        </row>
        <row r="373">
          <cell r="A373">
            <v>373</v>
          </cell>
        </row>
        <row r="374">
          <cell r="A374">
            <v>374</v>
          </cell>
        </row>
        <row r="375">
          <cell r="A375">
            <v>375</v>
          </cell>
        </row>
        <row r="376">
          <cell r="A376">
            <v>376</v>
          </cell>
        </row>
        <row r="377">
          <cell r="A377">
            <v>377</v>
          </cell>
        </row>
        <row r="378">
          <cell r="A378">
            <v>378</v>
          </cell>
        </row>
        <row r="379">
          <cell r="A379">
            <v>379</v>
          </cell>
        </row>
        <row r="380">
          <cell r="A380">
            <v>380</v>
          </cell>
        </row>
        <row r="381">
          <cell r="A381">
            <v>381</v>
          </cell>
        </row>
        <row r="382">
          <cell r="A382">
            <v>382</v>
          </cell>
        </row>
        <row r="383">
          <cell r="A383">
            <v>383</v>
          </cell>
        </row>
        <row r="384">
          <cell r="A384">
            <v>384</v>
          </cell>
        </row>
        <row r="385">
          <cell r="A385">
            <v>385</v>
          </cell>
        </row>
        <row r="386">
          <cell r="A386">
            <v>386</v>
          </cell>
        </row>
        <row r="387">
          <cell r="A387">
            <v>387</v>
          </cell>
        </row>
        <row r="388">
          <cell r="A388">
            <v>388</v>
          </cell>
        </row>
        <row r="389">
          <cell r="A389">
            <v>389</v>
          </cell>
        </row>
        <row r="390">
          <cell r="A390">
            <v>390</v>
          </cell>
        </row>
        <row r="391">
          <cell r="A391">
            <v>391</v>
          </cell>
        </row>
        <row r="392">
          <cell r="A392">
            <v>392</v>
          </cell>
        </row>
        <row r="393">
          <cell r="A393">
            <v>393</v>
          </cell>
        </row>
        <row r="394">
          <cell r="A394">
            <v>394</v>
          </cell>
        </row>
        <row r="395">
          <cell r="A395">
            <v>395</v>
          </cell>
        </row>
        <row r="396">
          <cell r="A396">
            <v>396</v>
          </cell>
        </row>
        <row r="397">
          <cell r="A397">
            <v>397</v>
          </cell>
        </row>
        <row r="398">
          <cell r="A398">
            <v>398</v>
          </cell>
        </row>
        <row r="399">
          <cell r="A399">
            <v>399</v>
          </cell>
        </row>
        <row r="400">
          <cell r="A400">
            <v>400</v>
          </cell>
        </row>
        <row r="401">
          <cell r="A401">
            <v>401</v>
          </cell>
        </row>
        <row r="402">
          <cell r="A402">
            <v>402</v>
          </cell>
        </row>
        <row r="403">
          <cell r="A403">
            <v>403</v>
          </cell>
        </row>
        <row r="404">
          <cell r="A404">
            <v>404</v>
          </cell>
        </row>
        <row r="405">
          <cell r="A405">
            <v>405</v>
          </cell>
        </row>
        <row r="406">
          <cell r="A406">
            <v>406</v>
          </cell>
        </row>
        <row r="407">
          <cell r="A407">
            <v>407</v>
          </cell>
        </row>
        <row r="408">
          <cell r="A408">
            <v>408</v>
          </cell>
        </row>
        <row r="409">
          <cell r="A409">
            <v>409</v>
          </cell>
        </row>
        <row r="410">
          <cell r="A410">
            <v>410</v>
          </cell>
        </row>
        <row r="411">
          <cell r="A411">
            <v>411</v>
          </cell>
        </row>
        <row r="412">
          <cell r="A412">
            <v>412</v>
          </cell>
        </row>
        <row r="413">
          <cell r="A413">
            <v>413</v>
          </cell>
        </row>
        <row r="414">
          <cell r="A414">
            <v>414</v>
          </cell>
        </row>
        <row r="415">
          <cell r="A415">
            <v>415</v>
          </cell>
        </row>
        <row r="416">
          <cell r="A416">
            <v>416</v>
          </cell>
        </row>
        <row r="417">
          <cell r="A417">
            <v>417</v>
          </cell>
        </row>
        <row r="418">
          <cell r="A418">
            <v>418</v>
          </cell>
        </row>
        <row r="419">
          <cell r="A419">
            <v>419</v>
          </cell>
        </row>
        <row r="420">
          <cell r="A420">
            <v>420</v>
          </cell>
        </row>
        <row r="421">
          <cell r="A421">
            <v>421</v>
          </cell>
        </row>
        <row r="422">
          <cell r="A422">
            <v>422</v>
          </cell>
        </row>
        <row r="423">
          <cell r="A423">
            <v>423</v>
          </cell>
        </row>
        <row r="424">
          <cell r="A424">
            <v>424</v>
          </cell>
        </row>
        <row r="425">
          <cell r="A425">
            <v>425</v>
          </cell>
        </row>
        <row r="426">
          <cell r="A426">
            <v>426</v>
          </cell>
        </row>
        <row r="427">
          <cell r="A427">
            <v>427</v>
          </cell>
        </row>
        <row r="428">
          <cell r="A428">
            <v>428</v>
          </cell>
        </row>
        <row r="429">
          <cell r="A429">
            <v>429</v>
          </cell>
        </row>
        <row r="430">
          <cell r="A430">
            <v>430</v>
          </cell>
        </row>
        <row r="431">
          <cell r="A431">
            <v>431</v>
          </cell>
        </row>
        <row r="432">
          <cell r="A432">
            <v>432</v>
          </cell>
        </row>
        <row r="433">
          <cell r="A433">
            <v>433</v>
          </cell>
        </row>
        <row r="434">
          <cell r="A434">
            <v>434</v>
          </cell>
        </row>
        <row r="435">
          <cell r="A435">
            <v>435</v>
          </cell>
        </row>
        <row r="436">
          <cell r="A436">
            <v>436</v>
          </cell>
        </row>
        <row r="437">
          <cell r="A437">
            <v>437</v>
          </cell>
        </row>
        <row r="438">
          <cell r="A438">
            <v>438</v>
          </cell>
        </row>
        <row r="439">
          <cell r="A439">
            <v>439</v>
          </cell>
        </row>
        <row r="440">
          <cell r="A440">
            <v>440</v>
          </cell>
        </row>
        <row r="441">
          <cell r="A441">
            <v>441</v>
          </cell>
        </row>
        <row r="442">
          <cell r="A442">
            <v>442</v>
          </cell>
        </row>
        <row r="443">
          <cell r="A443">
            <v>443</v>
          </cell>
        </row>
        <row r="444">
          <cell r="A444">
            <v>444</v>
          </cell>
        </row>
        <row r="445">
          <cell r="A445">
            <v>445</v>
          </cell>
        </row>
        <row r="446">
          <cell r="A446">
            <v>446</v>
          </cell>
        </row>
        <row r="447">
          <cell r="A447">
            <v>447</v>
          </cell>
        </row>
        <row r="448">
          <cell r="A448">
            <v>448</v>
          </cell>
        </row>
        <row r="449">
          <cell r="A449">
            <v>449</v>
          </cell>
        </row>
        <row r="450">
          <cell r="A450">
            <v>450</v>
          </cell>
        </row>
        <row r="451">
          <cell r="A451">
            <v>451</v>
          </cell>
        </row>
        <row r="452">
          <cell r="A452">
            <v>452</v>
          </cell>
        </row>
        <row r="453">
          <cell r="A453">
            <v>453</v>
          </cell>
        </row>
        <row r="454">
          <cell r="A454">
            <v>454</v>
          </cell>
        </row>
        <row r="455">
          <cell r="A455">
            <v>455</v>
          </cell>
        </row>
        <row r="456">
          <cell r="A456">
            <v>456</v>
          </cell>
        </row>
        <row r="457">
          <cell r="A457">
            <v>457</v>
          </cell>
        </row>
        <row r="458">
          <cell r="A458">
            <v>458</v>
          </cell>
        </row>
        <row r="459">
          <cell r="A459">
            <v>459</v>
          </cell>
        </row>
        <row r="460">
          <cell r="A460">
            <v>460</v>
          </cell>
        </row>
        <row r="461">
          <cell r="A461">
            <v>461</v>
          </cell>
        </row>
        <row r="462">
          <cell r="A462">
            <v>462</v>
          </cell>
        </row>
        <row r="463">
          <cell r="A463">
            <v>463</v>
          </cell>
        </row>
        <row r="464">
          <cell r="A464">
            <v>464</v>
          </cell>
        </row>
        <row r="465">
          <cell r="A465">
            <v>465</v>
          </cell>
        </row>
        <row r="466">
          <cell r="A466">
            <v>466</v>
          </cell>
        </row>
        <row r="467">
          <cell r="A467">
            <v>467</v>
          </cell>
        </row>
        <row r="468">
          <cell r="A468">
            <v>468</v>
          </cell>
        </row>
        <row r="469">
          <cell r="A469">
            <v>469</v>
          </cell>
        </row>
        <row r="470">
          <cell r="A470">
            <v>470</v>
          </cell>
        </row>
        <row r="471">
          <cell r="A471">
            <v>471</v>
          </cell>
        </row>
        <row r="472">
          <cell r="A472">
            <v>472</v>
          </cell>
        </row>
        <row r="473">
          <cell r="A473">
            <v>473</v>
          </cell>
        </row>
        <row r="474">
          <cell r="A474">
            <v>474</v>
          </cell>
        </row>
        <row r="475">
          <cell r="A475">
            <v>475</v>
          </cell>
        </row>
        <row r="476">
          <cell r="A476">
            <v>476</v>
          </cell>
        </row>
        <row r="477">
          <cell r="A477">
            <v>477</v>
          </cell>
        </row>
        <row r="478">
          <cell r="A478">
            <v>478</v>
          </cell>
        </row>
        <row r="479">
          <cell r="A479">
            <v>479</v>
          </cell>
        </row>
        <row r="480">
          <cell r="A480">
            <v>480</v>
          </cell>
        </row>
        <row r="481">
          <cell r="A481">
            <v>481</v>
          </cell>
        </row>
        <row r="482">
          <cell r="A482">
            <v>482</v>
          </cell>
        </row>
        <row r="483">
          <cell r="A483">
            <v>483</v>
          </cell>
        </row>
        <row r="484">
          <cell r="A484">
            <v>484</v>
          </cell>
        </row>
        <row r="485">
          <cell r="A485">
            <v>485</v>
          </cell>
        </row>
        <row r="486">
          <cell r="A486">
            <v>486</v>
          </cell>
        </row>
        <row r="487">
          <cell r="A487">
            <v>487</v>
          </cell>
        </row>
        <row r="488">
          <cell r="A488">
            <v>488</v>
          </cell>
        </row>
        <row r="489">
          <cell r="A489">
            <v>489</v>
          </cell>
        </row>
        <row r="490">
          <cell r="A490">
            <v>490</v>
          </cell>
        </row>
        <row r="491">
          <cell r="A491">
            <v>491</v>
          </cell>
        </row>
        <row r="492">
          <cell r="A492">
            <v>492</v>
          </cell>
        </row>
        <row r="493">
          <cell r="A493">
            <v>493</v>
          </cell>
        </row>
        <row r="494">
          <cell r="A494">
            <v>494</v>
          </cell>
        </row>
        <row r="495">
          <cell r="A495">
            <v>495</v>
          </cell>
        </row>
        <row r="496">
          <cell r="A496">
            <v>496</v>
          </cell>
        </row>
        <row r="497">
          <cell r="A497">
            <v>497</v>
          </cell>
        </row>
        <row r="498">
          <cell r="A498">
            <v>498</v>
          </cell>
        </row>
        <row r="499">
          <cell r="A499">
            <v>499</v>
          </cell>
        </row>
        <row r="500">
          <cell r="A500">
            <v>500</v>
          </cell>
        </row>
        <row r="501">
          <cell r="A501">
            <v>501</v>
          </cell>
        </row>
        <row r="502">
          <cell r="A502">
            <v>502</v>
          </cell>
        </row>
        <row r="503">
          <cell r="A503">
            <v>503</v>
          </cell>
        </row>
        <row r="504">
          <cell r="A504">
            <v>504</v>
          </cell>
        </row>
        <row r="505">
          <cell r="A505">
            <v>505</v>
          </cell>
        </row>
        <row r="506">
          <cell r="A506">
            <v>506</v>
          </cell>
        </row>
        <row r="507">
          <cell r="A507">
            <v>507</v>
          </cell>
        </row>
        <row r="508">
          <cell r="A508">
            <v>508</v>
          </cell>
        </row>
        <row r="509">
          <cell r="A509">
            <v>509</v>
          </cell>
        </row>
        <row r="510">
          <cell r="A510">
            <v>510</v>
          </cell>
        </row>
        <row r="511">
          <cell r="A511">
            <v>511</v>
          </cell>
        </row>
        <row r="512">
          <cell r="A512">
            <v>512</v>
          </cell>
        </row>
        <row r="513">
          <cell r="A513">
            <v>513</v>
          </cell>
        </row>
        <row r="514">
          <cell r="A514">
            <v>514</v>
          </cell>
        </row>
        <row r="515">
          <cell r="A515">
            <v>515</v>
          </cell>
        </row>
        <row r="516">
          <cell r="A516">
            <v>516</v>
          </cell>
        </row>
        <row r="517">
          <cell r="A517">
            <v>517</v>
          </cell>
        </row>
        <row r="518">
          <cell r="A518">
            <v>518</v>
          </cell>
        </row>
        <row r="519">
          <cell r="A519">
            <v>519</v>
          </cell>
        </row>
        <row r="520">
          <cell r="A520">
            <v>520</v>
          </cell>
        </row>
        <row r="521">
          <cell r="A521">
            <v>521</v>
          </cell>
        </row>
        <row r="522">
          <cell r="A522">
            <v>522</v>
          </cell>
        </row>
        <row r="523">
          <cell r="A523">
            <v>523</v>
          </cell>
        </row>
        <row r="524">
          <cell r="A524">
            <v>524</v>
          </cell>
        </row>
        <row r="525">
          <cell r="A525">
            <v>525</v>
          </cell>
        </row>
        <row r="526">
          <cell r="A526">
            <v>526</v>
          </cell>
        </row>
        <row r="527">
          <cell r="A527">
            <v>527</v>
          </cell>
        </row>
        <row r="528">
          <cell r="A528">
            <v>528</v>
          </cell>
        </row>
        <row r="529">
          <cell r="A529">
            <v>529</v>
          </cell>
        </row>
        <row r="530">
          <cell r="A530">
            <v>530</v>
          </cell>
        </row>
        <row r="531">
          <cell r="A531">
            <v>531</v>
          </cell>
        </row>
        <row r="532">
          <cell r="A532">
            <v>532</v>
          </cell>
        </row>
        <row r="533">
          <cell r="A533">
            <v>533</v>
          </cell>
        </row>
        <row r="534">
          <cell r="A534">
            <v>534</v>
          </cell>
        </row>
        <row r="535">
          <cell r="A535">
            <v>535</v>
          </cell>
        </row>
        <row r="536">
          <cell r="A536">
            <v>536</v>
          </cell>
        </row>
        <row r="537">
          <cell r="A537">
            <v>537</v>
          </cell>
        </row>
        <row r="538">
          <cell r="A538">
            <v>538</v>
          </cell>
        </row>
        <row r="539">
          <cell r="A539">
            <v>539</v>
          </cell>
        </row>
        <row r="540">
          <cell r="A540">
            <v>540</v>
          </cell>
        </row>
        <row r="541">
          <cell r="A541">
            <v>541</v>
          </cell>
        </row>
        <row r="542">
          <cell r="A542">
            <v>542</v>
          </cell>
        </row>
        <row r="543">
          <cell r="A543">
            <v>543</v>
          </cell>
        </row>
        <row r="544">
          <cell r="A544">
            <v>544</v>
          </cell>
        </row>
        <row r="545">
          <cell r="A545">
            <v>545</v>
          </cell>
        </row>
        <row r="546">
          <cell r="A546">
            <v>546</v>
          </cell>
        </row>
        <row r="547">
          <cell r="A547">
            <v>547</v>
          </cell>
        </row>
        <row r="548">
          <cell r="A548">
            <v>548</v>
          </cell>
        </row>
        <row r="549">
          <cell r="A549">
            <v>549</v>
          </cell>
        </row>
        <row r="550">
          <cell r="A550">
            <v>550</v>
          </cell>
        </row>
        <row r="551">
          <cell r="A551">
            <v>551</v>
          </cell>
        </row>
        <row r="552">
          <cell r="A552">
            <v>552</v>
          </cell>
        </row>
        <row r="553">
          <cell r="A553">
            <v>553</v>
          </cell>
        </row>
        <row r="554">
          <cell r="A554">
            <v>554</v>
          </cell>
        </row>
        <row r="555">
          <cell r="A555">
            <v>555</v>
          </cell>
        </row>
        <row r="556">
          <cell r="A556">
            <v>556</v>
          </cell>
        </row>
        <row r="557">
          <cell r="A557">
            <v>557</v>
          </cell>
        </row>
        <row r="558">
          <cell r="A558">
            <v>558</v>
          </cell>
        </row>
        <row r="559">
          <cell r="A559">
            <v>559</v>
          </cell>
        </row>
        <row r="560">
          <cell r="A560">
            <v>560</v>
          </cell>
        </row>
        <row r="561">
          <cell r="A561">
            <v>561</v>
          </cell>
        </row>
        <row r="562">
          <cell r="A562">
            <v>562</v>
          </cell>
        </row>
        <row r="563">
          <cell r="A563">
            <v>563</v>
          </cell>
        </row>
        <row r="564">
          <cell r="A564">
            <v>564</v>
          </cell>
        </row>
        <row r="565">
          <cell r="A565">
            <v>565</v>
          </cell>
        </row>
        <row r="566">
          <cell r="A566">
            <v>566</v>
          </cell>
        </row>
        <row r="567">
          <cell r="A567">
            <v>567</v>
          </cell>
        </row>
        <row r="568">
          <cell r="A568">
            <v>568</v>
          </cell>
        </row>
        <row r="569">
          <cell r="A569">
            <v>569</v>
          </cell>
        </row>
        <row r="570">
          <cell r="A570">
            <v>570</v>
          </cell>
        </row>
        <row r="571">
          <cell r="A571">
            <v>571</v>
          </cell>
        </row>
        <row r="572">
          <cell r="A572">
            <v>572</v>
          </cell>
        </row>
        <row r="573">
          <cell r="A573">
            <v>573</v>
          </cell>
        </row>
        <row r="574">
          <cell r="A574">
            <v>574</v>
          </cell>
        </row>
        <row r="575">
          <cell r="A575">
            <v>575</v>
          </cell>
        </row>
        <row r="576">
          <cell r="A576">
            <v>576</v>
          </cell>
        </row>
        <row r="577">
          <cell r="A577">
            <v>577</v>
          </cell>
        </row>
        <row r="578">
          <cell r="A578">
            <v>578</v>
          </cell>
        </row>
        <row r="579">
          <cell r="A579">
            <v>579</v>
          </cell>
        </row>
        <row r="580">
          <cell r="A580">
            <v>580</v>
          </cell>
        </row>
        <row r="581">
          <cell r="A581">
            <v>581</v>
          </cell>
        </row>
        <row r="582">
          <cell r="A582">
            <v>582</v>
          </cell>
        </row>
        <row r="583">
          <cell r="A583">
            <v>583</v>
          </cell>
        </row>
        <row r="584">
          <cell r="A584">
            <v>584</v>
          </cell>
        </row>
        <row r="585">
          <cell r="A585">
            <v>585</v>
          </cell>
        </row>
        <row r="586">
          <cell r="A586">
            <v>586</v>
          </cell>
        </row>
        <row r="587">
          <cell r="A587">
            <v>587</v>
          </cell>
        </row>
        <row r="588">
          <cell r="A588">
            <v>588</v>
          </cell>
        </row>
        <row r="589">
          <cell r="A589">
            <v>589</v>
          </cell>
        </row>
        <row r="590">
          <cell r="A590">
            <v>590</v>
          </cell>
        </row>
        <row r="591">
          <cell r="A591">
            <v>591</v>
          </cell>
        </row>
        <row r="592">
          <cell r="A592">
            <v>592</v>
          </cell>
        </row>
        <row r="593">
          <cell r="A593">
            <v>593</v>
          </cell>
        </row>
        <row r="594">
          <cell r="A594">
            <v>594</v>
          </cell>
        </row>
        <row r="595">
          <cell r="A595">
            <v>595</v>
          </cell>
        </row>
        <row r="596">
          <cell r="A596">
            <v>596</v>
          </cell>
        </row>
        <row r="597">
          <cell r="A597">
            <v>597</v>
          </cell>
        </row>
        <row r="598">
          <cell r="A598">
            <v>598</v>
          </cell>
        </row>
        <row r="599">
          <cell r="A599">
            <v>599</v>
          </cell>
        </row>
        <row r="600">
          <cell r="A600">
            <v>600</v>
          </cell>
        </row>
        <row r="601">
          <cell r="A601">
            <v>601</v>
          </cell>
        </row>
        <row r="602">
          <cell r="A602">
            <v>602</v>
          </cell>
        </row>
        <row r="603">
          <cell r="A603">
            <v>603</v>
          </cell>
        </row>
        <row r="604">
          <cell r="A604">
            <v>604</v>
          </cell>
        </row>
        <row r="605">
          <cell r="A605">
            <v>605</v>
          </cell>
        </row>
        <row r="606">
          <cell r="A606">
            <v>606</v>
          </cell>
        </row>
        <row r="607">
          <cell r="A607">
            <v>607</v>
          </cell>
        </row>
        <row r="608">
          <cell r="A608">
            <v>608</v>
          </cell>
        </row>
        <row r="609">
          <cell r="A609">
            <v>609</v>
          </cell>
        </row>
        <row r="610">
          <cell r="A610">
            <v>610</v>
          </cell>
        </row>
        <row r="611">
          <cell r="A611">
            <v>611</v>
          </cell>
        </row>
        <row r="612">
          <cell r="A612">
            <v>612</v>
          </cell>
        </row>
        <row r="613">
          <cell r="A613">
            <v>613</v>
          </cell>
        </row>
        <row r="614">
          <cell r="A614">
            <v>614</v>
          </cell>
        </row>
        <row r="615">
          <cell r="A615">
            <v>615</v>
          </cell>
        </row>
        <row r="616">
          <cell r="A616">
            <v>616</v>
          </cell>
        </row>
        <row r="617">
          <cell r="A617">
            <v>617</v>
          </cell>
        </row>
        <row r="618">
          <cell r="A618">
            <v>618</v>
          </cell>
        </row>
        <row r="619">
          <cell r="A619">
            <v>619</v>
          </cell>
        </row>
        <row r="620">
          <cell r="A620">
            <v>620</v>
          </cell>
        </row>
        <row r="621">
          <cell r="A621">
            <v>621</v>
          </cell>
        </row>
        <row r="622">
          <cell r="A622">
            <v>622</v>
          </cell>
        </row>
        <row r="623">
          <cell r="A623">
            <v>623</v>
          </cell>
        </row>
        <row r="624">
          <cell r="A624">
            <v>624</v>
          </cell>
        </row>
        <row r="625">
          <cell r="A625">
            <v>625</v>
          </cell>
        </row>
        <row r="626">
          <cell r="A626">
            <v>626</v>
          </cell>
        </row>
        <row r="627">
          <cell r="A627">
            <v>627</v>
          </cell>
        </row>
        <row r="628">
          <cell r="A628">
            <v>628</v>
          </cell>
        </row>
        <row r="629">
          <cell r="A629">
            <v>629</v>
          </cell>
        </row>
        <row r="630">
          <cell r="A630">
            <v>630</v>
          </cell>
        </row>
        <row r="631">
          <cell r="A631">
            <v>631</v>
          </cell>
        </row>
        <row r="632">
          <cell r="A632">
            <v>632</v>
          </cell>
        </row>
        <row r="633">
          <cell r="A633">
            <v>633</v>
          </cell>
        </row>
        <row r="634">
          <cell r="A634">
            <v>634</v>
          </cell>
        </row>
        <row r="635">
          <cell r="A635">
            <v>635</v>
          </cell>
        </row>
        <row r="636">
          <cell r="A636">
            <v>636</v>
          </cell>
        </row>
        <row r="637">
          <cell r="A637">
            <v>637</v>
          </cell>
        </row>
        <row r="638">
          <cell r="A638">
            <v>638</v>
          </cell>
        </row>
        <row r="639">
          <cell r="A639">
            <v>639</v>
          </cell>
        </row>
        <row r="640">
          <cell r="A640">
            <v>640</v>
          </cell>
        </row>
        <row r="641">
          <cell r="A641">
            <v>641</v>
          </cell>
        </row>
        <row r="642">
          <cell r="A642">
            <v>642</v>
          </cell>
        </row>
        <row r="643">
          <cell r="A643">
            <v>643</v>
          </cell>
        </row>
        <row r="644">
          <cell r="A644">
            <v>644</v>
          </cell>
        </row>
        <row r="645">
          <cell r="A645">
            <v>645</v>
          </cell>
        </row>
        <row r="646">
          <cell r="A646">
            <v>646</v>
          </cell>
        </row>
        <row r="647">
          <cell r="A647">
            <v>647</v>
          </cell>
        </row>
        <row r="648">
          <cell r="A648">
            <v>648</v>
          </cell>
        </row>
        <row r="649">
          <cell r="A649">
            <v>649</v>
          </cell>
        </row>
        <row r="650">
          <cell r="A650">
            <v>650</v>
          </cell>
        </row>
        <row r="651">
          <cell r="A651">
            <v>651</v>
          </cell>
        </row>
        <row r="652">
          <cell r="A652">
            <v>652</v>
          </cell>
        </row>
        <row r="653">
          <cell r="A653">
            <v>653</v>
          </cell>
        </row>
        <row r="654">
          <cell r="A654">
            <v>654</v>
          </cell>
        </row>
        <row r="655">
          <cell r="A655">
            <v>655</v>
          </cell>
        </row>
        <row r="656">
          <cell r="A656">
            <v>656</v>
          </cell>
        </row>
        <row r="657">
          <cell r="A657">
            <v>657</v>
          </cell>
        </row>
        <row r="658">
          <cell r="A658">
            <v>658</v>
          </cell>
        </row>
        <row r="659">
          <cell r="A659">
            <v>659</v>
          </cell>
        </row>
        <row r="660">
          <cell r="A660">
            <v>660</v>
          </cell>
        </row>
        <row r="661">
          <cell r="A661">
            <v>661</v>
          </cell>
        </row>
        <row r="662">
          <cell r="A662">
            <v>662</v>
          </cell>
        </row>
        <row r="663">
          <cell r="A663">
            <v>663</v>
          </cell>
        </row>
        <row r="664">
          <cell r="A664">
            <v>664</v>
          </cell>
        </row>
        <row r="665">
          <cell r="A665">
            <v>665</v>
          </cell>
        </row>
        <row r="666">
          <cell r="A666">
            <v>666</v>
          </cell>
        </row>
        <row r="667">
          <cell r="A667">
            <v>667</v>
          </cell>
        </row>
        <row r="668">
          <cell r="A668">
            <v>668</v>
          </cell>
        </row>
        <row r="669">
          <cell r="A669">
            <v>669</v>
          </cell>
        </row>
        <row r="670">
          <cell r="A670">
            <v>670</v>
          </cell>
        </row>
        <row r="671">
          <cell r="A671">
            <v>671</v>
          </cell>
        </row>
        <row r="672">
          <cell r="A672">
            <v>672</v>
          </cell>
        </row>
        <row r="673">
          <cell r="A673">
            <v>673</v>
          </cell>
        </row>
        <row r="674">
          <cell r="A674">
            <v>674</v>
          </cell>
        </row>
        <row r="675">
          <cell r="A675">
            <v>675</v>
          </cell>
        </row>
        <row r="676">
          <cell r="A676">
            <v>676</v>
          </cell>
        </row>
        <row r="677">
          <cell r="A677">
            <v>677</v>
          </cell>
        </row>
        <row r="678">
          <cell r="A678">
            <v>678</v>
          </cell>
        </row>
        <row r="679">
          <cell r="A679">
            <v>679</v>
          </cell>
        </row>
        <row r="680">
          <cell r="A680">
            <v>680</v>
          </cell>
        </row>
        <row r="681">
          <cell r="A681">
            <v>681</v>
          </cell>
        </row>
        <row r="682">
          <cell r="A682">
            <v>682</v>
          </cell>
        </row>
        <row r="683">
          <cell r="A683">
            <v>683</v>
          </cell>
        </row>
        <row r="684">
          <cell r="A684">
            <v>684</v>
          </cell>
        </row>
        <row r="685">
          <cell r="A685">
            <v>685</v>
          </cell>
        </row>
        <row r="686">
          <cell r="A686">
            <v>686</v>
          </cell>
        </row>
        <row r="687">
          <cell r="A687">
            <v>687</v>
          </cell>
        </row>
        <row r="688">
          <cell r="A688">
            <v>688</v>
          </cell>
        </row>
        <row r="689">
          <cell r="A689">
            <v>689</v>
          </cell>
        </row>
        <row r="690">
          <cell r="A690">
            <v>690</v>
          </cell>
        </row>
        <row r="691">
          <cell r="A691">
            <v>691</v>
          </cell>
        </row>
        <row r="692">
          <cell r="A692">
            <v>692</v>
          </cell>
        </row>
        <row r="693">
          <cell r="A693">
            <v>693</v>
          </cell>
        </row>
        <row r="694">
          <cell r="A694">
            <v>694</v>
          </cell>
        </row>
        <row r="695">
          <cell r="A695">
            <v>695</v>
          </cell>
        </row>
        <row r="696">
          <cell r="A696">
            <v>696</v>
          </cell>
        </row>
        <row r="697">
          <cell r="A697">
            <v>697</v>
          </cell>
        </row>
        <row r="698">
          <cell r="A698">
            <v>698</v>
          </cell>
        </row>
        <row r="699">
          <cell r="A699">
            <v>699</v>
          </cell>
        </row>
        <row r="700">
          <cell r="A700">
            <v>700</v>
          </cell>
        </row>
        <row r="701">
          <cell r="A701">
            <v>701</v>
          </cell>
        </row>
        <row r="702">
          <cell r="A702">
            <v>702</v>
          </cell>
        </row>
        <row r="703">
          <cell r="A703">
            <v>703</v>
          </cell>
        </row>
        <row r="704">
          <cell r="A704">
            <v>704</v>
          </cell>
        </row>
        <row r="705">
          <cell r="A705">
            <v>705</v>
          </cell>
        </row>
        <row r="706">
          <cell r="A706">
            <v>706</v>
          </cell>
        </row>
        <row r="707">
          <cell r="A707">
            <v>707</v>
          </cell>
        </row>
        <row r="708">
          <cell r="A708">
            <v>708</v>
          </cell>
        </row>
        <row r="709">
          <cell r="A709">
            <v>709</v>
          </cell>
        </row>
        <row r="710">
          <cell r="A710">
            <v>710</v>
          </cell>
        </row>
        <row r="711">
          <cell r="A711">
            <v>711</v>
          </cell>
        </row>
        <row r="712">
          <cell r="A712">
            <v>712</v>
          </cell>
        </row>
        <row r="713">
          <cell r="A713">
            <v>713</v>
          </cell>
        </row>
        <row r="714">
          <cell r="A714">
            <v>714</v>
          </cell>
        </row>
        <row r="715">
          <cell r="A715">
            <v>715</v>
          </cell>
        </row>
        <row r="716">
          <cell r="A716">
            <v>716</v>
          </cell>
        </row>
        <row r="717">
          <cell r="A717">
            <v>717</v>
          </cell>
        </row>
        <row r="718">
          <cell r="A718">
            <v>718</v>
          </cell>
        </row>
        <row r="719">
          <cell r="A719">
            <v>719</v>
          </cell>
        </row>
        <row r="720">
          <cell r="A720">
            <v>720</v>
          </cell>
        </row>
        <row r="721">
          <cell r="A721">
            <v>721</v>
          </cell>
        </row>
        <row r="722">
          <cell r="A722">
            <v>722</v>
          </cell>
        </row>
        <row r="723">
          <cell r="A723">
            <v>723</v>
          </cell>
        </row>
        <row r="724">
          <cell r="A724">
            <v>724</v>
          </cell>
        </row>
        <row r="725">
          <cell r="A725">
            <v>725</v>
          </cell>
        </row>
        <row r="726">
          <cell r="A726">
            <v>726</v>
          </cell>
        </row>
        <row r="727">
          <cell r="A727">
            <v>727</v>
          </cell>
        </row>
        <row r="728">
          <cell r="A728">
            <v>728</v>
          </cell>
        </row>
        <row r="729">
          <cell r="A729">
            <v>729</v>
          </cell>
        </row>
        <row r="730">
          <cell r="A730">
            <v>730</v>
          </cell>
        </row>
        <row r="731">
          <cell r="A731">
            <v>731</v>
          </cell>
        </row>
        <row r="732">
          <cell r="A732">
            <v>732</v>
          </cell>
        </row>
        <row r="733">
          <cell r="A733">
            <v>733</v>
          </cell>
        </row>
        <row r="734">
          <cell r="A734">
            <v>734</v>
          </cell>
        </row>
        <row r="735">
          <cell r="A735">
            <v>735</v>
          </cell>
        </row>
        <row r="736">
          <cell r="A736">
            <v>736</v>
          </cell>
        </row>
        <row r="737">
          <cell r="A737">
            <v>737</v>
          </cell>
        </row>
        <row r="738">
          <cell r="A738">
            <v>738</v>
          </cell>
        </row>
        <row r="739">
          <cell r="A739">
            <v>739</v>
          </cell>
        </row>
        <row r="740">
          <cell r="A740">
            <v>740</v>
          </cell>
        </row>
        <row r="741">
          <cell r="A741">
            <v>741</v>
          </cell>
        </row>
        <row r="742">
          <cell r="A742">
            <v>742</v>
          </cell>
        </row>
        <row r="743">
          <cell r="A743">
            <v>743</v>
          </cell>
        </row>
        <row r="744">
          <cell r="A744">
            <v>744</v>
          </cell>
        </row>
        <row r="745">
          <cell r="A745">
            <v>745</v>
          </cell>
        </row>
        <row r="746">
          <cell r="A746">
            <v>746</v>
          </cell>
        </row>
        <row r="747">
          <cell r="A747">
            <v>747</v>
          </cell>
        </row>
        <row r="748">
          <cell r="A748">
            <v>748</v>
          </cell>
        </row>
        <row r="749">
          <cell r="A749">
            <v>749</v>
          </cell>
        </row>
        <row r="750">
          <cell r="A750">
            <v>750</v>
          </cell>
        </row>
        <row r="751">
          <cell r="A751">
            <v>751</v>
          </cell>
        </row>
        <row r="752">
          <cell r="A752">
            <v>752</v>
          </cell>
        </row>
        <row r="753">
          <cell r="A753">
            <v>753</v>
          </cell>
        </row>
        <row r="754">
          <cell r="A754">
            <v>754</v>
          </cell>
        </row>
        <row r="755">
          <cell r="A755">
            <v>755</v>
          </cell>
        </row>
        <row r="756">
          <cell r="A756">
            <v>756</v>
          </cell>
        </row>
        <row r="757">
          <cell r="A757">
            <v>757</v>
          </cell>
        </row>
        <row r="758">
          <cell r="A758">
            <v>758</v>
          </cell>
        </row>
        <row r="759">
          <cell r="A759">
            <v>759</v>
          </cell>
        </row>
        <row r="760">
          <cell r="A760">
            <v>760</v>
          </cell>
        </row>
        <row r="761">
          <cell r="A761">
            <v>761</v>
          </cell>
        </row>
        <row r="762">
          <cell r="A762">
            <v>762</v>
          </cell>
        </row>
        <row r="763">
          <cell r="A763">
            <v>763</v>
          </cell>
        </row>
        <row r="764">
          <cell r="A764">
            <v>764</v>
          </cell>
        </row>
        <row r="765">
          <cell r="A765">
            <v>765</v>
          </cell>
        </row>
        <row r="766">
          <cell r="A766">
            <v>766</v>
          </cell>
        </row>
        <row r="767">
          <cell r="A767">
            <v>767</v>
          </cell>
        </row>
        <row r="768">
          <cell r="A768">
            <v>768</v>
          </cell>
        </row>
        <row r="769">
          <cell r="A769">
            <v>769</v>
          </cell>
        </row>
        <row r="770">
          <cell r="A770">
            <v>770</v>
          </cell>
        </row>
        <row r="771">
          <cell r="A771">
            <v>771</v>
          </cell>
        </row>
        <row r="772">
          <cell r="A772">
            <v>772</v>
          </cell>
        </row>
        <row r="773">
          <cell r="A773">
            <v>773</v>
          </cell>
        </row>
        <row r="774">
          <cell r="A774">
            <v>774</v>
          </cell>
        </row>
        <row r="775">
          <cell r="A775">
            <v>775</v>
          </cell>
        </row>
        <row r="776">
          <cell r="A776">
            <v>776</v>
          </cell>
        </row>
        <row r="777">
          <cell r="A777">
            <v>777</v>
          </cell>
        </row>
        <row r="778">
          <cell r="A778">
            <v>778</v>
          </cell>
        </row>
        <row r="779">
          <cell r="A779">
            <v>779</v>
          </cell>
        </row>
        <row r="780">
          <cell r="A780">
            <v>780</v>
          </cell>
        </row>
        <row r="781">
          <cell r="A781">
            <v>781</v>
          </cell>
        </row>
        <row r="782">
          <cell r="A782">
            <v>782</v>
          </cell>
        </row>
        <row r="783">
          <cell r="A783">
            <v>783</v>
          </cell>
        </row>
        <row r="784">
          <cell r="A784">
            <v>784</v>
          </cell>
        </row>
        <row r="785">
          <cell r="A785">
            <v>785</v>
          </cell>
        </row>
        <row r="786">
          <cell r="A786">
            <v>786</v>
          </cell>
        </row>
        <row r="787">
          <cell r="A787">
            <v>787</v>
          </cell>
        </row>
        <row r="788">
          <cell r="A788">
            <v>788</v>
          </cell>
        </row>
        <row r="789">
          <cell r="A789">
            <v>789</v>
          </cell>
        </row>
        <row r="790">
          <cell r="A790">
            <v>790</v>
          </cell>
        </row>
        <row r="791">
          <cell r="A791">
            <v>791</v>
          </cell>
        </row>
        <row r="792">
          <cell r="A792">
            <v>792</v>
          </cell>
        </row>
        <row r="793">
          <cell r="A793">
            <v>793</v>
          </cell>
        </row>
        <row r="794">
          <cell r="A794">
            <v>794</v>
          </cell>
        </row>
        <row r="795">
          <cell r="A795">
            <v>795</v>
          </cell>
        </row>
        <row r="796">
          <cell r="A796">
            <v>796</v>
          </cell>
        </row>
        <row r="797">
          <cell r="A797">
            <v>797</v>
          </cell>
        </row>
        <row r="798">
          <cell r="A798">
            <v>798</v>
          </cell>
        </row>
        <row r="799">
          <cell r="A799">
            <v>799</v>
          </cell>
        </row>
        <row r="800">
          <cell r="A800">
            <v>800</v>
          </cell>
        </row>
        <row r="801">
          <cell r="A801">
            <v>801</v>
          </cell>
        </row>
        <row r="802">
          <cell r="A802">
            <v>802</v>
          </cell>
        </row>
        <row r="803">
          <cell r="A803">
            <v>803</v>
          </cell>
        </row>
        <row r="804">
          <cell r="A804">
            <v>804</v>
          </cell>
        </row>
        <row r="805">
          <cell r="A805">
            <v>805</v>
          </cell>
        </row>
        <row r="806">
          <cell r="A806">
            <v>806</v>
          </cell>
        </row>
        <row r="807">
          <cell r="A807">
            <v>807</v>
          </cell>
        </row>
        <row r="808">
          <cell r="A808">
            <v>808</v>
          </cell>
        </row>
        <row r="809">
          <cell r="A809">
            <v>809</v>
          </cell>
        </row>
        <row r="810">
          <cell r="A810">
            <v>810</v>
          </cell>
        </row>
        <row r="811">
          <cell r="A811">
            <v>811</v>
          </cell>
        </row>
        <row r="812">
          <cell r="A812">
            <v>812</v>
          </cell>
        </row>
        <row r="813">
          <cell r="A813">
            <v>813</v>
          </cell>
        </row>
        <row r="814">
          <cell r="A814">
            <v>814</v>
          </cell>
        </row>
        <row r="815">
          <cell r="A815">
            <v>815</v>
          </cell>
        </row>
        <row r="816">
          <cell r="A816">
            <v>816</v>
          </cell>
        </row>
        <row r="817">
          <cell r="A817">
            <v>817</v>
          </cell>
        </row>
        <row r="818">
          <cell r="A818">
            <v>818</v>
          </cell>
        </row>
        <row r="819">
          <cell r="A819">
            <v>819</v>
          </cell>
        </row>
        <row r="820">
          <cell r="A820">
            <v>820</v>
          </cell>
        </row>
        <row r="821">
          <cell r="A821">
            <v>821</v>
          </cell>
        </row>
        <row r="822">
          <cell r="A822">
            <v>822</v>
          </cell>
        </row>
        <row r="823">
          <cell r="A823">
            <v>823</v>
          </cell>
        </row>
        <row r="824">
          <cell r="A824">
            <v>824</v>
          </cell>
        </row>
        <row r="825">
          <cell r="A825">
            <v>825</v>
          </cell>
        </row>
        <row r="826">
          <cell r="A826">
            <v>826</v>
          </cell>
        </row>
        <row r="827">
          <cell r="A827">
            <v>827</v>
          </cell>
        </row>
        <row r="828">
          <cell r="A828">
            <v>828</v>
          </cell>
        </row>
        <row r="829">
          <cell r="A829">
            <v>829</v>
          </cell>
        </row>
        <row r="830">
          <cell r="A830">
            <v>830</v>
          </cell>
        </row>
        <row r="831">
          <cell r="A831">
            <v>831</v>
          </cell>
        </row>
        <row r="832">
          <cell r="A832">
            <v>832</v>
          </cell>
        </row>
        <row r="833">
          <cell r="A833">
            <v>833</v>
          </cell>
        </row>
        <row r="834">
          <cell r="A834">
            <v>834</v>
          </cell>
        </row>
        <row r="835">
          <cell r="A835">
            <v>835</v>
          </cell>
        </row>
        <row r="836">
          <cell r="A836">
            <v>836</v>
          </cell>
        </row>
        <row r="837">
          <cell r="A837">
            <v>837</v>
          </cell>
        </row>
        <row r="838">
          <cell r="A838">
            <v>838</v>
          </cell>
        </row>
        <row r="839">
          <cell r="A839">
            <v>839</v>
          </cell>
        </row>
        <row r="840">
          <cell r="A840">
            <v>840</v>
          </cell>
        </row>
        <row r="841">
          <cell r="A841">
            <v>841</v>
          </cell>
        </row>
        <row r="842">
          <cell r="A842">
            <v>842</v>
          </cell>
        </row>
        <row r="843">
          <cell r="A843">
            <v>843</v>
          </cell>
        </row>
        <row r="844">
          <cell r="A844">
            <v>844</v>
          </cell>
        </row>
        <row r="845">
          <cell r="A845">
            <v>845</v>
          </cell>
        </row>
        <row r="846">
          <cell r="A846">
            <v>846</v>
          </cell>
        </row>
        <row r="847">
          <cell r="A847">
            <v>847</v>
          </cell>
        </row>
        <row r="848">
          <cell r="A848">
            <v>848</v>
          </cell>
        </row>
        <row r="849">
          <cell r="A849">
            <v>849</v>
          </cell>
        </row>
        <row r="850">
          <cell r="A850">
            <v>850</v>
          </cell>
        </row>
        <row r="851">
          <cell r="A851">
            <v>851</v>
          </cell>
        </row>
        <row r="852">
          <cell r="A852">
            <v>852</v>
          </cell>
        </row>
        <row r="853">
          <cell r="A853">
            <v>853</v>
          </cell>
        </row>
        <row r="854">
          <cell r="A854">
            <v>854</v>
          </cell>
        </row>
        <row r="855">
          <cell r="A855">
            <v>855</v>
          </cell>
        </row>
        <row r="856">
          <cell r="A856">
            <v>856</v>
          </cell>
        </row>
        <row r="857">
          <cell r="A857">
            <v>857</v>
          </cell>
        </row>
        <row r="858">
          <cell r="A858">
            <v>858</v>
          </cell>
        </row>
        <row r="859">
          <cell r="A859">
            <v>859</v>
          </cell>
        </row>
        <row r="860">
          <cell r="A860">
            <v>860</v>
          </cell>
        </row>
        <row r="861">
          <cell r="A861">
            <v>861</v>
          </cell>
        </row>
        <row r="862">
          <cell r="A862">
            <v>862</v>
          </cell>
        </row>
        <row r="863">
          <cell r="A863">
            <v>863</v>
          </cell>
        </row>
        <row r="864">
          <cell r="A864">
            <v>864</v>
          </cell>
        </row>
        <row r="865">
          <cell r="A865">
            <v>865</v>
          </cell>
        </row>
        <row r="866">
          <cell r="A866">
            <v>866</v>
          </cell>
        </row>
        <row r="867">
          <cell r="A867">
            <v>867</v>
          </cell>
        </row>
        <row r="868">
          <cell r="A868">
            <v>868</v>
          </cell>
        </row>
        <row r="869">
          <cell r="A869">
            <v>869</v>
          </cell>
        </row>
        <row r="870">
          <cell r="A870">
            <v>870</v>
          </cell>
        </row>
        <row r="871">
          <cell r="A871">
            <v>871</v>
          </cell>
        </row>
        <row r="872">
          <cell r="A872">
            <v>872</v>
          </cell>
        </row>
        <row r="873">
          <cell r="A873">
            <v>873</v>
          </cell>
        </row>
        <row r="874">
          <cell r="A874">
            <v>874</v>
          </cell>
        </row>
        <row r="875">
          <cell r="A875">
            <v>875</v>
          </cell>
        </row>
        <row r="876">
          <cell r="A876">
            <v>876</v>
          </cell>
        </row>
        <row r="877">
          <cell r="A877">
            <v>877</v>
          </cell>
        </row>
        <row r="878">
          <cell r="A878">
            <v>878</v>
          </cell>
        </row>
        <row r="879">
          <cell r="A879">
            <v>879</v>
          </cell>
        </row>
        <row r="880">
          <cell r="A880">
            <v>880</v>
          </cell>
        </row>
        <row r="881">
          <cell r="A881">
            <v>881</v>
          </cell>
        </row>
        <row r="882">
          <cell r="A882">
            <v>882</v>
          </cell>
        </row>
        <row r="883">
          <cell r="A883">
            <v>883</v>
          </cell>
        </row>
        <row r="884">
          <cell r="A884">
            <v>884</v>
          </cell>
        </row>
        <row r="885">
          <cell r="A885">
            <v>885</v>
          </cell>
        </row>
        <row r="886">
          <cell r="A886">
            <v>886</v>
          </cell>
        </row>
        <row r="887">
          <cell r="A887">
            <v>887</v>
          </cell>
        </row>
        <row r="888">
          <cell r="A888">
            <v>888</v>
          </cell>
        </row>
        <row r="889">
          <cell r="A889">
            <v>889</v>
          </cell>
        </row>
        <row r="890">
          <cell r="A890">
            <v>890</v>
          </cell>
        </row>
        <row r="891">
          <cell r="A891">
            <v>891</v>
          </cell>
        </row>
        <row r="892">
          <cell r="A892">
            <v>892</v>
          </cell>
        </row>
        <row r="893">
          <cell r="A893">
            <v>893</v>
          </cell>
        </row>
        <row r="894">
          <cell r="A894">
            <v>894</v>
          </cell>
        </row>
        <row r="895">
          <cell r="A895">
            <v>895</v>
          </cell>
        </row>
        <row r="896">
          <cell r="A896">
            <v>896</v>
          </cell>
        </row>
        <row r="897">
          <cell r="A897">
            <v>897</v>
          </cell>
        </row>
        <row r="898">
          <cell r="A898">
            <v>898</v>
          </cell>
        </row>
        <row r="899">
          <cell r="A899">
            <v>899</v>
          </cell>
        </row>
        <row r="900">
          <cell r="A900">
            <v>900</v>
          </cell>
        </row>
        <row r="901">
          <cell r="A901">
            <v>901</v>
          </cell>
        </row>
        <row r="902">
          <cell r="A902">
            <v>902</v>
          </cell>
        </row>
        <row r="903">
          <cell r="A903">
            <v>903</v>
          </cell>
        </row>
        <row r="904">
          <cell r="A904">
            <v>904</v>
          </cell>
        </row>
        <row r="905">
          <cell r="A905">
            <v>905</v>
          </cell>
        </row>
        <row r="906">
          <cell r="A906">
            <v>906</v>
          </cell>
        </row>
        <row r="907">
          <cell r="A907">
            <v>907</v>
          </cell>
        </row>
        <row r="908">
          <cell r="A908">
            <v>908</v>
          </cell>
        </row>
        <row r="909">
          <cell r="A909">
            <v>909</v>
          </cell>
        </row>
        <row r="910">
          <cell r="A910">
            <v>910</v>
          </cell>
        </row>
        <row r="911">
          <cell r="A911">
            <v>911</v>
          </cell>
        </row>
        <row r="912">
          <cell r="A912">
            <v>912</v>
          </cell>
        </row>
        <row r="913">
          <cell r="A913">
            <v>913</v>
          </cell>
        </row>
        <row r="914">
          <cell r="A914">
            <v>914</v>
          </cell>
        </row>
        <row r="915">
          <cell r="A915">
            <v>915</v>
          </cell>
        </row>
        <row r="916">
          <cell r="A916">
            <v>916</v>
          </cell>
        </row>
        <row r="917">
          <cell r="A917">
            <v>917</v>
          </cell>
        </row>
        <row r="918">
          <cell r="A918">
            <v>918</v>
          </cell>
        </row>
        <row r="919">
          <cell r="A919">
            <v>919</v>
          </cell>
        </row>
        <row r="920">
          <cell r="A920">
            <v>920</v>
          </cell>
        </row>
        <row r="921">
          <cell r="A921">
            <v>921</v>
          </cell>
        </row>
        <row r="922">
          <cell r="A922">
            <v>922</v>
          </cell>
        </row>
        <row r="923">
          <cell r="A923">
            <v>923</v>
          </cell>
        </row>
        <row r="924">
          <cell r="A924">
            <v>924</v>
          </cell>
        </row>
        <row r="925">
          <cell r="A925">
            <v>925</v>
          </cell>
        </row>
        <row r="926">
          <cell r="A926">
            <v>926</v>
          </cell>
        </row>
        <row r="927">
          <cell r="A927">
            <v>927</v>
          </cell>
        </row>
        <row r="928">
          <cell r="A928">
            <v>928</v>
          </cell>
        </row>
        <row r="929">
          <cell r="A929">
            <v>929</v>
          </cell>
        </row>
        <row r="930">
          <cell r="A930">
            <v>930</v>
          </cell>
        </row>
        <row r="931">
          <cell r="A931">
            <v>931</v>
          </cell>
        </row>
        <row r="932">
          <cell r="A932">
            <v>932</v>
          </cell>
        </row>
        <row r="933">
          <cell r="A933">
            <v>933</v>
          </cell>
        </row>
        <row r="934">
          <cell r="A934">
            <v>934</v>
          </cell>
        </row>
        <row r="935">
          <cell r="A935">
            <v>935</v>
          </cell>
        </row>
        <row r="936">
          <cell r="A936">
            <v>936</v>
          </cell>
        </row>
        <row r="937">
          <cell r="A937">
            <v>937</v>
          </cell>
        </row>
        <row r="938">
          <cell r="A938">
            <v>938</v>
          </cell>
        </row>
        <row r="939">
          <cell r="A939">
            <v>939</v>
          </cell>
        </row>
        <row r="940">
          <cell r="A940">
            <v>940</v>
          </cell>
        </row>
        <row r="941">
          <cell r="A941">
            <v>941</v>
          </cell>
        </row>
        <row r="942">
          <cell r="A942">
            <v>942</v>
          </cell>
        </row>
        <row r="943">
          <cell r="A943">
            <v>943</v>
          </cell>
        </row>
        <row r="944">
          <cell r="A944">
            <v>944</v>
          </cell>
        </row>
        <row r="945">
          <cell r="A945">
            <v>945</v>
          </cell>
        </row>
        <row r="946">
          <cell r="A946">
            <v>946</v>
          </cell>
        </row>
        <row r="947">
          <cell r="A947">
            <v>947</v>
          </cell>
        </row>
        <row r="948">
          <cell r="A948">
            <v>948</v>
          </cell>
        </row>
        <row r="949">
          <cell r="A949">
            <v>949</v>
          </cell>
        </row>
        <row r="950">
          <cell r="A950">
            <v>950</v>
          </cell>
        </row>
        <row r="951">
          <cell r="A951">
            <v>951</v>
          </cell>
        </row>
        <row r="952">
          <cell r="A952">
            <v>952</v>
          </cell>
        </row>
        <row r="953">
          <cell r="A953">
            <v>953</v>
          </cell>
        </row>
        <row r="954">
          <cell r="A954">
            <v>954</v>
          </cell>
        </row>
        <row r="955">
          <cell r="A955">
            <v>955</v>
          </cell>
        </row>
        <row r="956">
          <cell r="A956">
            <v>956</v>
          </cell>
        </row>
        <row r="957">
          <cell r="A957">
            <v>957</v>
          </cell>
        </row>
        <row r="958">
          <cell r="A958">
            <v>958</v>
          </cell>
        </row>
        <row r="959">
          <cell r="A959">
            <v>959</v>
          </cell>
        </row>
        <row r="960">
          <cell r="A960">
            <v>960</v>
          </cell>
        </row>
        <row r="961">
          <cell r="A961">
            <v>961</v>
          </cell>
        </row>
        <row r="962">
          <cell r="A962">
            <v>962</v>
          </cell>
        </row>
        <row r="963">
          <cell r="A963">
            <v>963</v>
          </cell>
        </row>
        <row r="964">
          <cell r="A964">
            <v>964</v>
          </cell>
        </row>
        <row r="965">
          <cell r="A965">
            <v>965</v>
          </cell>
        </row>
        <row r="966">
          <cell r="A966">
            <v>966</v>
          </cell>
        </row>
        <row r="967">
          <cell r="A967">
            <v>967</v>
          </cell>
        </row>
        <row r="968">
          <cell r="A968">
            <v>968</v>
          </cell>
        </row>
        <row r="969">
          <cell r="A969">
            <v>969</v>
          </cell>
        </row>
        <row r="970">
          <cell r="A970">
            <v>970</v>
          </cell>
        </row>
        <row r="971">
          <cell r="A971">
            <v>971</v>
          </cell>
        </row>
        <row r="972">
          <cell r="A972">
            <v>972</v>
          </cell>
        </row>
        <row r="973">
          <cell r="A973">
            <v>973</v>
          </cell>
        </row>
        <row r="974">
          <cell r="A974">
            <v>974</v>
          </cell>
        </row>
        <row r="975">
          <cell r="A975">
            <v>975</v>
          </cell>
        </row>
        <row r="976">
          <cell r="A976">
            <v>976</v>
          </cell>
        </row>
        <row r="977">
          <cell r="A977">
            <v>977</v>
          </cell>
        </row>
        <row r="978">
          <cell r="A978">
            <v>978</v>
          </cell>
        </row>
        <row r="979">
          <cell r="A979">
            <v>979</v>
          </cell>
        </row>
        <row r="980">
          <cell r="A980">
            <v>980</v>
          </cell>
        </row>
        <row r="981">
          <cell r="A981">
            <v>981</v>
          </cell>
        </row>
        <row r="982">
          <cell r="A982">
            <v>982</v>
          </cell>
        </row>
        <row r="983">
          <cell r="A983">
            <v>983</v>
          </cell>
        </row>
        <row r="984">
          <cell r="A984">
            <v>984</v>
          </cell>
        </row>
        <row r="985">
          <cell r="A985">
            <v>985</v>
          </cell>
        </row>
        <row r="986">
          <cell r="A986">
            <v>986</v>
          </cell>
        </row>
        <row r="987">
          <cell r="A987">
            <v>987</v>
          </cell>
        </row>
        <row r="988">
          <cell r="A988">
            <v>988</v>
          </cell>
        </row>
        <row r="989">
          <cell r="A989">
            <v>989</v>
          </cell>
        </row>
        <row r="990">
          <cell r="A990">
            <v>990</v>
          </cell>
        </row>
        <row r="991">
          <cell r="A991">
            <v>991</v>
          </cell>
        </row>
        <row r="992">
          <cell r="A992">
            <v>992</v>
          </cell>
        </row>
        <row r="993">
          <cell r="A993">
            <v>993</v>
          </cell>
        </row>
        <row r="994">
          <cell r="A994">
            <v>994</v>
          </cell>
        </row>
        <row r="995">
          <cell r="A995">
            <v>995</v>
          </cell>
        </row>
        <row r="996">
          <cell r="A996">
            <v>996</v>
          </cell>
        </row>
        <row r="997">
          <cell r="A997">
            <v>997</v>
          </cell>
        </row>
        <row r="998">
          <cell r="A998">
            <v>998</v>
          </cell>
        </row>
        <row r="999">
          <cell r="A999">
            <v>999</v>
          </cell>
        </row>
        <row r="1000">
          <cell r="A1000">
            <v>1000</v>
          </cell>
        </row>
        <row r="1001">
          <cell r="A1001">
            <v>1001</v>
          </cell>
        </row>
        <row r="1002">
          <cell r="A1002">
            <v>1002</v>
          </cell>
        </row>
        <row r="1003">
          <cell r="A1003">
            <v>1003</v>
          </cell>
        </row>
        <row r="1004">
          <cell r="A1004">
            <v>1004</v>
          </cell>
        </row>
        <row r="1005">
          <cell r="A1005">
            <v>1005</v>
          </cell>
        </row>
        <row r="1006">
          <cell r="A1006">
            <v>1006</v>
          </cell>
        </row>
        <row r="1007">
          <cell r="A1007">
            <v>1007</v>
          </cell>
        </row>
        <row r="1008">
          <cell r="A1008">
            <v>1008</v>
          </cell>
        </row>
        <row r="1009">
          <cell r="A1009">
            <v>1009</v>
          </cell>
        </row>
        <row r="1010">
          <cell r="A1010">
            <v>1010</v>
          </cell>
        </row>
        <row r="1011">
          <cell r="A1011">
            <v>1011</v>
          </cell>
        </row>
        <row r="1012">
          <cell r="A1012">
            <v>1012</v>
          </cell>
        </row>
        <row r="1013">
          <cell r="A1013">
            <v>1013</v>
          </cell>
        </row>
        <row r="1014">
          <cell r="A1014">
            <v>1014</v>
          </cell>
        </row>
        <row r="1015">
          <cell r="A1015">
            <v>1015</v>
          </cell>
        </row>
        <row r="1016">
          <cell r="A1016">
            <v>1016</v>
          </cell>
        </row>
        <row r="1017">
          <cell r="A1017">
            <v>1017</v>
          </cell>
        </row>
        <row r="1018">
          <cell r="A1018">
            <v>1018</v>
          </cell>
        </row>
        <row r="1019">
          <cell r="A1019">
            <v>1019</v>
          </cell>
        </row>
        <row r="1020">
          <cell r="A1020">
            <v>1020</v>
          </cell>
        </row>
        <row r="1021">
          <cell r="A1021">
            <v>1021</v>
          </cell>
        </row>
        <row r="1022">
          <cell r="A1022">
            <v>1022</v>
          </cell>
        </row>
        <row r="1023">
          <cell r="A1023">
            <v>1023</v>
          </cell>
        </row>
        <row r="1024">
          <cell r="A1024">
            <v>1024</v>
          </cell>
        </row>
        <row r="1025">
          <cell r="A1025">
            <v>1025</v>
          </cell>
        </row>
        <row r="1026">
          <cell r="A1026">
            <v>1026</v>
          </cell>
        </row>
        <row r="1027">
          <cell r="A1027">
            <v>1027</v>
          </cell>
        </row>
        <row r="1028">
          <cell r="A1028">
            <v>1028</v>
          </cell>
        </row>
        <row r="1029">
          <cell r="A1029">
            <v>1029</v>
          </cell>
        </row>
        <row r="1030">
          <cell r="A1030">
            <v>1030</v>
          </cell>
        </row>
        <row r="1031">
          <cell r="A1031">
            <v>1031</v>
          </cell>
        </row>
        <row r="1032">
          <cell r="A1032">
            <v>1032</v>
          </cell>
        </row>
        <row r="1033">
          <cell r="A1033">
            <v>1033</v>
          </cell>
        </row>
        <row r="1034">
          <cell r="A1034">
            <v>1034</v>
          </cell>
        </row>
        <row r="1035">
          <cell r="A1035">
            <v>1035</v>
          </cell>
        </row>
        <row r="1036">
          <cell r="A1036">
            <v>1036</v>
          </cell>
        </row>
        <row r="1037">
          <cell r="A1037">
            <v>1037</v>
          </cell>
        </row>
        <row r="1038">
          <cell r="A1038">
            <v>1038</v>
          </cell>
        </row>
        <row r="1039">
          <cell r="A1039">
            <v>1039</v>
          </cell>
        </row>
        <row r="1040">
          <cell r="A1040">
            <v>1040</v>
          </cell>
        </row>
        <row r="1041">
          <cell r="A1041">
            <v>1041</v>
          </cell>
        </row>
        <row r="1042">
          <cell r="A1042">
            <v>1042</v>
          </cell>
        </row>
        <row r="1043">
          <cell r="A1043">
            <v>1043</v>
          </cell>
        </row>
        <row r="1044">
          <cell r="A1044">
            <v>1044</v>
          </cell>
        </row>
        <row r="1045">
          <cell r="A1045">
            <v>1045</v>
          </cell>
        </row>
        <row r="1046">
          <cell r="A1046">
            <v>1046</v>
          </cell>
        </row>
        <row r="1047">
          <cell r="A1047">
            <v>1047</v>
          </cell>
        </row>
        <row r="1048">
          <cell r="A1048">
            <v>1048</v>
          </cell>
        </row>
        <row r="1049">
          <cell r="A1049">
            <v>1049</v>
          </cell>
        </row>
        <row r="1050">
          <cell r="A1050">
            <v>1050</v>
          </cell>
        </row>
        <row r="1051">
          <cell r="A1051">
            <v>1051</v>
          </cell>
        </row>
        <row r="1052">
          <cell r="A1052">
            <v>1052</v>
          </cell>
        </row>
        <row r="1053">
          <cell r="A1053">
            <v>1053</v>
          </cell>
        </row>
        <row r="1054">
          <cell r="A1054">
            <v>1054</v>
          </cell>
        </row>
        <row r="1055">
          <cell r="A1055">
            <v>1055</v>
          </cell>
        </row>
        <row r="1056">
          <cell r="A1056">
            <v>1056</v>
          </cell>
        </row>
        <row r="1057">
          <cell r="A1057">
            <v>1057</v>
          </cell>
        </row>
        <row r="1058">
          <cell r="A1058">
            <v>1058</v>
          </cell>
        </row>
        <row r="1059">
          <cell r="A1059">
            <v>1059</v>
          </cell>
        </row>
        <row r="1060">
          <cell r="A1060">
            <v>1060</v>
          </cell>
        </row>
        <row r="1061">
          <cell r="A1061">
            <v>1061</v>
          </cell>
        </row>
        <row r="1062">
          <cell r="A1062">
            <v>1062</v>
          </cell>
        </row>
        <row r="1063">
          <cell r="A1063">
            <v>1063</v>
          </cell>
        </row>
        <row r="1064">
          <cell r="A1064">
            <v>1064</v>
          </cell>
        </row>
        <row r="1065">
          <cell r="A1065">
            <v>1065</v>
          </cell>
        </row>
        <row r="1066">
          <cell r="A1066">
            <v>1066</v>
          </cell>
        </row>
        <row r="1067">
          <cell r="A1067">
            <v>1067</v>
          </cell>
        </row>
        <row r="1068">
          <cell r="A1068">
            <v>1068</v>
          </cell>
        </row>
        <row r="1069">
          <cell r="A1069">
            <v>1069</v>
          </cell>
        </row>
        <row r="1070">
          <cell r="A1070">
            <v>1070</v>
          </cell>
        </row>
        <row r="1071">
          <cell r="A1071">
            <v>1071</v>
          </cell>
        </row>
        <row r="1072">
          <cell r="A1072">
            <v>1072</v>
          </cell>
        </row>
        <row r="1073">
          <cell r="A1073">
            <v>1073</v>
          </cell>
        </row>
        <row r="1074">
          <cell r="A1074">
            <v>1074</v>
          </cell>
        </row>
        <row r="1075">
          <cell r="A1075">
            <v>1075</v>
          </cell>
        </row>
        <row r="1076">
          <cell r="A1076">
            <v>1076</v>
          </cell>
        </row>
        <row r="1077">
          <cell r="A1077">
            <v>1077</v>
          </cell>
        </row>
        <row r="1078">
          <cell r="A1078">
            <v>1078</v>
          </cell>
        </row>
        <row r="1079">
          <cell r="A1079">
            <v>1079</v>
          </cell>
        </row>
        <row r="1080">
          <cell r="A1080">
            <v>1080</v>
          </cell>
        </row>
        <row r="1081">
          <cell r="A1081">
            <v>1081</v>
          </cell>
        </row>
        <row r="1082">
          <cell r="A1082">
            <v>1082</v>
          </cell>
        </row>
        <row r="1083">
          <cell r="A1083">
            <v>1083</v>
          </cell>
        </row>
        <row r="1084">
          <cell r="A1084">
            <v>1084</v>
          </cell>
        </row>
        <row r="1085">
          <cell r="A1085">
            <v>1085</v>
          </cell>
        </row>
        <row r="1086">
          <cell r="A1086">
            <v>1086</v>
          </cell>
        </row>
        <row r="1087">
          <cell r="A1087">
            <v>1087</v>
          </cell>
        </row>
        <row r="1088">
          <cell r="A1088">
            <v>1088</v>
          </cell>
        </row>
        <row r="1089">
          <cell r="A1089">
            <v>1089</v>
          </cell>
        </row>
        <row r="1090">
          <cell r="A1090">
            <v>1090</v>
          </cell>
        </row>
        <row r="1091">
          <cell r="A1091">
            <v>1091</v>
          </cell>
        </row>
        <row r="1092">
          <cell r="A1092">
            <v>1092</v>
          </cell>
        </row>
        <row r="1093">
          <cell r="A1093">
            <v>1093</v>
          </cell>
        </row>
        <row r="1094">
          <cell r="A1094">
            <v>1094</v>
          </cell>
        </row>
        <row r="1095">
          <cell r="A1095">
            <v>1095</v>
          </cell>
        </row>
        <row r="1096">
          <cell r="A1096">
            <v>1096</v>
          </cell>
        </row>
        <row r="1097">
          <cell r="A1097">
            <v>1097</v>
          </cell>
        </row>
        <row r="1098">
          <cell r="A1098">
            <v>1098</v>
          </cell>
        </row>
        <row r="1099">
          <cell r="A1099">
            <v>1099</v>
          </cell>
        </row>
        <row r="1100">
          <cell r="A1100">
            <v>1100</v>
          </cell>
        </row>
        <row r="1101">
          <cell r="A1101">
            <v>1101</v>
          </cell>
        </row>
        <row r="1102">
          <cell r="A1102">
            <v>1102</v>
          </cell>
        </row>
        <row r="1103">
          <cell r="A1103">
            <v>1103</v>
          </cell>
        </row>
        <row r="1104">
          <cell r="A1104">
            <v>1104</v>
          </cell>
        </row>
        <row r="1105">
          <cell r="A1105">
            <v>1105</v>
          </cell>
        </row>
        <row r="1106">
          <cell r="A1106">
            <v>1106</v>
          </cell>
        </row>
        <row r="1107">
          <cell r="A1107">
            <v>1107</v>
          </cell>
        </row>
        <row r="1108">
          <cell r="A1108">
            <v>1108</v>
          </cell>
        </row>
        <row r="1109">
          <cell r="A1109">
            <v>1109</v>
          </cell>
        </row>
        <row r="1110">
          <cell r="A1110">
            <v>1110</v>
          </cell>
        </row>
        <row r="1111">
          <cell r="A1111">
            <v>1111</v>
          </cell>
        </row>
        <row r="1112">
          <cell r="A1112">
            <v>1112</v>
          </cell>
        </row>
        <row r="1113">
          <cell r="A1113">
            <v>1113</v>
          </cell>
        </row>
        <row r="1114">
          <cell r="A1114">
            <v>1114</v>
          </cell>
        </row>
        <row r="1115">
          <cell r="A1115">
            <v>1115</v>
          </cell>
        </row>
        <row r="1116">
          <cell r="A1116">
            <v>1116</v>
          </cell>
        </row>
        <row r="1117">
          <cell r="A1117">
            <v>1117</v>
          </cell>
        </row>
        <row r="1118">
          <cell r="A1118">
            <v>1118</v>
          </cell>
        </row>
        <row r="1119">
          <cell r="A1119">
            <v>1119</v>
          </cell>
        </row>
        <row r="1120">
          <cell r="A1120">
            <v>1120</v>
          </cell>
        </row>
        <row r="1121">
          <cell r="A1121">
            <v>1121</v>
          </cell>
        </row>
        <row r="1122">
          <cell r="A1122">
            <v>1122</v>
          </cell>
        </row>
        <row r="1123">
          <cell r="A1123">
            <v>1123</v>
          </cell>
        </row>
        <row r="1124">
          <cell r="A1124">
            <v>1124</v>
          </cell>
        </row>
        <row r="1125">
          <cell r="A1125">
            <v>1125</v>
          </cell>
        </row>
        <row r="1126">
          <cell r="A1126">
            <v>1126</v>
          </cell>
        </row>
        <row r="1127">
          <cell r="A1127">
            <v>1127</v>
          </cell>
        </row>
        <row r="1128">
          <cell r="A1128">
            <v>1128</v>
          </cell>
        </row>
        <row r="1129">
          <cell r="A1129">
            <v>1129</v>
          </cell>
        </row>
        <row r="1130">
          <cell r="A1130">
            <v>1130</v>
          </cell>
        </row>
        <row r="1131">
          <cell r="A1131">
            <v>1131</v>
          </cell>
        </row>
        <row r="1132">
          <cell r="A1132">
            <v>1132</v>
          </cell>
        </row>
        <row r="1133">
          <cell r="A1133">
            <v>1133</v>
          </cell>
        </row>
        <row r="1134">
          <cell r="A1134">
            <v>1134</v>
          </cell>
        </row>
        <row r="1135">
          <cell r="A1135">
            <v>1135</v>
          </cell>
        </row>
        <row r="1136">
          <cell r="A1136">
            <v>1136</v>
          </cell>
        </row>
        <row r="1137">
          <cell r="A1137">
            <v>1137</v>
          </cell>
        </row>
        <row r="1138">
          <cell r="A1138">
            <v>1138</v>
          </cell>
        </row>
        <row r="1139">
          <cell r="A1139">
            <v>1139</v>
          </cell>
        </row>
        <row r="1140">
          <cell r="A1140">
            <v>1140</v>
          </cell>
        </row>
        <row r="1141">
          <cell r="A1141">
            <v>1141</v>
          </cell>
        </row>
        <row r="1142">
          <cell r="A1142">
            <v>1142</v>
          </cell>
        </row>
        <row r="1143">
          <cell r="A1143">
            <v>1143</v>
          </cell>
        </row>
        <row r="1144">
          <cell r="A1144">
            <v>1144</v>
          </cell>
        </row>
        <row r="1145">
          <cell r="A1145">
            <v>1145</v>
          </cell>
        </row>
        <row r="1146">
          <cell r="A1146">
            <v>1146</v>
          </cell>
        </row>
        <row r="1147">
          <cell r="A1147">
            <v>1147</v>
          </cell>
        </row>
        <row r="1148">
          <cell r="A1148">
            <v>1148</v>
          </cell>
        </row>
        <row r="1149">
          <cell r="A1149">
            <v>1149</v>
          </cell>
        </row>
        <row r="1150">
          <cell r="A1150">
            <v>1150</v>
          </cell>
        </row>
        <row r="1151">
          <cell r="A1151">
            <v>1151</v>
          </cell>
        </row>
        <row r="1152">
          <cell r="A1152">
            <v>1152</v>
          </cell>
        </row>
        <row r="1153">
          <cell r="A1153">
            <v>1153</v>
          </cell>
        </row>
        <row r="1154">
          <cell r="A1154">
            <v>1154</v>
          </cell>
        </row>
        <row r="1155">
          <cell r="A1155">
            <v>1155</v>
          </cell>
        </row>
        <row r="1156">
          <cell r="A1156">
            <v>1156</v>
          </cell>
        </row>
        <row r="1157">
          <cell r="A1157">
            <v>1157</v>
          </cell>
        </row>
        <row r="1158">
          <cell r="A1158">
            <v>1158</v>
          </cell>
        </row>
        <row r="1159">
          <cell r="A1159">
            <v>1159</v>
          </cell>
        </row>
        <row r="1160">
          <cell r="A1160">
            <v>1160</v>
          </cell>
        </row>
        <row r="1161">
          <cell r="A1161">
            <v>1161</v>
          </cell>
        </row>
        <row r="1162">
          <cell r="A1162">
            <v>1162</v>
          </cell>
        </row>
        <row r="1163">
          <cell r="A1163">
            <v>1163</v>
          </cell>
        </row>
        <row r="1164">
          <cell r="A1164">
            <v>1164</v>
          </cell>
        </row>
        <row r="1165">
          <cell r="A1165">
            <v>1165</v>
          </cell>
        </row>
        <row r="1166">
          <cell r="A1166">
            <v>1166</v>
          </cell>
        </row>
        <row r="1167">
          <cell r="A1167">
            <v>1167</v>
          </cell>
        </row>
        <row r="1168">
          <cell r="A1168">
            <v>1168</v>
          </cell>
        </row>
        <row r="1169">
          <cell r="A1169">
            <v>1169</v>
          </cell>
        </row>
        <row r="1170">
          <cell r="A1170">
            <v>1170</v>
          </cell>
        </row>
        <row r="1171">
          <cell r="A1171">
            <v>1171</v>
          </cell>
        </row>
        <row r="1172">
          <cell r="A1172">
            <v>1172</v>
          </cell>
        </row>
        <row r="1173">
          <cell r="A1173">
            <v>1173</v>
          </cell>
        </row>
        <row r="1174">
          <cell r="A1174">
            <v>1174</v>
          </cell>
        </row>
        <row r="1175">
          <cell r="A1175">
            <v>1175</v>
          </cell>
        </row>
        <row r="1176">
          <cell r="A1176">
            <v>1176</v>
          </cell>
        </row>
        <row r="1177">
          <cell r="A1177">
            <v>1177</v>
          </cell>
        </row>
        <row r="1178">
          <cell r="A1178">
            <v>1178</v>
          </cell>
        </row>
        <row r="1179">
          <cell r="A1179">
            <v>1179</v>
          </cell>
        </row>
        <row r="1180">
          <cell r="A1180">
            <v>1180</v>
          </cell>
        </row>
        <row r="1181">
          <cell r="A1181">
            <v>1181</v>
          </cell>
        </row>
        <row r="1182">
          <cell r="A1182">
            <v>1182</v>
          </cell>
        </row>
        <row r="1183">
          <cell r="A1183">
            <v>1183</v>
          </cell>
        </row>
        <row r="1184">
          <cell r="A1184">
            <v>1184</v>
          </cell>
        </row>
        <row r="1185">
          <cell r="A1185">
            <v>1185</v>
          </cell>
        </row>
        <row r="1186">
          <cell r="A1186">
            <v>1186</v>
          </cell>
        </row>
        <row r="1187">
          <cell r="A1187">
            <v>1187</v>
          </cell>
        </row>
        <row r="1188">
          <cell r="A1188">
            <v>1188</v>
          </cell>
        </row>
        <row r="1189">
          <cell r="A1189">
            <v>1189</v>
          </cell>
        </row>
        <row r="1190">
          <cell r="A1190">
            <v>1190</v>
          </cell>
        </row>
        <row r="1191">
          <cell r="A1191">
            <v>1191</v>
          </cell>
        </row>
        <row r="1192">
          <cell r="A1192">
            <v>1192</v>
          </cell>
        </row>
        <row r="1193">
          <cell r="A1193">
            <v>1193</v>
          </cell>
        </row>
        <row r="1194">
          <cell r="A1194">
            <v>1194</v>
          </cell>
        </row>
        <row r="1195">
          <cell r="A1195">
            <v>1195</v>
          </cell>
        </row>
        <row r="1196">
          <cell r="A1196">
            <v>1196</v>
          </cell>
        </row>
        <row r="1197">
          <cell r="A1197">
            <v>1197</v>
          </cell>
        </row>
        <row r="1198">
          <cell r="A1198">
            <v>1198</v>
          </cell>
        </row>
        <row r="1199">
          <cell r="A1199">
            <v>1199</v>
          </cell>
        </row>
        <row r="1200">
          <cell r="A1200">
            <v>1200</v>
          </cell>
        </row>
        <row r="1201">
          <cell r="A1201">
            <v>1201</v>
          </cell>
        </row>
        <row r="1202">
          <cell r="A1202">
            <v>1202</v>
          </cell>
        </row>
        <row r="1203">
          <cell r="A1203">
            <v>1203</v>
          </cell>
        </row>
        <row r="1204">
          <cell r="A1204">
            <v>1204</v>
          </cell>
        </row>
        <row r="1205">
          <cell r="A1205">
            <v>1205</v>
          </cell>
        </row>
        <row r="1206">
          <cell r="A1206">
            <v>1206</v>
          </cell>
        </row>
        <row r="1207">
          <cell r="A1207">
            <v>1207</v>
          </cell>
        </row>
        <row r="1208">
          <cell r="A1208">
            <v>1208</v>
          </cell>
        </row>
        <row r="1209">
          <cell r="A1209">
            <v>1209</v>
          </cell>
        </row>
        <row r="1210">
          <cell r="A1210">
            <v>1210</v>
          </cell>
        </row>
        <row r="1211">
          <cell r="A1211">
            <v>1211</v>
          </cell>
        </row>
        <row r="1212">
          <cell r="A1212">
            <v>1212</v>
          </cell>
        </row>
        <row r="1213">
          <cell r="A1213">
            <v>1213</v>
          </cell>
        </row>
        <row r="1214">
          <cell r="A1214">
            <v>1214</v>
          </cell>
        </row>
        <row r="1215">
          <cell r="A1215">
            <v>1215</v>
          </cell>
        </row>
        <row r="1216">
          <cell r="A1216">
            <v>1216</v>
          </cell>
        </row>
        <row r="1217">
          <cell r="A1217">
            <v>1217</v>
          </cell>
        </row>
        <row r="1218">
          <cell r="A1218">
            <v>1218</v>
          </cell>
        </row>
        <row r="1219">
          <cell r="A1219">
            <v>1219</v>
          </cell>
        </row>
        <row r="1220">
          <cell r="A1220">
            <v>1220</v>
          </cell>
        </row>
        <row r="1221">
          <cell r="A1221">
            <v>1221</v>
          </cell>
        </row>
        <row r="1222">
          <cell r="A1222">
            <v>1222</v>
          </cell>
        </row>
        <row r="1223">
          <cell r="A1223">
            <v>1223</v>
          </cell>
        </row>
        <row r="1224">
          <cell r="A1224">
            <v>1224</v>
          </cell>
        </row>
        <row r="1225">
          <cell r="A1225">
            <v>1225</v>
          </cell>
        </row>
        <row r="1226">
          <cell r="A1226">
            <v>1226</v>
          </cell>
        </row>
        <row r="1227">
          <cell r="A1227">
            <v>1227</v>
          </cell>
        </row>
        <row r="1228">
          <cell r="A1228">
            <v>1228</v>
          </cell>
        </row>
        <row r="1229">
          <cell r="A1229">
            <v>1229</v>
          </cell>
        </row>
        <row r="1230">
          <cell r="A1230">
            <v>1230</v>
          </cell>
        </row>
        <row r="1231">
          <cell r="A1231">
            <v>1231</v>
          </cell>
        </row>
        <row r="1232">
          <cell r="A1232">
            <v>1232</v>
          </cell>
        </row>
        <row r="1233">
          <cell r="A1233">
            <v>1233</v>
          </cell>
        </row>
        <row r="1234">
          <cell r="A1234">
            <v>1234</v>
          </cell>
        </row>
        <row r="1235">
          <cell r="A1235">
            <v>1235</v>
          </cell>
        </row>
        <row r="1236">
          <cell r="A1236">
            <v>1236</v>
          </cell>
        </row>
        <row r="1237">
          <cell r="A1237">
            <v>1237</v>
          </cell>
        </row>
        <row r="1238">
          <cell r="A1238">
            <v>1238</v>
          </cell>
        </row>
        <row r="1239">
          <cell r="A1239">
            <v>1239</v>
          </cell>
        </row>
        <row r="1240">
          <cell r="A1240">
            <v>1240</v>
          </cell>
        </row>
        <row r="1241">
          <cell r="A1241">
            <v>1241</v>
          </cell>
        </row>
        <row r="1242">
          <cell r="A1242">
            <v>1242</v>
          </cell>
        </row>
        <row r="1243">
          <cell r="A1243">
            <v>1243</v>
          </cell>
        </row>
        <row r="1244">
          <cell r="A1244">
            <v>1244</v>
          </cell>
        </row>
        <row r="1245">
          <cell r="A1245">
            <v>1245</v>
          </cell>
        </row>
        <row r="1246">
          <cell r="A1246">
            <v>1246</v>
          </cell>
        </row>
        <row r="1247">
          <cell r="A1247">
            <v>1247</v>
          </cell>
        </row>
        <row r="1248">
          <cell r="A1248">
            <v>1248</v>
          </cell>
        </row>
        <row r="1249">
          <cell r="A1249">
            <v>1249</v>
          </cell>
        </row>
        <row r="1250">
          <cell r="A1250">
            <v>1250</v>
          </cell>
        </row>
        <row r="1251">
          <cell r="A1251">
            <v>1251</v>
          </cell>
        </row>
        <row r="1252">
          <cell r="A1252">
            <v>1252</v>
          </cell>
        </row>
        <row r="1253">
          <cell r="A1253">
            <v>1253</v>
          </cell>
        </row>
        <row r="1254">
          <cell r="A1254">
            <v>1254</v>
          </cell>
        </row>
        <row r="1255">
          <cell r="A1255">
            <v>1255</v>
          </cell>
        </row>
        <row r="1256">
          <cell r="A1256">
            <v>1256</v>
          </cell>
        </row>
        <row r="1257">
          <cell r="A1257">
            <v>1257</v>
          </cell>
        </row>
        <row r="1258">
          <cell r="A1258">
            <v>1258</v>
          </cell>
        </row>
        <row r="1259">
          <cell r="A1259">
            <v>1259</v>
          </cell>
        </row>
        <row r="1260">
          <cell r="A1260">
            <v>1260</v>
          </cell>
        </row>
        <row r="1261">
          <cell r="A1261">
            <v>1261</v>
          </cell>
        </row>
        <row r="1262">
          <cell r="A1262">
            <v>1262</v>
          </cell>
        </row>
        <row r="1263">
          <cell r="A1263">
            <v>1263</v>
          </cell>
        </row>
        <row r="1264">
          <cell r="A1264">
            <v>1264</v>
          </cell>
        </row>
        <row r="1265">
          <cell r="A1265">
            <v>1265</v>
          </cell>
        </row>
        <row r="1266">
          <cell r="A1266">
            <v>1266</v>
          </cell>
        </row>
        <row r="1267">
          <cell r="A1267">
            <v>1267</v>
          </cell>
        </row>
        <row r="1268">
          <cell r="A1268">
            <v>1268</v>
          </cell>
        </row>
        <row r="1269">
          <cell r="A1269">
            <v>1269</v>
          </cell>
        </row>
        <row r="1270">
          <cell r="A1270">
            <v>1270</v>
          </cell>
        </row>
        <row r="1271">
          <cell r="A1271">
            <v>1271</v>
          </cell>
        </row>
        <row r="1272">
          <cell r="A1272">
            <v>1272</v>
          </cell>
        </row>
        <row r="1273">
          <cell r="A1273">
            <v>1273</v>
          </cell>
        </row>
        <row r="1274">
          <cell r="A1274">
            <v>1274</v>
          </cell>
        </row>
        <row r="1275">
          <cell r="A1275">
            <v>1275</v>
          </cell>
        </row>
        <row r="1276">
          <cell r="A1276">
            <v>1276</v>
          </cell>
        </row>
        <row r="1277">
          <cell r="A1277">
            <v>1277</v>
          </cell>
        </row>
        <row r="1278">
          <cell r="A1278">
            <v>1278</v>
          </cell>
        </row>
        <row r="1279">
          <cell r="A1279">
            <v>1279</v>
          </cell>
        </row>
        <row r="1280">
          <cell r="A1280">
            <v>1280</v>
          </cell>
        </row>
        <row r="1281">
          <cell r="A1281">
            <v>1281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내역서"/>
      <sheetName val="수량산출"/>
      <sheetName val="중량산출"/>
      <sheetName val="PANEL 중량산출"/>
      <sheetName val="견적대비표"/>
      <sheetName val="배관배선"/>
      <sheetName val="단가대비표"/>
      <sheetName val="성스테이지"/>
      <sheetName val="타견적서 영시스템"/>
      <sheetName val="진명견적"/>
      <sheetName val="노무비"/>
      <sheetName val="데이타"/>
      <sheetName val="식재인부"/>
      <sheetName val="원가계산서"/>
      <sheetName val="공종별집계표"/>
      <sheetName val="신우"/>
      <sheetName val="갑지"/>
      <sheetName val="내역집계표"/>
      <sheetName val="노무비단가내역"/>
      <sheetName val="공량산출서"/>
      <sheetName val="산출집계표"/>
      <sheetName val="산출기초"/>
      <sheetName val="견적서(주차관제)"/>
      <sheetName val="견적"/>
      <sheetName val="실행간접비용"/>
      <sheetName val="준공정산"/>
      <sheetName val="빌딩 안내"/>
      <sheetName val="합천내역"/>
      <sheetName val="AS포장복구 "/>
      <sheetName val="내역"/>
      <sheetName val="산출근거(복구)"/>
      <sheetName val="단가표"/>
      <sheetName val="설계서"/>
      <sheetName val="Sheet1"/>
      <sheetName val="1안"/>
      <sheetName val="가감수량"/>
      <sheetName val="맨홀수량산출"/>
      <sheetName val="건축-물가변동"/>
      <sheetName val="코드"/>
      <sheetName val="노임단가"/>
      <sheetName val="#REF"/>
      <sheetName val="증감대비"/>
      <sheetName val="_x0000_"/>
      <sheetName val="가설공사"/>
      <sheetName val="sal"/>
      <sheetName val="9GNG운반"/>
      <sheetName val="시행후면적"/>
      <sheetName val="수지예산"/>
      <sheetName val="설계명세서"/>
      <sheetName val="N賃率-職"/>
      <sheetName val="집계표"/>
      <sheetName val="정공공사"/>
      <sheetName val="노무,재료"/>
      <sheetName val="공사개요"/>
      <sheetName val="PANEL_중량산출"/>
      <sheetName val="타견적서_영시스템"/>
      <sheetName val="을지(방송)"/>
      <sheetName val="사통"/>
      <sheetName val="연습"/>
      <sheetName val="01.가로등"/>
      <sheetName val="02.펌프장"/>
      <sheetName val="Total"/>
      <sheetName val="자료"/>
      <sheetName val="b_balju_cho"/>
      <sheetName val="세부내역서"/>
      <sheetName val="건축"/>
      <sheetName val="DATA"/>
      <sheetName val="Detail"/>
      <sheetName val="_x0000_k_x0000_y_x0000__x0000__x0000_£_x0000_±_x0000_¿_x0000_"/>
      <sheetName val="간선"/>
      <sheetName val="전압"/>
      <sheetName val="조도"/>
      <sheetName val="동력"/>
      <sheetName val="sw1"/>
      <sheetName val="수량산출(출력물)"/>
      <sheetName val="단가대비"/>
      <sheetName val="일위대가"/>
      <sheetName val="가스내역"/>
      <sheetName val="내역갑지"/>
      <sheetName val="맨홀수량산출_x0000__x0000__x0000__x0000__x0010_[내역서.xls]건축-물"/>
      <sheetName val="환율"/>
      <sheetName val="_x0000__x0004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타견적1"/>
      <sheetName val="타견적2"/>
      <sheetName val="타견적3"/>
      <sheetName val="견적대비표"/>
      <sheetName val="내역서"/>
      <sheetName val="단가대비표"/>
      <sheetName val="PANEL 중량산출"/>
      <sheetName val="중량산출"/>
      <sheetName val="수량산출"/>
      <sheetName val="일위"/>
      <sheetName val="합천내역"/>
      <sheetName val="9GNG운반"/>
      <sheetName val="일위총괄표"/>
      <sheetName val="신우"/>
      <sheetName val="매립"/>
      <sheetName val="N賃率-職"/>
      <sheetName val="정공공사"/>
      <sheetName val="데이타"/>
      <sheetName val="식재인부"/>
      <sheetName val="工완성공사율"/>
      <sheetName val="송라초중학교(final)"/>
      <sheetName val="설계명세서"/>
      <sheetName val="제출내역 (2)"/>
      <sheetName val="대치판정"/>
      <sheetName val="CTEMCOST"/>
      <sheetName val="수량산출(음암)"/>
      <sheetName val="약품설비"/>
      <sheetName val="공사원가계산서"/>
      <sheetName val="갑지"/>
      <sheetName val="부하계산서"/>
      <sheetName val="1안"/>
      <sheetName val="을"/>
      <sheetName val="철집"/>
      <sheetName val="일위대가표"/>
      <sheetName val="PANEL_중량산출"/>
      <sheetName val="일위대가"/>
      <sheetName val="여과지동"/>
      <sheetName val="기초자료"/>
      <sheetName val="내역"/>
      <sheetName val="내역서1"/>
      <sheetName val="99노임기준"/>
      <sheetName val="집계표"/>
      <sheetName val="단가 및 재료비"/>
      <sheetName val="중기사용료산출근거"/>
      <sheetName val="예총"/>
      <sheetName val="1단계"/>
      <sheetName val="일위대가목차"/>
      <sheetName val="01"/>
      <sheetName val="약품공급2"/>
      <sheetName val="2.대외공문"/>
      <sheetName val="H-PILE수량집계"/>
      <sheetName val="H PILE수량"/>
      <sheetName val="한일양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A3">
            <v>3</v>
          </cell>
          <cell r="B3" t="str">
            <v>송라 초,중학교 다목적 강당 무대기계장치</v>
          </cell>
        </row>
        <row r="4">
          <cell r="A4">
            <v>4</v>
          </cell>
          <cell r="B4" t="str">
            <v>다목적강당 무대기계장치</v>
          </cell>
          <cell r="C4" t="str">
            <v xml:space="preserve"> </v>
          </cell>
          <cell r="D4" t="str">
            <v>L/S</v>
          </cell>
          <cell r="E4">
            <v>1</v>
          </cell>
          <cell r="F4" t="str">
            <v xml:space="preserve"> </v>
          </cell>
          <cell r="H4" t="str">
            <v>NO.1-00-00</v>
          </cell>
        </row>
        <row r="5">
          <cell r="A5">
            <v>5</v>
          </cell>
          <cell r="B5" t="str">
            <v xml:space="preserve"> </v>
          </cell>
          <cell r="C5" t="str">
            <v xml:space="preserve"> </v>
          </cell>
          <cell r="D5" t="str">
            <v xml:space="preserve"> </v>
          </cell>
          <cell r="E5" t="str">
            <v xml:space="preserve"> </v>
          </cell>
          <cell r="F5" t="str">
            <v xml:space="preserve"> </v>
          </cell>
          <cell r="H5" t="str">
            <v xml:space="preserve"> </v>
          </cell>
        </row>
        <row r="6">
          <cell r="A6">
            <v>6</v>
          </cell>
          <cell r="F6" t="str">
            <v xml:space="preserve"> </v>
          </cell>
        </row>
        <row r="7">
          <cell r="A7">
            <v>7</v>
          </cell>
          <cell r="F7" t="str">
            <v xml:space="preserve"> </v>
          </cell>
        </row>
        <row r="8">
          <cell r="A8">
            <v>8</v>
          </cell>
          <cell r="F8" t="str">
            <v xml:space="preserve"> 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  <row r="14">
          <cell r="A14">
            <v>14</v>
          </cell>
        </row>
        <row r="15">
          <cell r="A15">
            <v>15</v>
          </cell>
        </row>
        <row r="16">
          <cell r="A16">
            <v>16</v>
          </cell>
        </row>
        <row r="17">
          <cell r="A17">
            <v>17</v>
          </cell>
        </row>
        <row r="18">
          <cell r="A18">
            <v>18</v>
          </cell>
        </row>
        <row r="19">
          <cell r="A19">
            <v>19</v>
          </cell>
        </row>
        <row r="20">
          <cell r="A20">
            <v>20</v>
          </cell>
        </row>
        <row r="21">
          <cell r="A21">
            <v>21</v>
          </cell>
        </row>
        <row r="22">
          <cell r="A22">
            <v>22</v>
          </cell>
        </row>
        <row r="23">
          <cell r="A23">
            <v>23</v>
          </cell>
        </row>
        <row r="24">
          <cell r="A24">
            <v>24</v>
          </cell>
        </row>
        <row r="25">
          <cell r="A25">
            <v>25</v>
          </cell>
          <cell r="B25" t="str">
            <v>다목적강당 무대기계장치</v>
          </cell>
          <cell r="G25" t="str">
            <v xml:space="preserve"> </v>
          </cell>
          <cell r="H25" t="str">
            <v>NO.1-00-00</v>
          </cell>
        </row>
        <row r="26">
          <cell r="B26" t="str">
            <v>PLACARD BATTEN</v>
          </cell>
          <cell r="C26" t="str">
            <v>7,400L</v>
          </cell>
          <cell r="D26" t="str">
            <v>SET</v>
          </cell>
          <cell r="E26">
            <v>1</v>
          </cell>
          <cell r="H26" t="str">
            <v>NO.1-01-00</v>
          </cell>
        </row>
        <row r="27">
          <cell r="A27">
            <v>26</v>
          </cell>
          <cell r="B27" t="str">
            <v xml:space="preserve">DRAW CURTAIN </v>
          </cell>
          <cell r="C27" t="str">
            <v>8,660 x 3,300H</v>
          </cell>
          <cell r="D27" t="str">
            <v>SET</v>
          </cell>
          <cell r="E27">
            <v>1</v>
          </cell>
          <cell r="F27" t="str">
            <v xml:space="preserve"> </v>
          </cell>
          <cell r="H27" t="str">
            <v>NO.1-02-00</v>
          </cell>
        </row>
        <row r="28">
          <cell r="A28">
            <v>27</v>
          </cell>
          <cell r="B28" t="str">
            <v xml:space="preserve">ROLL SCREEN </v>
          </cell>
          <cell r="C28" t="str">
            <v>1,800L x 1,200H</v>
          </cell>
          <cell r="D28" t="str">
            <v>SET</v>
          </cell>
          <cell r="E28">
            <v>1</v>
          </cell>
          <cell r="F28" t="str">
            <v xml:space="preserve"> </v>
          </cell>
          <cell r="H28" t="str">
            <v>NO.1-03-00</v>
          </cell>
        </row>
        <row r="29">
          <cell r="A29">
            <v>28</v>
          </cell>
          <cell r="B29" t="str">
            <v>ROLL FLAG</v>
          </cell>
          <cell r="C29" t="str">
            <v>3,500L x 2,500H</v>
          </cell>
          <cell r="D29" t="str">
            <v>SET</v>
          </cell>
          <cell r="E29">
            <v>1</v>
          </cell>
          <cell r="H29" t="str">
            <v>NO.1-04-00</v>
          </cell>
        </row>
        <row r="30">
          <cell r="A30">
            <v>29</v>
          </cell>
          <cell r="B30" t="str">
            <v>COVER CURTAIN</v>
          </cell>
          <cell r="C30" t="str">
            <v>8,800 x 3,500H</v>
          </cell>
          <cell r="D30" t="str">
            <v>SET</v>
          </cell>
          <cell r="E30">
            <v>1</v>
          </cell>
          <cell r="H30" t="str">
            <v>NO.1-05-00</v>
          </cell>
        </row>
        <row r="31">
          <cell r="A31">
            <v>30</v>
          </cell>
          <cell r="B31" t="str">
            <v>WINDOW DARKEN CURTAIN</v>
          </cell>
          <cell r="C31" t="str">
            <v>4,050L x 3,500H</v>
          </cell>
          <cell r="D31" t="str">
            <v>SET</v>
          </cell>
          <cell r="E31">
            <v>6</v>
          </cell>
          <cell r="H31" t="str">
            <v>NO.1-06-00</v>
          </cell>
        </row>
        <row r="32">
          <cell r="A32">
            <v>31</v>
          </cell>
          <cell r="B32" t="str">
            <v>DOOR DARKEN CURTAIN</v>
          </cell>
          <cell r="C32" t="str">
            <v>4,050L x 3,500H</v>
          </cell>
          <cell r="D32" t="str">
            <v>SET</v>
          </cell>
          <cell r="E32">
            <v>2</v>
          </cell>
          <cell r="H32" t="str">
            <v>NO.1-06-00</v>
          </cell>
        </row>
        <row r="33">
          <cell r="A33">
            <v>32</v>
          </cell>
          <cell r="B33" t="str">
            <v>GRID IRON</v>
          </cell>
          <cell r="C33" t="str">
            <v>8600L x 900D</v>
          </cell>
          <cell r="D33" t="str">
            <v>L/S</v>
          </cell>
          <cell r="E33">
            <v>1</v>
          </cell>
          <cell r="H33" t="str">
            <v>NO.1-07-00</v>
          </cell>
        </row>
        <row r="34">
          <cell r="A34">
            <v>33</v>
          </cell>
          <cell r="B34" t="str">
            <v>CONTROL PANEL</v>
          </cell>
          <cell r="C34" t="str">
            <v>600L x 1,000H x 250W</v>
          </cell>
          <cell r="D34" t="str">
            <v>SET</v>
          </cell>
          <cell r="E34">
            <v>1</v>
          </cell>
          <cell r="H34" t="str">
            <v>NO.1-08-00</v>
          </cell>
        </row>
        <row r="35">
          <cell r="A35">
            <v>34</v>
          </cell>
          <cell r="B35" t="str">
            <v>CONTROL BOARD</v>
          </cell>
          <cell r="C35" t="str">
            <v xml:space="preserve"> </v>
          </cell>
          <cell r="D35" t="str">
            <v>SET</v>
          </cell>
          <cell r="E35">
            <v>1</v>
          </cell>
          <cell r="H35" t="str">
            <v>NO.1-09-00</v>
          </cell>
        </row>
        <row r="36">
          <cell r="A36">
            <v>35</v>
          </cell>
          <cell r="B36" t="str">
            <v>배관 및 배선</v>
          </cell>
          <cell r="C36" t="str">
            <v xml:space="preserve"> </v>
          </cell>
          <cell r="D36" t="str">
            <v>식</v>
          </cell>
          <cell r="E36">
            <v>1</v>
          </cell>
          <cell r="H36" t="str">
            <v>NO.1-10-00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  <cell r="B39" t="str">
            <v xml:space="preserve"> </v>
          </cell>
          <cell r="C39" t="str">
            <v xml:space="preserve"> </v>
          </cell>
          <cell r="D39" t="str">
            <v xml:space="preserve"> </v>
          </cell>
          <cell r="E39" t="str">
            <v xml:space="preserve"> </v>
          </cell>
          <cell r="H39" t="str">
            <v xml:space="preserve"> </v>
          </cell>
        </row>
        <row r="40">
          <cell r="A40">
            <v>39</v>
          </cell>
          <cell r="B40" t="str">
            <v xml:space="preserve"> </v>
          </cell>
          <cell r="C40" t="str">
            <v xml:space="preserve"> </v>
          </cell>
          <cell r="D40" t="str">
            <v xml:space="preserve"> </v>
          </cell>
          <cell r="E40" t="str">
            <v xml:space="preserve"> </v>
          </cell>
          <cell r="H40" t="str">
            <v xml:space="preserve"> </v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 t="e">
            <v>#REF!</v>
          </cell>
        </row>
        <row r="45">
          <cell r="A45" t="e">
            <v>#REF!</v>
          </cell>
        </row>
        <row r="46">
          <cell r="A46" t="e">
            <v>#REF!</v>
          </cell>
        </row>
        <row r="47">
          <cell r="A47" t="e">
            <v>#REF!</v>
          </cell>
          <cell r="B47" t="str">
            <v>공사명: PLACARD BATTEN (7,400L)</v>
          </cell>
          <cell r="H47" t="str">
            <v>NO.1-1-00</v>
          </cell>
        </row>
        <row r="48">
          <cell r="A48" t="e">
            <v>#REF!</v>
          </cell>
          <cell r="B48" t="str">
            <v>MACHINE PART</v>
          </cell>
          <cell r="C48" t="str">
            <v>1.5KW x 4P用</v>
          </cell>
          <cell r="D48" t="str">
            <v>SET</v>
          </cell>
          <cell r="E48">
            <v>1</v>
          </cell>
          <cell r="F48" t="str">
            <v xml:space="preserve"> </v>
          </cell>
          <cell r="H48" t="str">
            <v>일위대가-1</v>
          </cell>
        </row>
        <row r="49">
          <cell r="A49" t="e">
            <v>#REF!</v>
          </cell>
          <cell r="B49" t="str">
            <v>AL - DRUM</v>
          </cell>
          <cell r="C49" t="str">
            <v>Ø300 x 4줄</v>
          </cell>
          <cell r="D49" t="str">
            <v>EA</v>
          </cell>
          <cell r="E49">
            <v>1</v>
          </cell>
          <cell r="F49" t="str">
            <v>WIRE POINT 4줄</v>
          </cell>
        </row>
        <row r="50">
          <cell r="A50" t="e">
            <v>#REF!</v>
          </cell>
          <cell r="B50" t="str">
            <v>MACHINE FRAME</v>
          </cell>
          <cell r="C50" t="str">
            <v>1.5KW x 4P用</v>
          </cell>
          <cell r="D50" t="str">
            <v>EA</v>
          </cell>
          <cell r="E50">
            <v>1</v>
          </cell>
          <cell r="F50" t="str">
            <v>MACHINE PART 고정용</v>
          </cell>
        </row>
        <row r="51">
          <cell r="A51" t="e">
            <v>#REF!</v>
          </cell>
          <cell r="B51" t="str">
            <v>BOLT, NUT, W/S, S/W</v>
          </cell>
          <cell r="C51" t="str">
            <v>M16 x 50L</v>
          </cell>
          <cell r="D51" t="str">
            <v>SET</v>
          </cell>
          <cell r="E51">
            <v>6</v>
          </cell>
          <cell r="F51" t="str">
            <v xml:space="preserve">M/C FRME 1SET당 6SET이므로 </v>
          </cell>
        </row>
        <row r="52">
          <cell r="A52" t="e">
            <v>#REF!</v>
          </cell>
          <cell r="B52" t="str">
            <v>VERTICAL ROLLER</v>
          </cell>
          <cell r="C52" t="str">
            <v>Ø200 x 22L</v>
          </cell>
          <cell r="D52" t="str">
            <v>EA</v>
          </cell>
          <cell r="E52">
            <v>3</v>
          </cell>
          <cell r="F52" t="str">
            <v xml:space="preserve">WIRE ROPE 1줄당 1SET이므로 </v>
          </cell>
        </row>
        <row r="53">
          <cell r="A53" t="e">
            <v>#REF!</v>
          </cell>
          <cell r="B53" t="str">
            <v>VERTICAL ROLLER</v>
          </cell>
          <cell r="C53" t="str">
            <v>Ø220 x 35L</v>
          </cell>
          <cell r="D53" t="str">
            <v>EA</v>
          </cell>
          <cell r="E53">
            <v>1</v>
          </cell>
          <cell r="F53" t="str">
            <v xml:space="preserve">WIRE ROPE 1줄당 1SET이므로 </v>
          </cell>
        </row>
        <row r="54">
          <cell r="A54" t="e">
            <v>#REF!</v>
          </cell>
          <cell r="B54" t="str">
            <v>BOLT, NUT, W/S, S/W</v>
          </cell>
          <cell r="C54" t="str">
            <v>M16 x 40L</v>
          </cell>
          <cell r="D54" t="str">
            <v>SET</v>
          </cell>
          <cell r="E54">
            <v>16</v>
          </cell>
          <cell r="F54" t="str">
            <v>VERTICAL ROLLER 1SET당 4SET이므로 4줄x4SET = 16SET</v>
          </cell>
        </row>
        <row r="55">
          <cell r="A55" t="e">
            <v>#REF!</v>
          </cell>
          <cell r="B55" t="str">
            <v>WIRE ROPE</v>
          </cell>
          <cell r="C55" t="str">
            <v>Ø6 x 7 x 19</v>
          </cell>
          <cell r="D55" t="str">
            <v>M</v>
          </cell>
          <cell r="E55">
            <v>62</v>
          </cell>
          <cell r="F55" t="str">
            <v>WIRE 1줄당 (7M+7M)=14M, 14x4줄= 56x1.1(할증10%)=61.6M 약 61.6M</v>
          </cell>
          <cell r="G55" t="str">
            <v>10%</v>
          </cell>
        </row>
        <row r="56">
          <cell r="A56" t="e">
            <v>#REF!</v>
          </cell>
          <cell r="B56" t="str">
            <v>WIRE CLIP</v>
          </cell>
          <cell r="C56" t="str">
            <v>Ø6용</v>
          </cell>
          <cell r="D56" t="str">
            <v>EA</v>
          </cell>
          <cell r="E56">
            <v>16</v>
          </cell>
          <cell r="F56" t="str">
            <v>WIRE 1줄당 4EA이므로, 4EAx4줄= 16EA</v>
          </cell>
          <cell r="G56" t="str">
            <v xml:space="preserve"> </v>
          </cell>
        </row>
        <row r="57">
          <cell r="A57" t="e">
            <v>#REF!</v>
          </cell>
          <cell r="B57" t="str">
            <v>THIMBLE</v>
          </cell>
          <cell r="C57" t="str">
            <v>Ø6용</v>
          </cell>
          <cell r="D57" t="str">
            <v>EA</v>
          </cell>
          <cell r="E57">
            <v>4</v>
          </cell>
          <cell r="F57" t="str">
            <v>WIRE 1줄당 1EA이므로, 1EAx4줄= 4EA</v>
          </cell>
        </row>
        <row r="58">
          <cell r="A58" t="e">
            <v>#REF!</v>
          </cell>
          <cell r="B58" t="str">
            <v>SHACKLE</v>
          </cell>
          <cell r="C58" t="str">
            <v>#10</v>
          </cell>
          <cell r="D58" t="str">
            <v>EA</v>
          </cell>
          <cell r="E58">
            <v>4</v>
          </cell>
          <cell r="F58" t="str">
            <v>WIRE 1줄당 1EA이므로, 1EAx4줄= 4EA</v>
          </cell>
        </row>
        <row r="59">
          <cell r="A59" t="e">
            <v>#REF!</v>
          </cell>
          <cell r="B59" t="str">
            <v>PIPE BAND</v>
          </cell>
          <cell r="C59" t="str">
            <v>Ø48.6 용</v>
          </cell>
          <cell r="D59" t="str">
            <v>EA</v>
          </cell>
          <cell r="E59">
            <v>4</v>
          </cell>
          <cell r="F59" t="str">
            <v>WIRE 1줄당 1EA이므로, 1EAx4줄= 4EA</v>
          </cell>
        </row>
        <row r="60">
          <cell r="A60" t="e">
            <v>#REF!</v>
          </cell>
          <cell r="B60" t="str">
            <v>BOLT,NUT,W/S,S/W</v>
          </cell>
          <cell r="C60" t="str">
            <v>M10 x 30L</v>
          </cell>
          <cell r="D60" t="str">
            <v>SET</v>
          </cell>
          <cell r="E60">
            <v>8</v>
          </cell>
          <cell r="F60" t="str">
            <v>WIRE 1줄당 2EA이므로, 2EAx4줄= 8EA</v>
          </cell>
        </row>
        <row r="61">
          <cell r="A61" t="e">
            <v>#REF!</v>
          </cell>
          <cell r="B61" t="str">
            <v>PIPE</v>
          </cell>
          <cell r="C61" t="str">
            <v>Ø48.6</v>
          </cell>
          <cell r="D61" t="str">
            <v>본</v>
          </cell>
          <cell r="E61">
            <v>2</v>
          </cell>
          <cell r="F61" t="str">
            <v>PIPE 本당 6M이므로 7.4/6= 1.23本  약 2本</v>
          </cell>
        </row>
        <row r="62">
          <cell r="A62" t="e">
            <v>#REF!</v>
          </cell>
          <cell r="B62" t="str">
            <v>PIPE CAP</v>
          </cell>
          <cell r="C62" t="str">
            <v>Ø48.6용</v>
          </cell>
          <cell r="D62" t="str">
            <v>EA</v>
          </cell>
          <cell r="E62">
            <v>2</v>
          </cell>
          <cell r="F62" t="str">
            <v>양끝단 처리</v>
          </cell>
        </row>
        <row r="63">
          <cell r="A63" t="e">
            <v>#REF!</v>
          </cell>
          <cell r="B63" t="str">
            <v>PIPE JOINT</v>
          </cell>
          <cell r="C63" t="str">
            <v>Ø48.6용</v>
          </cell>
          <cell r="D63" t="str">
            <v>EA</v>
          </cell>
          <cell r="E63">
            <v>1</v>
          </cell>
          <cell r="F63" t="str">
            <v>PIPE 2本이므로 연결부분 1SET</v>
          </cell>
          <cell r="G63" t="str">
            <v xml:space="preserve"> </v>
          </cell>
          <cell r="H63" t="str">
            <v xml:space="preserve"> </v>
          </cell>
        </row>
        <row r="64">
          <cell r="A64" t="e">
            <v>#REF!</v>
          </cell>
          <cell r="B64" t="str">
            <v>도 장 비</v>
          </cell>
          <cell r="C64" t="str">
            <v>각 2회</v>
          </cell>
          <cell r="D64" t="str">
            <v>M2</v>
          </cell>
          <cell r="E64">
            <v>8</v>
          </cell>
          <cell r="F64" t="str">
            <v>FRAME(1.4)+ROLLER.22L(1.2x3SET)+ROLLER.35L(1.4)</v>
          </cell>
        </row>
        <row r="65">
          <cell r="F65" t="str">
            <v>+P.BAND(0.2x4SET)+PIPE(1.13) = 8.33M2 약 8M2</v>
          </cell>
        </row>
        <row r="68">
          <cell r="A68" t="e">
            <v>#REF!</v>
          </cell>
        </row>
        <row r="69">
          <cell r="A69" t="e">
            <v>#REF!</v>
          </cell>
          <cell r="B69" t="str">
            <v>공사명: DRAW CURTAIN (8,660L x 3,300H)</v>
          </cell>
          <cell r="H69" t="str">
            <v>NO.1-02-00</v>
          </cell>
        </row>
        <row r="70">
          <cell r="A70" t="e">
            <v>#REF!</v>
          </cell>
          <cell r="B70" t="str">
            <v>소형MOTOR</v>
          </cell>
          <cell r="C70" t="str">
            <v>40W</v>
          </cell>
          <cell r="D70" t="str">
            <v>SET</v>
          </cell>
          <cell r="E70">
            <v>1</v>
          </cell>
          <cell r="F70" t="str">
            <v xml:space="preserve"> </v>
          </cell>
        </row>
        <row r="71">
          <cell r="B71" t="str">
            <v>MOTOR BRACKET</v>
          </cell>
          <cell r="D71" t="str">
            <v>SET</v>
          </cell>
          <cell r="E71">
            <v>1</v>
          </cell>
        </row>
        <row r="72">
          <cell r="B72" t="str">
            <v>REDUCER</v>
          </cell>
          <cell r="C72" t="str">
            <v>15:1</v>
          </cell>
          <cell r="D72" t="str">
            <v>SET</v>
          </cell>
          <cell r="E72">
            <v>1</v>
          </cell>
        </row>
        <row r="73">
          <cell r="B73" t="str">
            <v>S.Q PIPE</v>
          </cell>
          <cell r="C73" t="str">
            <v>ㅁ-50 x 50 x 2.3t</v>
          </cell>
          <cell r="D73" t="str">
            <v>本</v>
          </cell>
          <cell r="E73">
            <v>2</v>
          </cell>
          <cell r="F73" t="str">
            <v>8.66/6M=1.44 약 2本</v>
          </cell>
        </row>
        <row r="74">
          <cell r="B74" t="str">
            <v>AL RAIL</v>
          </cell>
          <cell r="C74" t="str">
            <v>주문 제작</v>
          </cell>
          <cell r="D74" t="str">
            <v>M</v>
          </cell>
          <cell r="E74">
            <v>9</v>
          </cell>
          <cell r="F74" t="str">
            <v>8.66M 약 9M</v>
          </cell>
        </row>
        <row r="75">
          <cell r="B75" t="str">
            <v>DRIVE PULLEY</v>
          </cell>
          <cell r="C75" t="str">
            <v>Ø60</v>
          </cell>
          <cell r="D75" t="str">
            <v>EA</v>
          </cell>
          <cell r="E75">
            <v>1</v>
          </cell>
        </row>
        <row r="76">
          <cell r="B76" t="str">
            <v>ADJUST BRACKET</v>
          </cell>
          <cell r="D76" t="str">
            <v>EA</v>
          </cell>
          <cell r="E76">
            <v>1</v>
          </cell>
        </row>
        <row r="77">
          <cell r="B77" t="str">
            <v>MASTER CARRIER</v>
          </cell>
          <cell r="C77" t="str">
            <v>주문 제작</v>
          </cell>
          <cell r="D77" t="str">
            <v>EA</v>
          </cell>
          <cell r="E77">
            <v>2</v>
          </cell>
          <cell r="F77" t="str">
            <v>좌,우 최선단에</v>
          </cell>
        </row>
        <row r="78">
          <cell r="B78" t="str">
            <v>SINGLE CARRIER</v>
          </cell>
          <cell r="C78" t="str">
            <v>주문 제작</v>
          </cell>
          <cell r="D78" t="str">
            <v>EA</v>
          </cell>
          <cell r="E78">
            <v>44</v>
          </cell>
          <cell r="F78" t="str">
            <v>(8.66/0.2)x2=43.43EA 약 44EA</v>
          </cell>
        </row>
        <row r="79">
          <cell r="B79" t="str">
            <v>ROPE</v>
          </cell>
          <cell r="C79" t="str">
            <v>SUSØ1.6</v>
          </cell>
          <cell r="D79" t="str">
            <v>M</v>
          </cell>
          <cell r="E79">
            <v>17</v>
          </cell>
          <cell r="F79" t="str">
            <v>8.6x2=17.2M</v>
          </cell>
        </row>
        <row r="80">
          <cell r="B80" t="str">
            <v>LIMIT SWITCH</v>
          </cell>
          <cell r="D80" t="str">
            <v>EA</v>
          </cell>
          <cell r="E80">
            <v>1</v>
          </cell>
        </row>
        <row r="81">
          <cell r="B81" t="str">
            <v>CURTAIN</v>
          </cell>
          <cell r="C81" t="str">
            <v>(VELVET선방염지)</v>
          </cell>
          <cell r="D81" t="str">
            <v>M2</v>
          </cell>
          <cell r="E81">
            <v>109</v>
          </cell>
          <cell r="F81" t="str">
            <v>(8.66x할증350%)=30.31, 3.3+가공여유(0.3)=3.6, 30.31x3.6=109.11M2 약 109M2</v>
          </cell>
          <cell r="G81">
            <v>3.5</v>
          </cell>
        </row>
        <row r="82">
          <cell r="B82" t="str">
            <v>PIPE</v>
          </cell>
          <cell r="C82" t="str">
            <v>Ø27.2</v>
          </cell>
          <cell r="D82" t="str">
            <v>本</v>
          </cell>
          <cell r="E82">
            <v>2</v>
          </cell>
          <cell r="F82" t="str">
            <v>8.66/6M=1.44 약 2本</v>
          </cell>
        </row>
        <row r="83">
          <cell r="B83" t="str">
            <v>PIPE CAP</v>
          </cell>
          <cell r="C83" t="str">
            <v>Ø27.2</v>
          </cell>
          <cell r="D83" t="str">
            <v>EA</v>
          </cell>
          <cell r="E83">
            <v>2</v>
          </cell>
          <cell r="F83" t="str">
            <v>양끝단 처리</v>
          </cell>
        </row>
        <row r="84">
          <cell r="B84" t="str">
            <v>PIPE JOINT</v>
          </cell>
          <cell r="C84" t="str">
            <v>Ø27.2</v>
          </cell>
          <cell r="D84" t="str">
            <v>EA</v>
          </cell>
          <cell r="E84">
            <v>1</v>
          </cell>
          <cell r="F84" t="str">
            <v>PIPE 2本이므로 연결부분 1SET</v>
          </cell>
          <cell r="G84" t="str">
            <v xml:space="preserve"> </v>
          </cell>
          <cell r="H84" t="str">
            <v xml:space="preserve"> </v>
          </cell>
        </row>
        <row r="85">
          <cell r="B85" t="str">
            <v>HEAD CURTAIN</v>
          </cell>
          <cell r="C85" t="str">
            <v>(VELVET선방염지)</v>
          </cell>
          <cell r="D85" t="str">
            <v>M2</v>
          </cell>
          <cell r="E85">
            <v>17</v>
          </cell>
          <cell r="F85" t="str">
            <v>(8.66x할증250%)=21.65, 0.5+가공여유(0.3)=0.8, 21.65x0.8=17.32 약 17M2</v>
          </cell>
          <cell r="G85">
            <v>2.5</v>
          </cell>
        </row>
        <row r="86">
          <cell r="B86" t="str">
            <v>도장비</v>
          </cell>
          <cell r="D86" t="str">
            <v>M2</v>
          </cell>
          <cell r="E86">
            <v>2.5</v>
          </cell>
          <cell r="F86" t="str">
            <v>ㅁ50x50 (1.73)+ Ø27.2 (0.73)=약 2.46M2</v>
          </cell>
        </row>
        <row r="88">
          <cell r="E88" t="str">
            <v xml:space="preserve"> </v>
          </cell>
        </row>
        <row r="90">
          <cell r="A90" t="e">
            <v>#REF!</v>
          </cell>
        </row>
        <row r="91">
          <cell r="A91" t="e">
            <v>#REF!</v>
          </cell>
          <cell r="B91" t="str">
            <v xml:space="preserve">공사명 : ROLL SCREEN (4,000L x 3,000H)        </v>
          </cell>
          <cell r="D91" t="str">
            <v xml:space="preserve"> </v>
          </cell>
          <cell r="E91" t="str">
            <v xml:space="preserve"> </v>
          </cell>
          <cell r="F91" t="str">
            <v xml:space="preserve"> </v>
          </cell>
          <cell r="H91" t="str">
            <v>NO.1-03-00</v>
          </cell>
        </row>
        <row r="92">
          <cell r="A92" t="e">
            <v>#REF!</v>
          </cell>
          <cell r="B92" t="str">
            <v>원추형 MOTOR</v>
          </cell>
          <cell r="C92" t="str">
            <v>190W</v>
          </cell>
          <cell r="D92" t="str">
            <v>SET</v>
          </cell>
          <cell r="E92">
            <v>1</v>
          </cell>
          <cell r="F92" t="str">
            <v xml:space="preserve"> </v>
          </cell>
        </row>
        <row r="93">
          <cell r="A93" t="e">
            <v>#REF!</v>
          </cell>
          <cell r="B93" t="str">
            <v>LIMIT SWITCH BOX</v>
          </cell>
          <cell r="C93" t="str">
            <v xml:space="preserve"> </v>
          </cell>
          <cell r="D93" t="str">
            <v>SET</v>
          </cell>
          <cell r="E93">
            <v>1</v>
          </cell>
          <cell r="F93" t="str">
            <v xml:space="preserve"> </v>
          </cell>
        </row>
        <row r="94">
          <cell r="A94" t="e">
            <v>#REF!</v>
          </cell>
          <cell r="B94" t="str">
            <v>BUSHING</v>
          </cell>
          <cell r="C94" t="str">
            <v xml:space="preserve"> </v>
          </cell>
          <cell r="D94" t="str">
            <v>EA</v>
          </cell>
          <cell r="E94">
            <v>2</v>
          </cell>
          <cell r="F94" t="str">
            <v xml:space="preserve">ROLL SCREEN 2곳 </v>
          </cell>
        </row>
        <row r="95">
          <cell r="A95" t="e">
            <v>#REF!</v>
          </cell>
          <cell r="B95" t="str">
            <v>BEARING DIE</v>
          </cell>
          <cell r="C95" t="str">
            <v xml:space="preserve"> </v>
          </cell>
          <cell r="D95" t="str">
            <v>EA</v>
          </cell>
          <cell r="E95">
            <v>2</v>
          </cell>
          <cell r="F95" t="str">
            <v xml:space="preserve"> </v>
          </cell>
        </row>
        <row r="96">
          <cell r="A96" t="e">
            <v>#REF!</v>
          </cell>
          <cell r="B96" t="str">
            <v>주물 PIPE</v>
          </cell>
          <cell r="C96" t="str">
            <v>Ø53</v>
          </cell>
          <cell r="D96" t="str">
            <v>M</v>
          </cell>
          <cell r="E96">
            <v>4</v>
          </cell>
          <cell r="F96" t="str">
            <v xml:space="preserve"> </v>
          </cell>
        </row>
        <row r="97">
          <cell r="A97" t="e">
            <v>#REF!</v>
          </cell>
          <cell r="B97" t="str">
            <v>BALANCE PIPE</v>
          </cell>
          <cell r="C97" t="str">
            <v>Ø27.2</v>
          </cell>
          <cell r="D97" t="str">
            <v>本</v>
          </cell>
          <cell r="E97">
            <v>1</v>
          </cell>
          <cell r="F97" t="str">
            <v xml:space="preserve">1本 = 6M </v>
          </cell>
        </row>
        <row r="98">
          <cell r="A98" t="e">
            <v>#REF!</v>
          </cell>
          <cell r="B98" t="str">
            <v>SCREEN</v>
          </cell>
          <cell r="C98" t="str">
            <v>ULTRA MATE</v>
          </cell>
          <cell r="D98" t="str">
            <v>M2</v>
          </cell>
          <cell r="E98">
            <v>15</v>
          </cell>
          <cell r="F98" t="str">
            <v>4M x (3M+0.8(가공여유)) = 15.2M2 약 15M2</v>
          </cell>
        </row>
        <row r="99">
          <cell r="A99" t="e">
            <v>#REF!</v>
          </cell>
          <cell r="B99" t="str">
            <v>SCREEN BOX A'SSY</v>
          </cell>
          <cell r="C99" t="str">
            <v xml:space="preserve"> </v>
          </cell>
          <cell r="D99" t="str">
            <v>SET</v>
          </cell>
          <cell r="E99">
            <v>1</v>
          </cell>
          <cell r="F99" t="str">
            <v xml:space="preserve"> </v>
          </cell>
        </row>
        <row r="100">
          <cell r="A100" t="e">
            <v>#REF!</v>
          </cell>
          <cell r="B100" t="str">
            <v>도 장 비</v>
          </cell>
          <cell r="C100" t="str">
            <v>각 2회</v>
          </cell>
          <cell r="D100" t="str">
            <v>M2</v>
          </cell>
          <cell r="E100">
            <v>5</v>
          </cell>
          <cell r="F100" t="str">
            <v>BOX(2)+BUSHING.DIE(0.8x2)+PIPE(0.66)+Ø27.2(0.34)= 4.6M2 약 5M2</v>
          </cell>
        </row>
        <row r="101">
          <cell r="A101" t="e">
            <v>#REF!</v>
          </cell>
          <cell r="B101" t="str">
            <v xml:space="preserve"> </v>
          </cell>
          <cell r="C101" t="str">
            <v xml:space="preserve"> </v>
          </cell>
          <cell r="D101" t="str">
            <v xml:space="preserve"> </v>
          </cell>
          <cell r="E101" t="str">
            <v xml:space="preserve"> </v>
          </cell>
          <cell r="F101" t="str">
            <v xml:space="preserve"> </v>
          </cell>
        </row>
        <row r="102">
          <cell r="A102" t="e">
            <v>#REF!</v>
          </cell>
          <cell r="B102" t="str">
            <v xml:space="preserve"> </v>
          </cell>
          <cell r="C102" t="str">
            <v xml:space="preserve"> </v>
          </cell>
          <cell r="D102" t="str">
            <v xml:space="preserve"> </v>
          </cell>
          <cell r="E102" t="str">
            <v xml:space="preserve"> </v>
          </cell>
          <cell r="F102" t="str">
            <v xml:space="preserve"> </v>
          </cell>
        </row>
        <row r="103">
          <cell r="A103" t="e">
            <v>#REF!</v>
          </cell>
        </row>
        <row r="104">
          <cell r="A104" t="e">
            <v>#REF!</v>
          </cell>
        </row>
        <row r="105">
          <cell r="A105" t="e">
            <v>#REF!</v>
          </cell>
        </row>
        <row r="106">
          <cell r="A106" t="e">
            <v>#REF!</v>
          </cell>
        </row>
        <row r="107">
          <cell r="A107" t="e">
            <v>#REF!</v>
          </cell>
        </row>
        <row r="108">
          <cell r="A108" t="e">
            <v>#REF!</v>
          </cell>
        </row>
        <row r="109">
          <cell r="A109" t="e">
            <v>#REF!</v>
          </cell>
        </row>
        <row r="110">
          <cell r="A110" t="e">
            <v>#REF!</v>
          </cell>
        </row>
        <row r="111">
          <cell r="A111" t="e">
            <v>#REF!</v>
          </cell>
        </row>
        <row r="112">
          <cell r="A112" t="e">
            <v>#REF!</v>
          </cell>
        </row>
        <row r="113">
          <cell r="A113" t="e">
            <v>#REF!</v>
          </cell>
          <cell r="B113" t="str">
            <v xml:space="preserve">공사명 : ROLL FLAG  (2,100L x 3,000H)   </v>
          </cell>
          <cell r="G113" t="str">
            <v xml:space="preserve"> </v>
          </cell>
          <cell r="H113" t="str">
            <v>NO.1-04-00</v>
          </cell>
        </row>
        <row r="114">
          <cell r="A114" t="e">
            <v>#REF!</v>
          </cell>
          <cell r="B114" t="str">
            <v>원추형 MOTOR</v>
          </cell>
          <cell r="C114" t="str">
            <v>100W</v>
          </cell>
          <cell r="D114" t="str">
            <v>SET</v>
          </cell>
          <cell r="E114">
            <v>1</v>
          </cell>
          <cell r="F114" t="str">
            <v xml:space="preserve"> </v>
          </cell>
        </row>
        <row r="115">
          <cell r="A115" t="e">
            <v>#REF!</v>
          </cell>
          <cell r="B115" t="str">
            <v>LIMIT SWITCH BOX</v>
          </cell>
          <cell r="C115" t="str">
            <v xml:space="preserve"> </v>
          </cell>
          <cell r="D115" t="str">
            <v>SET</v>
          </cell>
          <cell r="E115">
            <v>1</v>
          </cell>
          <cell r="F115" t="str">
            <v xml:space="preserve"> </v>
          </cell>
        </row>
        <row r="116">
          <cell r="A116" t="e">
            <v>#REF!</v>
          </cell>
          <cell r="B116" t="str">
            <v>BUSHING</v>
          </cell>
          <cell r="C116" t="str">
            <v xml:space="preserve"> </v>
          </cell>
          <cell r="D116" t="str">
            <v>EA</v>
          </cell>
          <cell r="E116">
            <v>2</v>
          </cell>
          <cell r="F116" t="str">
            <v xml:space="preserve">ROLL SCREEN 2곳 </v>
          </cell>
        </row>
        <row r="117">
          <cell r="A117" t="e">
            <v>#REF!</v>
          </cell>
          <cell r="B117" t="str">
            <v>BEARING DIE</v>
          </cell>
          <cell r="C117" t="str">
            <v xml:space="preserve"> </v>
          </cell>
          <cell r="D117" t="str">
            <v>EA</v>
          </cell>
          <cell r="E117">
            <v>2</v>
          </cell>
          <cell r="F117" t="str">
            <v xml:space="preserve"> </v>
          </cell>
        </row>
        <row r="118">
          <cell r="A118" t="e">
            <v>#REF!</v>
          </cell>
          <cell r="B118" t="str">
            <v>주물PIPE</v>
          </cell>
          <cell r="C118" t="str">
            <v>Ø53</v>
          </cell>
          <cell r="D118" t="str">
            <v>M</v>
          </cell>
          <cell r="E118">
            <v>2.1</v>
          </cell>
          <cell r="F118" t="str">
            <v xml:space="preserve"> </v>
          </cell>
        </row>
        <row r="119">
          <cell r="A119" t="e">
            <v>#REF!</v>
          </cell>
          <cell r="B119" t="str">
            <v>BALANCE PIPE</v>
          </cell>
          <cell r="C119" t="str">
            <v>Ø27.2</v>
          </cell>
          <cell r="D119" t="str">
            <v>M</v>
          </cell>
          <cell r="E119">
            <v>2.1</v>
          </cell>
          <cell r="F119" t="str">
            <v xml:space="preserve"> </v>
          </cell>
        </row>
        <row r="120">
          <cell r="A120" t="e">
            <v>#REF!</v>
          </cell>
          <cell r="B120" t="str">
            <v>FLAG</v>
          </cell>
          <cell r="C120" t="str">
            <v>ULTRA-MATE</v>
          </cell>
          <cell r="D120" t="str">
            <v>M2</v>
          </cell>
          <cell r="E120">
            <v>6</v>
          </cell>
          <cell r="F120" t="str">
            <v>2.1M x (3M+0.8(가공여유)) = 5.9M2 약 6M2</v>
          </cell>
        </row>
        <row r="121">
          <cell r="A121" t="e">
            <v>#REF!</v>
          </cell>
          <cell r="B121" t="str">
            <v>씰크 인쇄</v>
          </cell>
          <cell r="C121" t="str">
            <v xml:space="preserve"> </v>
          </cell>
          <cell r="D121" t="str">
            <v>SET</v>
          </cell>
          <cell r="E121">
            <v>1</v>
          </cell>
          <cell r="F121" t="str">
            <v xml:space="preserve"> </v>
          </cell>
        </row>
        <row r="122">
          <cell r="A122" t="e">
            <v>#REF!</v>
          </cell>
          <cell r="B122" t="str">
            <v>FLAG BOX A'SSY</v>
          </cell>
          <cell r="C122" t="str">
            <v xml:space="preserve"> </v>
          </cell>
          <cell r="D122" t="str">
            <v>SET</v>
          </cell>
          <cell r="E122">
            <v>1</v>
          </cell>
          <cell r="F122" t="str">
            <v xml:space="preserve"> </v>
          </cell>
        </row>
        <row r="123">
          <cell r="A123" t="e">
            <v>#REF!</v>
          </cell>
          <cell r="B123" t="str">
            <v>도 장 비</v>
          </cell>
          <cell r="C123" t="str">
            <v>각 2회</v>
          </cell>
          <cell r="D123" t="str">
            <v>M2</v>
          </cell>
          <cell r="E123">
            <v>4</v>
          </cell>
          <cell r="F123" t="str">
            <v>BOX(2)+BUSHING.DIE(0.8x2)+PIPE(0.34)+Ø27.2(0.17)= 4.11M2 약 4M2</v>
          </cell>
        </row>
        <row r="124">
          <cell r="A124" t="e">
            <v>#REF!</v>
          </cell>
          <cell r="F124" t="str">
            <v xml:space="preserve"> </v>
          </cell>
          <cell r="G124" t="str">
            <v xml:space="preserve"> </v>
          </cell>
        </row>
        <row r="125">
          <cell r="A125" t="e">
            <v>#REF!</v>
          </cell>
        </row>
        <row r="126">
          <cell r="A126" t="e">
            <v>#REF!</v>
          </cell>
        </row>
        <row r="127">
          <cell r="A127" t="e">
            <v>#REF!</v>
          </cell>
        </row>
        <row r="128">
          <cell r="A128" t="e">
            <v>#REF!</v>
          </cell>
          <cell r="B128" t="str">
            <v xml:space="preserve"> </v>
          </cell>
          <cell r="C128" t="str">
            <v xml:space="preserve"> </v>
          </cell>
          <cell r="D128" t="str">
            <v xml:space="preserve"> </v>
          </cell>
          <cell r="E128" t="str">
            <v xml:space="preserve"> </v>
          </cell>
        </row>
        <row r="129">
          <cell r="A129" t="e">
            <v>#REF!</v>
          </cell>
        </row>
        <row r="130">
          <cell r="A130" t="e">
            <v>#REF!</v>
          </cell>
        </row>
        <row r="131">
          <cell r="A131" t="e">
            <v>#REF!</v>
          </cell>
        </row>
        <row r="132">
          <cell r="A132" t="e">
            <v>#REF!</v>
          </cell>
          <cell r="B132" t="str">
            <v xml:space="preserve"> </v>
          </cell>
          <cell r="C132" t="str">
            <v xml:space="preserve"> </v>
          </cell>
          <cell r="D132" t="str">
            <v xml:space="preserve"> </v>
          </cell>
          <cell r="E132" t="str">
            <v xml:space="preserve"> </v>
          </cell>
        </row>
        <row r="133">
          <cell r="A133" t="e">
            <v>#REF!</v>
          </cell>
        </row>
        <row r="135">
          <cell r="B135" t="str">
            <v>공사명: COVER CURTAIN (8,800L x 3,500H)</v>
          </cell>
          <cell r="H135" t="str">
            <v>NO.1-05-00</v>
          </cell>
        </row>
        <row r="136">
          <cell r="B136" t="str">
            <v>소형MOTOR</v>
          </cell>
          <cell r="C136" t="str">
            <v>40W</v>
          </cell>
          <cell r="D136" t="str">
            <v>SET</v>
          </cell>
          <cell r="E136">
            <v>1</v>
          </cell>
          <cell r="F136" t="str">
            <v xml:space="preserve"> </v>
          </cell>
        </row>
        <row r="137">
          <cell r="A137" t="e">
            <v>#REF!</v>
          </cell>
          <cell r="B137" t="str">
            <v>MOTOR BRACKET</v>
          </cell>
          <cell r="D137" t="str">
            <v>SET</v>
          </cell>
          <cell r="E137">
            <v>1</v>
          </cell>
        </row>
        <row r="138">
          <cell r="A138" t="e">
            <v>#REF!</v>
          </cell>
          <cell r="B138" t="str">
            <v>REDUCER</v>
          </cell>
          <cell r="C138" t="str">
            <v>15:1</v>
          </cell>
          <cell r="D138" t="str">
            <v>SET</v>
          </cell>
          <cell r="E138">
            <v>1</v>
          </cell>
        </row>
        <row r="139">
          <cell r="A139" t="e">
            <v>#REF!</v>
          </cell>
          <cell r="B139" t="str">
            <v>S.Q PIPE</v>
          </cell>
          <cell r="C139" t="str">
            <v>ㅁ-50 x 50 x 2.3t</v>
          </cell>
          <cell r="D139" t="str">
            <v>本</v>
          </cell>
          <cell r="E139">
            <v>2</v>
          </cell>
          <cell r="F139" t="str">
            <v>8.8/6M=1.46 약 2本</v>
          </cell>
        </row>
        <row r="140">
          <cell r="A140" t="e">
            <v>#REF!</v>
          </cell>
          <cell r="B140" t="str">
            <v>AL RAIL</v>
          </cell>
          <cell r="C140" t="str">
            <v>주문 제작</v>
          </cell>
          <cell r="D140" t="str">
            <v>M</v>
          </cell>
          <cell r="E140">
            <v>9</v>
          </cell>
          <cell r="F140" t="str">
            <v>8.8M 약 9M</v>
          </cell>
        </row>
        <row r="141">
          <cell r="A141" t="e">
            <v>#REF!</v>
          </cell>
          <cell r="B141" t="str">
            <v>DRIVE PULLEY</v>
          </cell>
          <cell r="C141" t="str">
            <v>Ø60</v>
          </cell>
          <cell r="D141" t="str">
            <v>EA</v>
          </cell>
          <cell r="E141">
            <v>1</v>
          </cell>
        </row>
        <row r="142">
          <cell r="A142" t="e">
            <v>#REF!</v>
          </cell>
          <cell r="B142" t="str">
            <v>ADJUST BRACKET</v>
          </cell>
          <cell r="D142" t="str">
            <v>EA</v>
          </cell>
          <cell r="E142">
            <v>1</v>
          </cell>
        </row>
        <row r="143">
          <cell r="A143" t="e">
            <v>#REF!</v>
          </cell>
          <cell r="B143" t="str">
            <v>MASTER CARRIER</v>
          </cell>
          <cell r="C143" t="str">
            <v>주문 제작</v>
          </cell>
          <cell r="D143" t="str">
            <v>EA</v>
          </cell>
          <cell r="E143">
            <v>2</v>
          </cell>
          <cell r="F143" t="str">
            <v>좌,우 최선단에</v>
          </cell>
        </row>
        <row r="144">
          <cell r="A144" t="e">
            <v>#REF!</v>
          </cell>
          <cell r="B144" t="str">
            <v>SINGLE CARRIER</v>
          </cell>
          <cell r="C144" t="str">
            <v>주문 제작</v>
          </cell>
          <cell r="D144" t="str">
            <v>EA</v>
          </cell>
          <cell r="E144">
            <v>44</v>
          </cell>
          <cell r="F144" t="str">
            <v>(8.8/0.2)x2=44EA 약 44EA</v>
          </cell>
        </row>
        <row r="145">
          <cell r="A145" t="e">
            <v>#REF!</v>
          </cell>
          <cell r="B145" t="str">
            <v>ROPE</v>
          </cell>
          <cell r="C145" t="str">
            <v>SUSØ1.6</v>
          </cell>
          <cell r="D145" t="str">
            <v>M</v>
          </cell>
          <cell r="E145">
            <v>18</v>
          </cell>
          <cell r="F145" t="str">
            <v>8.8x2=17.6M 약 18M</v>
          </cell>
        </row>
        <row r="146">
          <cell r="A146" t="e">
            <v>#REF!</v>
          </cell>
          <cell r="B146" t="str">
            <v>LIMIT SWITCH</v>
          </cell>
          <cell r="D146" t="str">
            <v>EA</v>
          </cell>
          <cell r="E146">
            <v>1</v>
          </cell>
        </row>
        <row r="147">
          <cell r="A147" t="e">
            <v>#REF!</v>
          </cell>
          <cell r="B147" t="str">
            <v>LIMIT SWITCH</v>
          </cell>
          <cell r="D147" t="str">
            <v>EA</v>
          </cell>
          <cell r="E147">
            <v>1</v>
          </cell>
        </row>
        <row r="148">
          <cell r="A148" t="e">
            <v>#REF!</v>
          </cell>
          <cell r="B148" t="str">
            <v>CURTAIN</v>
          </cell>
          <cell r="C148" t="str">
            <v>(암막지 선방염)</v>
          </cell>
          <cell r="D148" t="str">
            <v>M2</v>
          </cell>
          <cell r="E148">
            <v>117</v>
          </cell>
          <cell r="F148" t="str">
            <v>(8.8x할증350%)=30.8, 3.5+가공여유(0.3)=3.8, 30.8x3.8=117.04M2 약 117M2</v>
          </cell>
          <cell r="G148">
            <v>3.5</v>
          </cell>
        </row>
        <row r="149">
          <cell r="A149" t="e">
            <v>#REF!</v>
          </cell>
          <cell r="B149" t="str">
            <v>도장비</v>
          </cell>
          <cell r="D149" t="str">
            <v>M2</v>
          </cell>
          <cell r="E149">
            <v>2</v>
          </cell>
          <cell r="F149" t="str">
            <v>PIPE(1.76)=약 2M2</v>
          </cell>
        </row>
        <row r="150">
          <cell r="A150" t="e">
            <v>#REF!</v>
          </cell>
        </row>
        <row r="151">
          <cell r="A151" t="e">
            <v>#REF!</v>
          </cell>
          <cell r="E151" t="str">
            <v xml:space="preserve"> </v>
          </cell>
        </row>
        <row r="152">
          <cell r="A152" t="e">
            <v>#REF!</v>
          </cell>
        </row>
        <row r="153">
          <cell r="F153" t="str">
            <v xml:space="preserve"> </v>
          </cell>
        </row>
        <row r="154">
          <cell r="A154" t="e">
            <v>#REF!</v>
          </cell>
        </row>
        <row r="155">
          <cell r="A155" t="e">
            <v>#REF!</v>
          </cell>
        </row>
        <row r="156">
          <cell r="A156" t="e">
            <v>#REF!</v>
          </cell>
        </row>
        <row r="157">
          <cell r="B157" t="str">
            <v>공사명:WINDOW DARKEN CURTAIN(4,050L x 3,500H)</v>
          </cell>
          <cell r="H157" t="str">
            <v>NO.1-06-00</v>
          </cell>
        </row>
        <row r="158">
          <cell r="B158" t="str">
            <v>소형 MOTOR</v>
          </cell>
          <cell r="C158" t="str">
            <v>25W</v>
          </cell>
          <cell r="D158" t="str">
            <v>SET</v>
          </cell>
          <cell r="E158">
            <v>1</v>
          </cell>
          <cell r="F158" t="str">
            <v xml:space="preserve"> </v>
          </cell>
        </row>
        <row r="159">
          <cell r="A159" t="e">
            <v>#REF!</v>
          </cell>
          <cell r="B159" t="str">
            <v>MOTOR BRACKET</v>
          </cell>
          <cell r="D159" t="str">
            <v>SET</v>
          </cell>
          <cell r="E159">
            <v>1</v>
          </cell>
        </row>
        <row r="160">
          <cell r="A160" t="e">
            <v>#REF!</v>
          </cell>
          <cell r="B160" t="str">
            <v>REDUCER</v>
          </cell>
          <cell r="C160" t="str">
            <v>15:1</v>
          </cell>
          <cell r="D160" t="str">
            <v>SET</v>
          </cell>
          <cell r="E160">
            <v>1</v>
          </cell>
        </row>
        <row r="161">
          <cell r="A161" t="e">
            <v>#REF!</v>
          </cell>
          <cell r="B161" t="str">
            <v>S.Q PIPE</v>
          </cell>
          <cell r="C161" t="str">
            <v>ㅁ-50 x 50 x 2.3t</v>
          </cell>
          <cell r="D161" t="str">
            <v>本</v>
          </cell>
          <cell r="E161">
            <v>2</v>
          </cell>
          <cell r="F161" t="str">
            <v>4.05/6M=0.675M 약 1本</v>
          </cell>
        </row>
        <row r="162">
          <cell r="A162" t="e">
            <v>#REF!</v>
          </cell>
          <cell r="B162" t="str">
            <v>AL RAIL</v>
          </cell>
          <cell r="C162" t="str">
            <v>주문 제작</v>
          </cell>
          <cell r="D162" t="str">
            <v>M</v>
          </cell>
          <cell r="E162">
            <v>4</v>
          </cell>
          <cell r="F162" t="str">
            <v>4.05M 약 4M</v>
          </cell>
        </row>
        <row r="163">
          <cell r="A163" t="e">
            <v>#REF!</v>
          </cell>
          <cell r="B163" t="str">
            <v>DRIVE PULLEY</v>
          </cell>
          <cell r="C163" t="str">
            <v>Ø60</v>
          </cell>
          <cell r="D163" t="str">
            <v>EA</v>
          </cell>
          <cell r="E163">
            <v>1</v>
          </cell>
        </row>
        <row r="164">
          <cell r="A164" t="e">
            <v>#REF!</v>
          </cell>
          <cell r="B164" t="str">
            <v>ADJUST BRACKET</v>
          </cell>
          <cell r="D164" t="str">
            <v>EA</v>
          </cell>
          <cell r="E164">
            <v>1</v>
          </cell>
        </row>
        <row r="165">
          <cell r="A165" t="e">
            <v>#REF!</v>
          </cell>
          <cell r="B165" t="str">
            <v>MASTER CARRIER</v>
          </cell>
          <cell r="C165" t="str">
            <v>주문 제작</v>
          </cell>
          <cell r="D165" t="str">
            <v>EA</v>
          </cell>
          <cell r="E165">
            <v>2</v>
          </cell>
          <cell r="F165" t="str">
            <v>좌,우 최선단에</v>
          </cell>
        </row>
        <row r="166">
          <cell r="A166" t="e">
            <v>#REF!</v>
          </cell>
          <cell r="B166" t="str">
            <v>SINGLE CARRIER</v>
          </cell>
          <cell r="C166" t="str">
            <v>주문 제작</v>
          </cell>
          <cell r="D166" t="str">
            <v>EA</v>
          </cell>
          <cell r="E166">
            <v>20</v>
          </cell>
          <cell r="F166" t="str">
            <v>(4.05/0.2)x2=20.25EA 약 20EA</v>
          </cell>
        </row>
        <row r="167">
          <cell r="A167" t="e">
            <v>#REF!</v>
          </cell>
          <cell r="B167" t="str">
            <v>ROPE</v>
          </cell>
          <cell r="C167" t="str">
            <v>SUSØ1.6</v>
          </cell>
          <cell r="D167" t="str">
            <v>M</v>
          </cell>
          <cell r="E167">
            <v>8</v>
          </cell>
          <cell r="F167" t="str">
            <v>4.05x2=8.1M 약 8M</v>
          </cell>
        </row>
        <row r="168">
          <cell r="A168" t="e">
            <v>#REF!</v>
          </cell>
          <cell r="B168" t="str">
            <v>LIMIT SWITCH</v>
          </cell>
          <cell r="D168" t="str">
            <v>EA</v>
          </cell>
          <cell r="E168">
            <v>1</v>
          </cell>
        </row>
        <row r="169">
          <cell r="A169" t="e">
            <v>#REF!</v>
          </cell>
          <cell r="B169" t="str">
            <v>CURTAIN</v>
          </cell>
          <cell r="C169" t="str">
            <v>(암막지 선방염)</v>
          </cell>
          <cell r="D169" t="str">
            <v>M2</v>
          </cell>
          <cell r="E169">
            <v>54</v>
          </cell>
          <cell r="F169" t="str">
            <v>(4.05x할증350%)=14.175, 3.5+가공여유(0.3)=3.8, 14.175x3.8=53.865 약 54M2</v>
          </cell>
          <cell r="G169">
            <v>3.5</v>
          </cell>
        </row>
        <row r="170">
          <cell r="A170" t="e">
            <v>#REF!</v>
          </cell>
          <cell r="B170" t="str">
            <v>도장비</v>
          </cell>
          <cell r="D170" t="str">
            <v>M2</v>
          </cell>
          <cell r="E170">
            <v>1</v>
          </cell>
          <cell r="F170" t="str">
            <v>PIPE(0.8)=약 1M2</v>
          </cell>
        </row>
        <row r="171">
          <cell r="A171" t="e">
            <v>#REF!</v>
          </cell>
        </row>
        <row r="172">
          <cell r="A172" t="e">
            <v>#REF!</v>
          </cell>
          <cell r="E172" t="str">
            <v xml:space="preserve"> </v>
          </cell>
        </row>
        <row r="173">
          <cell r="A173" t="e">
            <v>#REF!</v>
          </cell>
        </row>
        <row r="174">
          <cell r="A174" t="e">
            <v>#REF!</v>
          </cell>
        </row>
        <row r="175">
          <cell r="A175" t="e">
            <v>#REF!</v>
          </cell>
        </row>
        <row r="176">
          <cell r="A176" t="e">
            <v>#REF!</v>
          </cell>
          <cell r="F176" t="str">
            <v xml:space="preserve"> </v>
          </cell>
        </row>
        <row r="177">
          <cell r="A177" t="e">
            <v>#REF!</v>
          </cell>
        </row>
        <row r="178">
          <cell r="A178" t="e">
            <v>#REF!</v>
          </cell>
        </row>
        <row r="179">
          <cell r="A179" t="e">
            <v>#REF!</v>
          </cell>
          <cell r="B179" t="str">
            <v>공사명:DOOR DARKEN CURTAIN(4,050L x 3,500H)</v>
          </cell>
          <cell r="H179" t="str">
            <v>NO.1-07-00</v>
          </cell>
        </row>
        <row r="180">
          <cell r="A180" t="e">
            <v>#REF!</v>
          </cell>
          <cell r="B180" t="str">
            <v>S.Q PIPE</v>
          </cell>
          <cell r="C180" t="str">
            <v>ㅁ-50 x 50 x 2.3t</v>
          </cell>
          <cell r="D180" t="str">
            <v>本</v>
          </cell>
          <cell r="E180">
            <v>1</v>
          </cell>
          <cell r="F180" t="str">
            <v>4.05/6M=0.675M 약 1本</v>
          </cell>
        </row>
        <row r="181">
          <cell r="A181" t="e">
            <v>#REF!</v>
          </cell>
          <cell r="B181" t="str">
            <v>AL RAIL</v>
          </cell>
          <cell r="C181" t="str">
            <v>주문 제작</v>
          </cell>
          <cell r="D181" t="str">
            <v>M</v>
          </cell>
          <cell r="E181">
            <v>4</v>
          </cell>
          <cell r="F181" t="str">
            <v>4.05M 약 4M</v>
          </cell>
        </row>
        <row r="182">
          <cell r="A182" t="e">
            <v>#REF!</v>
          </cell>
          <cell r="B182" t="str">
            <v>MASTER CARRIER</v>
          </cell>
          <cell r="C182" t="str">
            <v>주문 제작</v>
          </cell>
          <cell r="D182" t="str">
            <v>EA</v>
          </cell>
          <cell r="E182">
            <v>2</v>
          </cell>
          <cell r="F182" t="str">
            <v>좌,우 최선단에</v>
          </cell>
        </row>
        <row r="183">
          <cell r="A183" t="e">
            <v>#REF!</v>
          </cell>
          <cell r="B183" t="str">
            <v>SINGLE CARRIER</v>
          </cell>
          <cell r="C183" t="str">
            <v>주문 제작</v>
          </cell>
          <cell r="D183" t="str">
            <v>EA</v>
          </cell>
          <cell r="E183">
            <v>20</v>
          </cell>
          <cell r="F183" t="str">
            <v>(4.05/0.2)x2=20.25EA 약 20EA</v>
          </cell>
        </row>
        <row r="184">
          <cell r="A184" t="e">
            <v>#REF!</v>
          </cell>
          <cell r="B184" t="str">
            <v>CURTAIN</v>
          </cell>
          <cell r="C184" t="str">
            <v>(암막지 선방염)</v>
          </cell>
          <cell r="D184" t="str">
            <v>M2</v>
          </cell>
          <cell r="E184">
            <v>54</v>
          </cell>
          <cell r="F184" t="str">
            <v>(4.05x할증350%)=14.175, 3.5+가공여유(0.3)=3.8, 14.175x3.8=53.865 약 54M2</v>
          </cell>
          <cell r="G184">
            <v>3.5</v>
          </cell>
        </row>
        <row r="185">
          <cell r="A185" t="e">
            <v>#REF!</v>
          </cell>
          <cell r="B185" t="str">
            <v>도장비</v>
          </cell>
          <cell r="D185" t="str">
            <v>M2</v>
          </cell>
          <cell r="E185">
            <v>1</v>
          </cell>
          <cell r="F185" t="str">
            <v>PIPE(0.8)=약 1M2</v>
          </cell>
        </row>
        <row r="186">
          <cell r="A186" t="e">
            <v>#REF!</v>
          </cell>
        </row>
        <row r="187">
          <cell r="A187" t="e">
            <v>#REF!</v>
          </cell>
          <cell r="E187" t="str">
            <v xml:space="preserve"> </v>
          </cell>
        </row>
        <row r="191">
          <cell r="F191" t="str">
            <v xml:space="preserve"> </v>
          </cell>
        </row>
        <row r="193">
          <cell r="A193" t="e">
            <v>#REF!</v>
          </cell>
        </row>
        <row r="194">
          <cell r="A194" t="e">
            <v>#REF!</v>
          </cell>
        </row>
        <row r="195">
          <cell r="A195" t="e">
            <v>#REF!</v>
          </cell>
        </row>
        <row r="196">
          <cell r="A196" t="e">
            <v>#REF!</v>
          </cell>
        </row>
        <row r="198">
          <cell r="A198" t="e">
            <v>#REF!</v>
          </cell>
        </row>
        <row r="199">
          <cell r="A199" t="e">
            <v>#REF!</v>
          </cell>
        </row>
        <row r="200">
          <cell r="A200" t="e">
            <v>#REF!</v>
          </cell>
          <cell r="F200" t="str">
            <v>293KG=0.293TON</v>
          </cell>
        </row>
        <row r="201">
          <cell r="A201" t="e">
            <v>#REF!</v>
          </cell>
          <cell r="B201" t="str">
            <v>공사명:GRID IRON(8,600L x 900D)</v>
          </cell>
          <cell r="H201" t="str">
            <v>NO.1-08-00</v>
          </cell>
        </row>
        <row r="202">
          <cell r="A202" t="e">
            <v>#REF!</v>
          </cell>
          <cell r="B202" t="str">
            <v>CHANNEL</v>
          </cell>
          <cell r="C202" t="str">
            <v xml:space="preserve">[-100 x 50 x 5t </v>
          </cell>
          <cell r="D202" t="str">
            <v>KG</v>
          </cell>
          <cell r="E202">
            <v>275</v>
          </cell>
          <cell r="F202" t="str">
            <v>(8.6x2)+(0.9x12)=28M+(할증5%)=29.4M</v>
          </cell>
          <cell r="G202">
            <v>0.05</v>
          </cell>
        </row>
        <row r="203">
          <cell r="A203" t="e">
            <v>#REF!</v>
          </cell>
          <cell r="B203" t="str">
            <v xml:space="preserve"> </v>
          </cell>
          <cell r="C203" t="str">
            <v xml:space="preserve"> </v>
          </cell>
          <cell r="D203" t="str">
            <v xml:space="preserve"> </v>
          </cell>
          <cell r="E203" t="str">
            <v xml:space="preserve"> </v>
          </cell>
          <cell r="F203" t="str">
            <v>=29.4x9.36KG/M= 275.18KG 약 275KG</v>
          </cell>
        </row>
        <row r="204">
          <cell r="A204" t="e">
            <v>#REF!</v>
          </cell>
          <cell r="B204" t="str">
            <v>ROUND BAR</v>
          </cell>
          <cell r="C204" t="str">
            <v>Ø19</v>
          </cell>
          <cell r="D204" t="str">
            <v>KG</v>
          </cell>
          <cell r="E204">
            <v>18</v>
          </cell>
          <cell r="F204" t="str">
            <v xml:space="preserve">HANGER POINT 8곳,8x1M=8x2.23KG = 17.84KG </v>
          </cell>
        </row>
        <row r="205">
          <cell r="A205" t="e">
            <v>#REF!</v>
          </cell>
          <cell r="B205" t="str">
            <v>TURNBUCKLE</v>
          </cell>
          <cell r="C205" t="str">
            <v>W5/8" x 300</v>
          </cell>
          <cell r="D205" t="str">
            <v>EA</v>
          </cell>
          <cell r="E205">
            <v>8</v>
          </cell>
          <cell r="F205" t="str">
            <v>HANGER POINT</v>
          </cell>
        </row>
        <row r="206">
          <cell r="A206" t="e">
            <v>#REF!</v>
          </cell>
          <cell r="B206" t="str">
            <v>SHACKLE</v>
          </cell>
          <cell r="C206" t="str">
            <v xml:space="preserve">W5/8" </v>
          </cell>
          <cell r="D206" t="str">
            <v>EA</v>
          </cell>
          <cell r="E206">
            <v>16</v>
          </cell>
          <cell r="F206" t="str">
            <v>1PONT당 2EA씩이므로 8x2 = 16EA</v>
          </cell>
        </row>
        <row r="207">
          <cell r="A207" t="e">
            <v>#REF!</v>
          </cell>
          <cell r="B207" t="str">
            <v>HANGER BRACKET</v>
          </cell>
          <cell r="D207" t="str">
            <v>EA</v>
          </cell>
          <cell r="E207">
            <v>8</v>
          </cell>
          <cell r="F207" t="str">
            <v>천정부분 HANGER POINT</v>
          </cell>
        </row>
        <row r="208">
          <cell r="A208" t="e">
            <v>#REF!</v>
          </cell>
          <cell r="B208" t="str">
            <v>HANGER PLATE</v>
          </cell>
          <cell r="C208" t="str">
            <v>PL 9tx200x75</v>
          </cell>
          <cell r="D208" t="str">
            <v>EA</v>
          </cell>
          <cell r="E208">
            <v>8</v>
          </cell>
          <cell r="F208" t="str">
            <v>GRID 부분 HANGER POINT</v>
          </cell>
        </row>
        <row r="209">
          <cell r="A209" t="e">
            <v>#REF!</v>
          </cell>
          <cell r="B209" t="str">
            <v>도 장 비</v>
          </cell>
          <cell r="C209" t="str">
            <v>각 2회</v>
          </cell>
          <cell r="D209" t="str">
            <v>M2</v>
          </cell>
          <cell r="E209">
            <v>21</v>
          </cell>
          <cell r="F209" t="str">
            <v>CH-100(29x0.6)+ROUND BAR(8x0.1)++T'ASSY(8x0.3)=20.6 약 21M2</v>
          </cell>
        </row>
        <row r="210">
          <cell r="A210" t="e">
            <v>#REF!</v>
          </cell>
          <cell r="B210" t="str">
            <v xml:space="preserve"> </v>
          </cell>
          <cell r="C210" t="str">
            <v xml:space="preserve"> </v>
          </cell>
          <cell r="D210" t="str">
            <v xml:space="preserve"> </v>
          </cell>
          <cell r="E210" t="str">
            <v xml:space="preserve"> </v>
          </cell>
        </row>
        <row r="211">
          <cell r="B211" t="str">
            <v xml:space="preserve"> </v>
          </cell>
          <cell r="C211" t="str">
            <v xml:space="preserve"> </v>
          </cell>
          <cell r="D211" t="str">
            <v xml:space="preserve"> </v>
          </cell>
          <cell r="E211" t="str">
            <v xml:space="preserve"> </v>
          </cell>
        </row>
        <row r="218">
          <cell r="A218" t="e">
            <v>#REF!</v>
          </cell>
        </row>
        <row r="219">
          <cell r="A219" t="e">
            <v>#REF!</v>
          </cell>
        </row>
        <row r="220">
          <cell r="A220" t="e">
            <v>#REF!</v>
          </cell>
        </row>
        <row r="221">
          <cell r="A221" t="e">
            <v>#REF!</v>
          </cell>
        </row>
        <row r="222">
          <cell r="A222" t="e">
            <v>#REF!</v>
          </cell>
        </row>
        <row r="223">
          <cell r="B223" t="str">
            <v>공사명 : CONTROL PANEL</v>
          </cell>
          <cell r="D223" t="str">
            <v xml:space="preserve"> </v>
          </cell>
          <cell r="E223" t="str">
            <v xml:space="preserve"> </v>
          </cell>
          <cell r="F223" t="str">
            <v xml:space="preserve"> </v>
          </cell>
          <cell r="H223" t="str">
            <v>NO.1-09-00</v>
          </cell>
        </row>
        <row r="224">
          <cell r="A224" t="e">
            <v>#REF!</v>
          </cell>
          <cell r="B224" t="str">
            <v>PANEL</v>
          </cell>
          <cell r="C224" t="str">
            <v>800Lx1200Hx250D</v>
          </cell>
          <cell r="D224" t="str">
            <v>SET</v>
          </cell>
          <cell r="E224">
            <v>1</v>
          </cell>
          <cell r="F224" t="str">
            <v xml:space="preserve"> </v>
          </cell>
        </row>
        <row r="225">
          <cell r="B225" t="str">
            <v>MAIN N.F.B</v>
          </cell>
          <cell r="C225" t="str">
            <v>3P 20A</v>
          </cell>
          <cell r="D225" t="str">
            <v>EA</v>
          </cell>
          <cell r="E225">
            <v>1</v>
          </cell>
          <cell r="F225" t="str">
            <v xml:space="preserve"> </v>
          </cell>
        </row>
        <row r="226">
          <cell r="A226" t="e">
            <v>#REF!</v>
          </cell>
          <cell r="B226" t="str">
            <v>N.F.B</v>
          </cell>
          <cell r="C226" t="str">
            <v>3P 30AF/10AT</v>
          </cell>
          <cell r="D226" t="str">
            <v>EA</v>
          </cell>
          <cell r="E226">
            <v>1</v>
          </cell>
          <cell r="F226" t="str">
            <v>1.5KW 1회로 이므로</v>
          </cell>
        </row>
        <row r="227">
          <cell r="A227" t="e">
            <v>#REF!</v>
          </cell>
          <cell r="B227" t="str">
            <v>N.F.B</v>
          </cell>
          <cell r="C227" t="str">
            <v>2P 5A</v>
          </cell>
          <cell r="D227" t="str">
            <v>EA</v>
          </cell>
          <cell r="E227">
            <v>10</v>
          </cell>
          <cell r="F227" t="str">
            <v>25W x 6회로, 40W x 2회로, 100W x 1회로, 190W x 1회로= 10회로이므로</v>
          </cell>
        </row>
        <row r="228">
          <cell r="A228" t="e">
            <v>#REF!</v>
          </cell>
          <cell r="B228" t="str">
            <v xml:space="preserve">N.F.B(MACHINE OP') </v>
          </cell>
          <cell r="C228" t="str">
            <v>2P 5A</v>
          </cell>
          <cell r="D228" t="str">
            <v>EA</v>
          </cell>
          <cell r="E228">
            <v>1</v>
          </cell>
          <cell r="F228" t="str">
            <v xml:space="preserve"> </v>
          </cell>
        </row>
        <row r="229">
          <cell r="B229" t="str">
            <v>MAGNETIC S/W</v>
          </cell>
          <cell r="C229" t="str">
            <v>SMO - 15</v>
          </cell>
          <cell r="D229" t="str">
            <v>EA</v>
          </cell>
          <cell r="E229">
            <v>2</v>
          </cell>
          <cell r="F229" t="str">
            <v>1회로 (1.5KW이하) x 2EA씩 (정.역회전)</v>
          </cell>
        </row>
        <row r="230">
          <cell r="A230" t="e">
            <v>#REF!</v>
          </cell>
          <cell r="B230" t="str">
            <v>전  선</v>
          </cell>
          <cell r="C230" t="str">
            <v>UL #24</v>
          </cell>
          <cell r="D230" t="str">
            <v>M</v>
          </cell>
          <cell r="E230">
            <v>10</v>
          </cell>
          <cell r="F230" t="str">
            <v xml:space="preserve"> </v>
          </cell>
        </row>
        <row r="231">
          <cell r="A231" t="e">
            <v>#REF!</v>
          </cell>
          <cell r="B231" t="str">
            <v>PILOT LAMP</v>
          </cell>
          <cell r="C231" t="str">
            <v xml:space="preserve"> </v>
          </cell>
          <cell r="D231" t="str">
            <v>EA</v>
          </cell>
          <cell r="E231">
            <v>2</v>
          </cell>
          <cell r="F231" t="str">
            <v>POWER용 1EA, OPERATION용 1EA</v>
          </cell>
        </row>
        <row r="232">
          <cell r="B232" t="str">
            <v>T.H</v>
          </cell>
          <cell r="D232" t="str">
            <v>EA</v>
          </cell>
          <cell r="E232">
            <v>1</v>
          </cell>
          <cell r="F232" t="str">
            <v>회로당 1EA씩 x 1회로</v>
          </cell>
        </row>
        <row r="233">
          <cell r="A233" t="e">
            <v>#REF!</v>
          </cell>
          <cell r="B233" t="str">
            <v>POWER RELAY</v>
          </cell>
          <cell r="C233" t="str">
            <v>4a4b</v>
          </cell>
          <cell r="D233" t="str">
            <v>EA</v>
          </cell>
          <cell r="E233">
            <v>20</v>
          </cell>
          <cell r="F233" t="str">
            <v>회로당 2EA씩 x 10회로</v>
          </cell>
        </row>
        <row r="234">
          <cell r="A234" t="e">
            <v>#REF!</v>
          </cell>
          <cell r="B234" t="str">
            <v>RELAY</v>
          </cell>
          <cell r="C234" t="str">
            <v>DC 24V 14PIN</v>
          </cell>
          <cell r="D234" t="str">
            <v>EA</v>
          </cell>
          <cell r="E234">
            <v>2</v>
          </cell>
          <cell r="F234" t="str">
            <v>회로당 2EA씩 x 1회로</v>
          </cell>
        </row>
        <row r="235">
          <cell r="A235" t="e">
            <v>#REF!</v>
          </cell>
          <cell r="B235" t="str">
            <v>RELAY SOCKET</v>
          </cell>
          <cell r="C235" t="str">
            <v>DC 24V 14PIN</v>
          </cell>
          <cell r="D235" t="str">
            <v>EA</v>
          </cell>
          <cell r="E235">
            <v>2</v>
          </cell>
          <cell r="F235" t="str">
            <v>회로당 2EA씩 x 1회로</v>
          </cell>
          <cell r="G235" t="str">
            <v xml:space="preserve"> </v>
          </cell>
        </row>
        <row r="236">
          <cell r="A236" t="e">
            <v>#REF!</v>
          </cell>
          <cell r="B236" t="str">
            <v>FUSE/SOCKET</v>
          </cell>
          <cell r="C236" t="str">
            <v xml:space="preserve"> </v>
          </cell>
          <cell r="D236" t="str">
            <v>EA</v>
          </cell>
          <cell r="E236">
            <v>3</v>
          </cell>
          <cell r="F236" t="str">
            <v>3상 이므로</v>
          </cell>
        </row>
        <row r="237">
          <cell r="A237" t="e">
            <v>#REF!</v>
          </cell>
          <cell r="B237" t="str">
            <v>TRANS</v>
          </cell>
          <cell r="C237" t="str">
            <v>250W 380/220,110,24V</v>
          </cell>
          <cell r="D237" t="str">
            <v>SET</v>
          </cell>
          <cell r="E237">
            <v>1</v>
          </cell>
        </row>
        <row r="238">
          <cell r="A238" t="e">
            <v>#REF!</v>
          </cell>
          <cell r="B238" t="str">
            <v>TERMINAL &amp; BLOCK</v>
          </cell>
          <cell r="C238" t="str">
            <v>20A</v>
          </cell>
          <cell r="D238" t="str">
            <v>EA</v>
          </cell>
          <cell r="E238">
            <v>44</v>
          </cell>
          <cell r="F238" t="str">
            <v>11CIR'x4EA=44EA (POWER)</v>
          </cell>
        </row>
        <row r="239">
          <cell r="A239" t="e">
            <v>#REF!</v>
          </cell>
          <cell r="B239" t="str">
            <v>TERMINAL &amp; BLOCK</v>
          </cell>
          <cell r="C239" t="str">
            <v>10A</v>
          </cell>
          <cell r="D239" t="str">
            <v>EA</v>
          </cell>
          <cell r="E239">
            <v>66</v>
          </cell>
          <cell r="F239" t="str">
            <v>11CIR'x6EA=66EA (OPERATION)</v>
          </cell>
        </row>
        <row r="240">
          <cell r="B240" t="str">
            <v>TERMINAL &amp; TUBE</v>
          </cell>
          <cell r="C240" t="str">
            <v>3.5sq</v>
          </cell>
          <cell r="D240" t="str">
            <v>SET</v>
          </cell>
          <cell r="E240">
            <v>88</v>
          </cell>
          <cell r="F240" t="str">
            <v xml:space="preserve"> </v>
          </cell>
        </row>
        <row r="241">
          <cell r="A241" t="e">
            <v>#REF!</v>
          </cell>
          <cell r="B241" t="str">
            <v>TERMINAL &amp; TUBE</v>
          </cell>
          <cell r="C241" t="str">
            <v>1.25sq</v>
          </cell>
          <cell r="D241" t="str">
            <v>SET</v>
          </cell>
          <cell r="E241">
            <v>132</v>
          </cell>
          <cell r="F241" t="str">
            <v xml:space="preserve"> </v>
          </cell>
        </row>
        <row r="242">
          <cell r="A242" t="e">
            <v>#REF!</v>
          </cell>
          <cell r="B242" t="str">
            <v>전   선</v>
          </cell>
          <cell r="C242" t="str">
            <v>IV 3.5sq</v>
          </cell>
          <cell r="D242" t="str">
            <v>M</v>
          </cell>
          <cell r="E242">
            <v>88</v>
          </cell>
          <cell r="F242" t="str">
            <v>회로당2M x (4가닥 x11회로)=88M</v>
          </cell>
        </row>
        <row r="243">
          <cell r="A243" t="e">
            <v>#REF!</v>
          </cell>
          <cell r="B243" t="str">
            <v>전   선</v>
          </cell>
          <cell r="C243" t="str">
            <v>IV 1.25sq</v>
          </cell>
          <cell r="D243" t="str">
            <v>M</v>
          </cell>
          <cell r="E243">
            <v>88</v>
          </cell>
          <cell r="F243" t="str">
            <v>회로당2M x (4가닥 x11회로)=88M</v>
          </cell>
          <cell r="H243" t="str">
            <v xml:space="preserve"> </v>
          </cell>
        </row>
        <row r="245">
          <cell r="A245" t="e">
            <v>#REF!</v>
          </cell>
          <cell r="B245" t="str">
            <v>공사명: CONTROL BOARD</v>
          </cell>
          <cell r="H245" t="str">
            <v>NO.1-10-00</v>
          </cell>
        </row>
        <row r="246">
          <cell r="A246" t="e">
            <v>#REF!</v>
          </cell>
          <cell r="B246" t="str">
            <v>CONTROL BOARD</v>
          </cell>
          <cell r="C246" t="str">
            <v>325x350x80</v>
          </cell>
          <cell r="D246" t="str">
            <v>SET</v>
          </cell>
          <cell r="E246">
            <v>1</v>
          </cell>
          <cell r="F246" t="str">
            <v>도면 참조</v>
          </cell>
        </row>
        <row r="247">
          <cell r="A247" t="e">
            <v>#REF!</v>
          </cell>
          <cell r="B247" t="str">
            <v>PILOT LAMP</v>
          </cell>
          <cell r="C247" t="str">
            <v>Ø16</v>
          </cell>
          <cell r="D247" t="str">
            <v>EA</v>
          </cell>
          <cell r="E247">
            <v>1</v>
          </cell>
          <cell r="F247" t="str">
            <v>도면 참조</v>
          </cell>
        </row>
        <row r="248">
          <cell r="A248" t="e">
            <v>#REF!</v>
          </cell>
          <cell r="B248" t="str">
            <v>KEY S/W</v>
          </cell>
          <cell r="C248" t="str">
            <v xml:space="preserve"> </v>
          </cell>
          <cell r="D248" t="str">
            <v>EA</v>
          </cell>
          <cell r="E248">
            <v>1</v>
          </cell>
          <cell r="F248" t="str">
            <v>도면 참조</v>
          </cell>
          <cell r="G248" t="str">
            <v xml:space="preserve"> </v>
          </cell>
        </row>
        <row r="249">
          <cell r="A249" t="e">
            <v>#REF!</v>
          </cell>
          <cell r="B249" t="str">
            <v>EMERGENCY S/W</v>
          </cell>
          <cell r="C249" t="str">
            <v>Ø25</v>
          </cell>
          <cell r="D249" t="str">
            <v>EA</v>
          </cell>
          <cell r="E249">
            <v>1</v>
          </cell>
          <cell r="F249" t="str">
            <v>도면 참조</v>
          </cell>
        </row>
        <row r="250">
          <cell r="A250" t="e">
            <v>#REF!</v>
          </cell>
          <cell r="B250" t="str">
            <v>선 택 S/W</v>
          </cell>
          <cell r="C250" t="str">
            <v xml:space="preserve">Ø16 </v>
          </cell>
          <cell r="D250" t="str">
            <v>EA</v>
          </cell>
          <cell r="E250">
            <v>11</v>
          </cell>
          <cell r="F250" t="str">
            <v>도면 참조</v>
          </cell>
        </row>
        <row r="251">
          <cell r="A251" t="e">
            <v>#REF!</v>
          </cell>
          <cell r="B251" t="str">
            <v>PUSH BUTTON S/W</v>
          </cell>
          <cell r="C251" t="str">
            <v xml:space="preserve">Ø16 </v>
          </cell>
          <cell r="D251" t="str">
            <v>EA</v>
          </cell>
          <cell r="E251">
            <v>33</v>
          </cell>
          <cell r="F251" t="str">
            <v>11회로 x 3EA = 33EA</v>
          </cell>
        </row>
        <row r="252">
          <cell r="A252" t="e">
            <v>#REF!</v>
          </cell>
          <cell r="B252" t="str">
            <v>TERMINAL BLOCK</v>
          </cell>
          <cell r="C252" t="str">
            <v>20A</v>
          </cell>
          <cell r="D252" t="str">
            <v>EA</v>
          </cell>
          <cell r="E252">
            <v>33</v>
          </cell>
          <cell r="F252" t="str">
            <v>11회로 x3EA = 33EA</v>
          </cell>
        </row>
        <row r="253">
          <cell r="A253" t="e">
            <v>#REF!</v>
          </cell>
          <cell r="B253" t="str">
            <v xml:space="preserve"> </v>
          </cell>
          <cell r="D253" t="str">
            <v xml:space="preserve"> </v>
          </cell>
          <cell r="E253" t="str">
            <v xml:space="preserve"> </v>
          </cell>
          <cell r="F253" t="str">
            <v xml:space="preserve"> </v>
          </cell>
        </row>
        <row r="254">
          <cell r="A254" t="e">
            <v>#REF!</v>
          </cell>
          <cell r="B254" t="str">
            <v xml:space="preserve"> </v>
          </cell>
          <cell r="D254" t="str">
            <v xml:space="preserve"> </v>
          </cell>
          <cell r="E254" t="str">
            <v xml:space="preserve"> </v>
          </cell>
          <cell r="F254" t="str">
            <v xml:space="preserve"> </v>
          </cell>
        </row>
        <row r="255">
          <cell r="A255" t="e">
            <v>#REF!</v>
          </cell>
        </row>
        <row r="256">
          <cell r="A256" t="e">
            <v>#REF!</v>
          </cell>
        </row>
        <row r="258">
          <cell r="A258" t="e">
            <v>#REF!</v>
          </cell>
        </row>
        <row r="259">
          <cell r="A259" t="e">
            <v>#REF!</v>
          </cell>
        </row>
        <row r="260">
          <cell r="A260" t="e">
            <v>#REF!</v>
          </cell>
        </row>
        <row r="262">
          <cell r="A262" t="e">
            <v>#REF!</v>
          </cell>
          <cell r="G262" t="str">
            <v xml:space="preserve"> </v>
          </cell>
          <cell r="H262" t="str">
            <v xml:space="preserve"> </v>
          </cell>
        </row>
        <row r="263">
          <cell r="A263" t="e">
            <v>#REF!</v>
          </cell>
          <cell r="B263" t="str">
            <v xml:space="preserve"> </v>
          </cell>
          <cell r="C263" t="str">
            <v xml:space="preserve"> </v>
          </cell>
          <cell r="D263" t="str">
            <v xml:space="preserve"> </v>
          </cell>
          <cell r="E263" t="str">
            <v xml:space="preserve"> </v>
          </cell>
          <cell r="F263" t="str">
            <v xml:space="preserve"> </v>
          </cell>
        </row>
        <row r="264">
          <cell r="A264" t="e">
            <v>#REF!</v>
          </cell>
        </row>
        <row r="265">
          <cell r="A265" t="e">
            <v>#REF!</v>
          </cell>
        </row>
        <row r="266">
          <cell r="A266" t="e">
            <v>#REF!</v>
          </cell>
        </row>
        <row r="267">
          <cell r="A267" t="e">
            <v>#REF!</v>
          </cell>
          <cell r="B267" t="str">
            <v>공사명 : MACHINE PART (1.5KW x 4P用: WINCH TYPE)</v>
          </cell>
          <cell r="H267" t="str">
            <v>일위대가-1</v>
          </cell>
        </row>
        <row r="268">
          <cell r="A268" t="e">
            <v>#REF!</v>
          </cell>
          <cell r="B268" t="str">
            <v>MOTOR</v>
          </cell>
          <cell r="C268" t="str">
            <v>1.5KW x 4P</v>
          </cell>
          <cell r="D268" t="str">
            <v>대</v>
          </cell>
          <cell r="E268">
            <v>1</v>
          </cell>
          <cell r="F268" t="str">
            <v xml:space="preserve"> </v>
          </cell>
        </row>
        <row r="269">
          <cell r="A269" t="e">
            <v>#REF!</v>
          </cell>
          <cell r="B269" t="str">
            <v>DISK BRAKE</v>
          </cell>
          <cell r="C269" t="str">
            <v>1.5KW x 4P用</v>
          </cell>
          <cell r="D269" t="str">
            <v>대</v>
          </cell>
          <cell r="E269">
            <v>1</v>
          </cell>
          <cell r="F269" t="str">
            <v xml:space="preserve"> </v>
          </cell>
        </row>
        <row r="270">
          <cell r="A270" t="e">
            <v>#REF!</v>
          </cell>
          <cell r="B270" t="str">
            <v>BOLT,NUT,W/S,S/W</v>
          </cell>
          <cell r="C270" t="str">
            <v>M12 x 40L</v>
          </cell>
          <cell r="D270" t="str">
            <v>SET</v>
          </cell>
          <cell r="E270">
            <v>4</v>
          </cell>
          <cell r="F270" t="str">
            <v>MOTOR 고정용</v>
          </cell>
        </row>
        <row r="271">
          <cell r="A271" t="e">
            <v>#REF!</v>
          </cell>
          <cell r="B271" t="str">
            <v>MOTOR DIE</v>
          </cell>
          <cell r="C271" t="str">
            <v>1.5KW x 4P用</v>
          </cell>
          <cell r="D271" t="str">
            <v>SET</v>
          </cell>
          <cell r="E271">
            <v>1</v>
          </cell>
          <cell r="F271" t="str">
            <v>MOTOR 고정용</v>
          </cell>
        </row>
        <row r="272">
          <cell r="A272" t="e">
            <v>#REF!</v>
          </cell>
          <cell r="B272" t="str">
            <v>STUD BOLT</v>
          </cell>
          <cell r="C272" t="str">
            <v>M16 x 200L</v>
          </cell>
          <cell r="D272" t="str">
            <v>SET</v>
          </cell>
          <cell r="E272">
            <v>4</v>
          </cell>
          <cell r="F272" t="str">
            <v>MOTOR 출력축과 WORM REDUCER 입력축과의 거리조절용</v>
          </cell>
        </row>
        <row r="273">
          <cell r="A273" t="e">
            <v>#REF!</v>
          </cell>
          <cell r="B273" t="str">
            <v>NUT</v>
          </cell>
          <cell r="C273" t="str">
            <v>M16</v>
          </cell>
          <cell r="D273" t="str">
            <v>EA</v>
          </cell>
          <cell r="E273">
            <v>16</v>
          </cell>
          <cell r="F273" t="str">
            <v>STUD BOLT 1EA당 4EA씩으므로 4EAx4EA= 16EA</v>
          </cell>
        </row>
        <row r="274">
          <cell r="A274" t="e">
            <v>#REF!</v>
          </cell>
          <cell r="B274" t="str">
            <v xml:space="preserve">V-PULLEY </v>
          </cell>
          <cell r="C274" t="str">
            <v>B형 x 2열 x 3"</v>
          </cell>
          <cell r="D274" t="str">
            <v>EA</v>
          </cell>
          <cell r="E274">
            <v>1</v>
          </cell>
          <cell r="F274" t="str">
            <v>MOTOR 출력용</v>
          </cell>
        </row>
        <row r="275">
          <cell r="A275" t="e">
            <v>#REF!</v>
          </cell>
          <cell r="B275" t="str">
            <v xml:space="preserve">V-PULLEY </v>
          </cell>
          <cell r="C275" t="str">
            <v>B형 x 2열 x 8"</v>
          </cell>
          <cell r="D275" t="str">
            <v>EA</v>
          </cell>
          <cell r="E275">
            <v>1</v>
          </cell>
          <cell r="F275" t="str">
            <v>WORM REDUCER 입력축용</v>
          </cell>
        </row>
        <row r="276">
          <cell r="A276" t="e">
            <v>#REF!</v>
          </cell>
          <cell r="B276" t="str">
            <v>V-BELT</v>
          </cell>
          <cell r="C276" t="str">
            <v>B형 x 42"</v>
          </cell>
          <cell r="D276" t="str">
            <v>EA</v>
          </cell>
          <cell r="E276">
            <v>2</v>
          </cell>
          <cell r="F276" t="str">
            <v>V-PULLEY가 2열</v>
          </cell>
        </row>
        <row r="277">
          <cell r="A277" t="e">
            <v>#REF!</v>
          </cell>
          <cell r="B277" t="str">
            <v>WORM REDUCER</v>
          </cell>
          <cell r="C277" t="str">
            <v>1.5KW x 4P用</v>
          </cell>
          <cell r="D277" t="str">
            <v>대</v>
          </cell>
          <cell r="E277">
            <v>1</v>
          </cell>
          <cell r="F277" t="str">
            <v xml:space="preserve"> </v>
          </cell>
        </row>
        <row r="278">
          <cell r="A278" t="e">
            <v>#REF!</v>
          </cell>
          <cell r="B278" t="str">
            <v>BOLT,NUT,W/S,S/W</v>
          </cell>
          <cell r="C278" t="str">
            <v>M16 x 60L</v>
          </cell>
          <cell r="D278" t="str">
            <v>SET</v>
          </cell>
          <cell r="E278">
            <v>2</v>
          </cell>
          <cell r="F278" t="str">
            <v>WORM REDUCER 고정용</v>
          </cell>
        </row>
        <row r="279">
          <cell r="A279" t="e">
            <v>#REF!</v>
          </cell>
          <cell r="B279" t="str">
            <v>BEARING</v>
          </cell>
          <cell r="C279" t="str">
            <v>UCP #207</v>
          </cell>
          <cell r="D279" t="str">
            <v>EA</v>
          </cell>
          <cell r="E279">
            <v>1</v>
          </cell>
          <cell r="F279" t="str">
            <v xml:space="preserve"> </v>
          </cell>
        </row>
        <row r="280">
          <cell r="A280" t="e">
            <v>#REF!</v>
          </cell>
          <cell r="B280" t="str">
            <v>BEARING DIE</v>
          </cell>
          <cell r="C280" t="str">
            <v>UCP #207用</v>
          </cell>
          <cell r="D280" t="str">
            <v>EA</v>
          </cell>
          <cell r="E280">
            <v>1</v>
          </cell>
          <cell r="F280" t="str">
            <v xml:space="preserve"> </v>
          </cell>
        </row>
        <row r="281">
          <cell r="A281" t="e">
            <v>#REF!</v>
          </cell>
          <cell r="B281" t="str">
            <v>BOLT,NUT,W/S,S/W</v>
          </cell>
          <cell r="C281" t="str">
            <v>M16 x 60L</v>
          </cell>
          <cell r="D281" t="str">
            <v>SET</v>
          </cell>
          <cell r="E281">
            <v>2</v>
          </cell>
          <cell r="F281" t="str">
            <v>BEARING DIE 고정용</v>
          </cell>
        </row>
        <row r="282">
          <cell r="A282" t="e">
            <v>#REF!</v>
          </cell>
          <cell r="B282" t="str">
            <v>CHAIN SPROCKET</v>
          </cell>
          <cell r="C282" t="str">
            <v>DS #35 x 12t</v>
          </cell>
          <cell r="D282" t="str">
            <v>SET</v>
          </cell>
          <cell r="E282">
            <v>1</v>
          </cell>
          <cell r="F282" t="str">
            <v>LIMIT 제어동력 전달용 (CAM LINIT S/W 입력축)</v>
          </cell>
        </row>
        <row r="283">
          <cell r="A283" t="e">
            <v>#REF!</v>
          </cell>
          <cell r="B283" t="str">
            <v>CHAIN SPROCKET</v>
          </cell>
          <cell r="C283" t="str">
            <v>DS #35 x 27t</v>
          </cell>
          <cell r="D283" t="str">
            <v>SET</v>
          </cell>
          <cell r="E283">
            <v>1</v>
          </cell>
          <cell r="F283" t="str">
            <v>LIMIT 제어동력 전달용 (WORM REDUCER 출력축 끝단)</v>
          </cell>
        </row>
        <row r="284">
          <cell r="A284" t="e">
            <v>#REF!</v>
          </cell>
          <cell r="B284" t="str">
            <v xml:space="preserve">CHAIN </v>
          </cell>
          <cell r="C284" t="str">
            <v xml:space="preserve">DS #35 </v>
          </cell>
          <cell r="D284" t="str">
            <v>SET</v>
          </cell>
          <cell r="E284">
            <v>1</v>
          </cell>
          <cell r="F284" t="str">
            <v>LIMIT 제어동력</v>
          </cell>
        </row>
        <row r="285">
          <cell r="A285" t="e">
            <v>#REF!</v>
          </cell>
          <cell r="B285" t="str">
            <v>CHAIN OFFSET LINK</v>
          </cell>
          <cell r="C285" t="str">
            <v xml:space="preserve">DS #35用 </v>
          </cell>
          <cell r="D285" t="str">
            <v>EA</v>
          </cell>
          <cell r="E285">
            <v>1</v>
          </cell>
          <cell r="F285" t="str">
            <v>CHAIN 연결용</v>
          </cell>
        </row>
        <row r="286">
          <cell r="A286" t="e">
            <v>#REF!</v>
          </cell>
          <cell r="B286" t="str">
            <v>CAM LIMIT S/W</v>
          </cell>
          <cell r="C286" t="str">
            <v>SCREW TYPE</v>
          </cell>
          <cell r="D286" t="str">
            <v>SET</v>
          </cell>
          <cell r="E286">
            <v>1</v>
          </cell>
          <cell r="F286" t="str">
            <v>LIMIT 제어동력</v>
          </cell>
        </row>
        <row r="287">
          <cell r="A287" t="e">
            <v>#REF!</v>
          </cell>
          <cell r="B287" t="str">
            <v>LIMIT S/W DIE</v>
          </cell>
          <cell r="C287" t="str">
            <v xml:space="preserve"> </v>
          </cell>
          <cell r="D287" t="str">
            <v>SET</v>
          </cell>
          <cell r="E287">
            <v>1</v>
          </cell>
          <cell r="F287" t="str">
            <v xml:space="preserve"> </v>
          </cell>
        </row>
        <row r="288">
          <cell r="A288" t="e">
            <v>#REF!</v>
          </cell>
          <cell r="B288" t="str">
            <v>BOLT,NUT,W/S,S/W</v>
          </cell>
          <cell r="C288" t="str">
            <v>M6 x 30L</v>
          </cell>
          <cell r="D288" t="str">
            <v>SET</v>
          </cell>
          <cell r="E288">
            <v>2</v>
          </cell>
          <cell r="F288" t="str">
            <v>CAM LIMITS S/W 고정용</v>
          </cell>
        </row>
        <row r="289">
          <cell r="A289" t="e">
            <v>#REF!</v>
          </cell>
        </row>
        <row r="290">
          <cell r="A290" t="e">
            <v>#REF!</v>
          </cell>
        </row>
        <row r="291">
          <cell r="A291" t="e">
            <v>#REF!</v>
          </cell>
        </row>
        <row r="292">
          <cell r="A292" t="e">
            <v>#REF!</v>
          </cell>
        </row>
        <row r="293">
          <cell r="A293" t="e">
            <v>#REF!</v>
          </cell>
        </row>
        <row r="294">
          <cell r="A294" t="e">
            <v>#REF!</v>
          </cell>
        </row>
        <row r="295">
          <cell r="A295" t="e">
            <v>#REF!</v>
          </cell>
        </row>
        <row r="296">
          <cell r="A296" t="e">
            <v>#REF!</v>
          </cell>
        </row>
        <row r="297">
          <cell r="A297" t="e">
            <v>#REF!</v>
          </cell>
        </row>
        <row r="298">
          <cell r="A298" t="e">
            <v>#REF!</v>
          </cell>
        </row>
        <row r="299">
          <cell r="A299" t="e">
            <v>#REF!</v>
          </cell>
        </row>
        <row r="300">
          <cell r="A300" t="e">
            <v>#REF!</v>
          </cell>
        </row>
        <row r="301">
          <cell r="A301" t="e">
            <v>#REF!</v>
          </cell>
        </row>
        <row r="302">
          <cell r="A302" t="e">
            <v>#REF!</v>
          </cell>
        </row>
        <row r="303">
          <cell r="A303" t="e">
            <v>#REF!</v>
          </cell>
        </row>
        <row r="304">
          <cell r="A304" t="e">
            <v>#REF!</v>
          </cell>
        </row>
        <row r="305">
          <cell r="A305" t="e">
            <v>#REF!</v>
          </cell>
        </row>
        <row r="306">
          <cell r="A306" t="e">
            <v>#REF!</v>
          </cell>
        </row>
        <row r="307">
          <cell r="A307" t="e">
            <v>#REF!</v>
          </cell>
        </row>
        <row r="308">
          <cell r="A308" t="e">
            <v>#REF!</v>
          </cell>
        </row>
        <row r="309">
          <cell r="A309" t="e">
            <v>#REF!</v>
          </cell>
        </row>
        <row r="310">
          <cell r="A310" t="e">
            <v>#REF!</v>
          </cell>
        </row>
        <row r="311">
          <cell r="A311" t="e">
            <v>#REF!</v>
          </cell>
        </row>
        <row r="312">
          <cell r="A312" t="e">
            <v>#REF!</v>
          </cell>
        </row>
        <row r="313">
          <cell r="A313" t="e">
            <v>#REF!</v>
          </cell>
        </row>
        <row r="314">
          <cell r="A314" t="e">
            <v>#REF!</v>
          </cell>
        </row>
        <row r="315">
          <cell r="A315" t="e">
            <v>#REF!</v>
          </cell>
        </row>
        <row r="316">
          <cell r="A316" t="e">
            <v>#REF!</v>
          </cell>
        </row>
        <row r="317">
          <cell r="A317" t="e">
            <v>#REF!</v>
          </cell>
        </row>
        <row r="318">
          <cell r="A318" t="e">
            <v>#REF!</v>
          </cell>
        </row>
        <row r="319">
          <cell r="A319" t="e">
            <v>#REF!</v>
          </cell>
        </row>
        <row r="320">
          <cell r="A320" t="e">
            <v>#REF!</v>
          </cell>
        </row>
        <row r="321">
          <cell r="A321" t="e">
            <v>#REF!</v>
          </cell>
        </row>
        <row r="322">
          <cell r="A322" t="e">
            <v>#REF!</v>
          </cell>
        </row>
        <row r="323">
          <cell r="A323" t="e">
            <v>#REF!</v>
          </cell>
        </row>
        <row r="324">
          <cell r="A324" t="e">
            <v>#REF!</v>
          </cell>
        </row>
        <row r="325">
          <cell r="A325" t="e">
            <v>#REF!</v>
          </cell>
        </row>
        <row r="326">
          <cell r="A326" t="e">
            <v>#REF!</v>
          </cell>
        </row>
        <row r="327">
          <cell r="A327" t="e">
            <v>#REF!</v>
          </cell>
        </row>
        <row r="328">
          <cell r="A328" t="e">
            <v>#REF!</v>
          </cell>
        </row>
        <row r="329">
          <cell r="A329" t="e">
            <v>#REF!</v>
          </cell>
        </row>
        <row r="330">
          <cell r="A330" t="e">
            <v>#REF!</v>
          </cell>
        </row>
        <row r="331">
          <cell r="A331" t="e">
            <v>#REF!</v>
          </cell>
        </row>
        <row r="332">
          <cell r="A332" t="e">
            <v>#REF!</v>
          </cell>
        </row>
        <row r="333">
          <cell r="A333" t="e">
            <v>#REF!</v>
          </cell>
        </row>
        <row r="334">
          <cell r="A334" t="e">
            <v>#REF!</v>
          </cell>
        </row>
        <row r="335">
          <cell r="A335" t="e">
            <v>#REF!</v>
          </cell>
        </row>
        <row r="336">
          <cell r="A336" t="e">
            <v>#REF!</v>
          </cell>
        </row>
        <row r="337">
          <cell r="A337" t="e">
            <v>#REF!</v>
          </cell>
        </row>
        <row r="338">
          <cell r="A338" t="e">
            <v>#REF!</v>
          </cell>
        </row>
        <row r="339">
          <cell r="A339" t="e">
            <v>#REF!</v>
          </cell>
        </row>
        <row r="340">
          <cell r="A340" t="e">
            <v>#REF!</v>
          </cell>
        </row>
        <row r="341">
          <cell r="A341" t="e">
            <v>#REF!</v>
          </cell>
        </row>
        <row r="342">
          <cell r="A342" t="e">
            <v>#REF!</v>
          </cell>
        </row>
        <row r="343">
          <cell r="A343" t="e">
            <v>#REF!</v>
          </cell>
        </row>
        <row r="344">
          <cell r="A344" t="e">
            <v>#REF!</v>
          </cell>
        </row>
        <row r="345">
          <cell r="A345" t="e">
            <v>#REF!</v>
          </cell>
        </row>
        <row r="346">
          <cell r="A346" t="e">
            <v>#REF!</v>
          </cell>
        </row>
        <row r="347">
          <cell r="A347" t="e">
            <v>#REF!</v>
          </cell>
        </row>
        <row r="348">
          <cell r="A348" t="e">
            <v>#REF!</v>
          </cell>
        </row>
        <row r="349">
          <cell r="A349" t="e">
            <v>#REF!</v>
          </cell>
        </row>
        <row r="350">
          <cell r="A350" t="e">
            <v>#REF!</v>
          </cell>
        </row>
        <row r="351">
          <cell r="A351" t="e">
            <v>#REF!</v>
          </cell>
        </row>
        <row r="352">
          <cell r="A352" t="e">
            <v>#REF!</v>
          </cell>
        </row>
        <row r="353">
          <cell r="A353" t="e">
            <v>#REF!</v>
          </cell>
        </row>
        <row r="354">
          <cell r="A354" t="e">
            <v>#REF!</v>
          </cell>
        </row>
        <row r="355">
          <cell r="A355" t="e">
            <v>#REF!</v>
          </cell>
        </row>
        <row r="356">
          <cell r="A356" t="e">
            <v>#REF!</v>
          </cell>
        </row>
        <row r="357">
          <cell r="A357" t="e">
            <v>#REF!</v>
          </cell>
        </row>
        <row r="358">
          <cell r="A358" t="e">
            <v>#REF!</v>
          </cell>
        </row>
        <row r="359">
          <cell r="A359" t="e">
            <v>#REF!</v>
          </cell>
        </row>
        <row r="360">
          <cell r="A360" t="e">
            <v>#REF!</v>
          </cell>
        </row>
        <row r="361">
          <cell r="A361" t="e">
            <v>#REF!</v>
          </cell>
        </row>
        <row r="362">
          <cell r="A362" t="e">
            <v>#REF!</v>
          </cell>
        </row>
        <row r="363">
          <cell r="A363" t="e">
            <v>#REF!</v>
          </cell>
        </row>
        <row r="364">
          <cell r="A364" t="e">
            <v>#REF!</v>
          </cell>
        </row>
        <row r="365">
          <cell r="A365" t="e">
            <v>#REF!</v>
          </cell>
        </row>
        <row r="366">
          <cell r="A366" t="e">
            <v>#REF!</v>
          </cell>
        </row>
        <row r="367">
          <cell r="A367" t="e">
            <v>#REF!</v>
          </cell>
        </row>
        <row r="368">
          <cell r="A368" t="e">
            <v>#REF!</v>
          </cell>
        </row>
        <row r="369">
          <cell r="A369" t="e">
            <v>#REF!</v>
          </cell>
        </row>
        <row r="370">
          <cell r="A370" t="e">
            <v>#REF!</v>
          </cell>
        </row>
        <row r="371">
          <cell r="A371" t="e">
            <v>#REF!</v>
          </cell>
        </row>
        <row r="372">
          <cell r="A372" t="e">
            <v>#REF!</v>
          </cell>
        </row>
        <row r="373">
          <cell r="A373" t="e">
            <v>#REF!</v>
          </cell>
        </row>
        <row r="374">
          <cell r="A374" t="e">
            <v>#REF!</v>
          </cell>
        </row>
        <row r="375">
          <cell r="A375" t="e">
            <v>#REF!</v>
          </cell>
        </row>
        <row r="376">
          <cell r="A376" t="e">
            <v>#REF!</v>
          </cell>
        </row>
        <row r="377">
          <cell r="A377" t="e">
            <v>#REF!</v>
          </cell>
        </row>
        <row r="378">
          <cell r="A378" t="e">
            <v>#REF!</v>
          </cell>
        </row>
        <row r="379">
          <cell r="A379" t="e">
            <v>#REF!</v>
          </cell>
        </row>
        <row r="380">
          <cell r="A380" t="e">
            <v>#REF!</v>
          </cell>
        </row>
        <row r="381">
          <cell r="A381" t="e">
            <v>#REF!</v>
          </cell>
        </row>
        <row r="382">
          <cell r="A382" t="e">
            <v>#REF!</v>
          </cell>
        </row>
        <row r="383">
          <cell r="A383" t="e">
            <v>#REF!</v>
          </cell>
        </row>
        <row r="384">
          <cell r="A384" t="e">
            <v>#REF!</v>
          </cell>
        </row>
        <row r="385">
          <cell r="A385" t="e">
            <v>#REF!</v>
          </cell>
        </row>
        <row r="386">
          <cell r="A386" t="e">
            <v>#REF!</v>
          </cell>
        </row>
        <row r="387">
          <cell r="A387" t="e">
            <v>#REF!</v>
          </cell>
        </row>
        <row r="388">
          <cell r="A388" t="e">
            <v>#REF!</v>
          </cell>
        </row>
        <row r="389">
          <cell r="A389" t="e">
            <v>#REF!</v>
          </cell>
        </row>
        <row r="390">
          <cell r="A390" t="e">
            <v>#REF!</v>
          </cell>
        </row>
        <row r="391">
          <cell r="A391" t="e">
            <v>#REF!</v>
          </cell>
        </row>
        <row r="392">
          <cell r="A392" t="e">
            <v>#REF!</v>
          </cell>
        </row>
        <row r="393">
          <cell r="A393" t="e">
            <v>#REF!</v>
          </cell>
        </row>
        <row r="394">
          <cell r="A394" t="e">
            <v>#REF!</v>
          </cell>
        </row>
        <row r="395">
          <cell r="A395" t="e">
            <v>#REF!</v>
          </cell>
        </row>
        <row r="396">
          <cell r="A396" t="e">
            <v>#REF!</v>
          </cell>
        </row>
        <row r="397">
          <cell r="A397" t="e">
            <v>#REF!</v>
          </cell>
        </row>
        <row r="398">
          <cell r="A398" t="e">
            <v>#REF!</v>
          </cell>
        </row>
        <row r="399">
          <cell r="A399" t="e">
            <v>#REF!</v>
          </cell>
        </row>
        <row r="400">
          <cell r="A400" t="e">
            <v>#REF!</v>
          </cell>
        </row>
        <row r="401">
          <cell r="A401" t="e">
            <v>#REF!</v>
          </cell>
        </row>
        <row r="402">
          <cell r="A402" t="e">
            <v>#REF!</v>
          </cell>
        </row>
        <row r="403">
          <cell r="A403" t="e">
            <v>#REF!</v>
          </cell>
        </row>
        <row r="404">
          <cell r="A404" t="e">
            <v>#REF!</v>
          </cell>
        </row>
        <row r="405">
          <cell r="A405" t="e">
            <v>#REF!</v>
          </cell>
        </row>
        <row r="406">
          <cell r="A406" t="e">
            <v>#REF!</v>
          </cell>
        </row>
        <row r="407">
          <cell r="A407" t="e">
            <v>#REF!</v>
          </cell>
        </row>
        <row r="408">
          <cell r="A408" t="e">
            <v>#REF!</v>
          </cell>
        </row>
        <row r="409">
          <cell r="A409" t="e">
            <v>#REF!</v>
          </cell>
        </row>
        <row r="410">
          <cell r="A410" t="e">
            <v>#REF!</v>
          </cell>
        </row>
        <row r="411">
          <cell r="A411" t="e">
            <v>#REF!</v>
          </cell>
        </row>
        <row r="412">
          <cell r="A412" t="e">
            <v>#REF!</v>
          </cell>
        </row>
        <row r="413">
          <cell r="A413" t="e">
            <v>#REF!</v>
          </cell>
        </row>
        <row r="414">
          <cell r="A414" t="e">
            <v>#REF!</v>
          </cell>
        </row>
        <row r="415">
          <cell r="A415" t="e">
            <v>#REF!</v>
          </cell>
        </row>
        <row r="416">
          <cell r="A416" t="e">
            <v>#REF!</v>
          </cell>
        </row>
        <row r="417">
          <cell r="A417" t="e">
            <v>#REF!</v>
          </cell>
        </row>
        <row r="418">
          <cell r="A418" t="e">
            <v>#REF!</v>
          </cell>
        </row>
        <row r="419">
          <cell r="A419" t="e">
            <v>#REF!</v>
          </cell>
        </row>
        <row r="420">
          <cell r="A420" t="e">
            <v>#REF!</v>
          </cell>
        </row>
        <row r="421">
          <cell r="A421" t="e">
            <v>#REF!</v>
          </cell>
        </row>
        <row r="422">
          <cell r="A422" t="e">
            <v>#REF!</v>
          </cell>
        </row>
        <row r="423">
          <cell r="A423" t="e">
            <v>#REF!</v>
          </cell>
        </row>
        <row r="424">
          <cell r="A424" t="e">
            <v>#REF!</v>
          </cell>
        </row>
        <row r="425">
          <cell r="A425" t="e">
            <v>#REF!</v>
          </cell>
        </row>
        <row r="426">
          <cell r="A426" t="e">
            <v>#REF!</v>
          </cell>
        </row>
        <row r="427">
          <cell r="A427" t="e">
            <v>#REF!</v>
          </cell>
        </row>
        <row r="428">
          <cell r="A428" t="e">
            <v>#REF!</v>
          </cell>
        </row>
        <row r="429">
          <cell r="A429" t="e">
            <v>#REF!</v>
          </cell>
        </row>
        <row r="430">
          <cell r="A430" t="e">
            <v>#REF!</v>
          </cell>
        </row>
        <row r="431">
          <cell r="A431" t="e">
            <v>#REF!</v>
          </cell>
        </row>
        <row r="432">
          <cell r="A432" t="e">
            <v>#REF!</v>
          </cell>
        </row>
        <row r="433">
          <cell r="A433" t="e">
            <v>#REF!</v>
          </cell>
        </row>
        <row r="434">
          <cell r="A434" t="e">
            <v>#REF!</v>
          </cell>
        </row>
        <row r="435">
          <cell r="A435" t="e">
            <v>#REF!</v>
          </cell>
        </row>
        <row r="436">
          <cell r="A436" t="e">
            <v>#REF!</v>
          </cell>
        </row>
        <row r="437">
          <cell r="A437" t="e">
            <v>#REF!</v>
          </cell>
        </row>
        <row r="438">
          <cell r="A438" t="e">
            <v>#REF!</v>
          </cell>
        </row>
        <row r="439">
          <cell r="A439" t="e">
            <v>#REF!</v>
          </cell>
        </row>
        <row r="440">
          <cell r="A440" t="e">
            <v>#REF!</v>
          </cell>
        </row>
        <row r="441">
          <cell r="A441" t="e">
            <v>#REF!</v>
          </cell>
        </row>
        <row r="442">
          <cell r="A442" t="e">
            <v>#REF!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"/>
      <sheetName val="본댐"/>
      <sheetName val="도수"/>
      <sheetName val="ssb"/>
      <sheetName val="증감"/>
      <sheetName val="토목"/>
      <sheetName val="국고"/>
      <sheetName val="발전"/>
      <sheetName val="건축"/>
      <sheetName val="건축내역"/>
      <sheetName val="기계"/>
      <sheetName val="전기"/>
      <sheetName val="통신"/>
      <sheetName val="집계"/>
      <sheetName val="챠트"/>
      <sheetName val="물가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설계명세서"/>
      <sheetName val="수량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A4" t="str">
            <v>A</v>
          </cell>
          <cell r="B4" t="e">
            <v>#REF!</v>
          </cell>
        </row>
        <row r="5">
          <cell r="A5" t="str">
            <v>A</v>
          </cell>
          <cell r="B5" t="e">
            <v>#REF!</v>
          </cell>
        </row>
        <row r="6">
          <cell r="A6" t="str">
            <v>B</v>
          </cell>
          <cell r="B6" t="e">
            <v>#REF!</v>
          </cell>
        </row>
        <row r="7">
          <cell r="A7" t="str">
            <v>A</v>
          </cell>
          <cell r="B7" t="e">
            <v>#REF!</v>
          </cell>
        </row>
        <row r="8">
          <cell r="A8" t="str">
            <v>B</v>
          </cell>
          <cell r="B8" t="e">
            <v>#REF!</v>
          </cell>
        </row>
        <row r="9">
          <cell r="A9" t="str">
            <v>A</v>
          </cell>
          <cell r="B9" t="e">
            <v>#REF!</v>
          </cell>
        </row>
        <row r="10">
          <cell r="A10" t="str">
            <v>B</v>
          </cell>
          <cell r="B10" t="e">
            <v>#REF!</v>
          </cell>
        </row>
        <row r="11">
          <cell r="A11" t="str">
            <v>A</v>
          </cell>
          <cell r="B11" t="e">
            <v>#REF!</v>
          </cell>
        </row>
        <row r="12">
          <cell r="A12" t="str">
            <v>B</v>
          </cell>
          <cell r="B12" t="e">
            <v>#REF!</v>
          </cell>
        </row>
        <row r="13">
          <cell r="A13" t="str">
            <v>A</v>
          </cell>
          <cell r="B13" t="e">
            <v>#REF!</v>
          </cell>
        </row>
        <row r="14">
          <cell r="A14" t="str">
            <v>B</v>
          </cell>
          <cell r="B14" t="e">
            <v>#REF!</v>
          </cell>
        </row>
        <row r="15">
          <cell r="A15" t="str">
            <v>A</v>
          </cell>
          <cell r="B15" t="e">
            <v>#REF!</v>
          </cell>
        </row>
        <row r="16">
          <cell r="A16" t="str">
            <v>B</v>
          </cell>
          <cell r="B16" t="e">
            <v>#REF!</v>
          </cell>
        </row>
        <row r="17">
          <cell r="A17" t="str">
            <v>A</v>
          </cell>
          <cell r="B17" t="e">
            <v>#REF!</v>
          </cell>
        </row>
        <row r="18">
          <cell r="A18" t="str">
            <v>B</v>
          </cell>
          <cell r="B18" t="e">
            <v>#REF!</v>
          </cell>
        </row>
        <row r="19">
          <cell r="A19" t="str">
            <v>A</v>
          </cell>
          <cell r="B19" t="e">
            <v>#REF!</v>
          </cell>
        </row>
        <row r="20">
          <cell r="A20" t="str">
            <v>B</v>
          </cell>
          <cell r="B20" t="e">
            <v>#REF!</v>
          </cell>
        </row>
        <row r="21">
          <cell r="A21" t="str">
            <v>A</v>
          </cell>
          <cell r="B21" t="e">
            <v>#REF!</v>
          </cell>
        </row>
        <row r="22">
          <cell r="A22" t="str">
            <v>B</v>
          </cell>
          <cell r="B22" t="e">
            <v>#REF!</v>
          </cell>
        </row>
        <row r="23">
          <cell r="A23" t="str">
            <v>A</v>
          </cell>
          <cell r="B23" t="e">
            <v>#REF!</v>
          </cell>
        </row>
        <row r="24">
          <cell r="A24" t="str">
            <v>B</v>
          </cell>
          <cell r="B24" t="e">
            <v>#REF!</v>
          </cell>
        </row>
        <row r="25">
          <cell r="A25" t="str">
            <v>A</v>
          </cell>
          <cell r="B25" t="e">
            <v>#REF!</v>
          </cell>
        </row>
        <row r="26">
          <cell r="A26" t="str">
            <v>B</v>
          </cell>
          <cell r="B26" t="e">
            <v>#REF!</v>
          </cell>
        </row>
        <row r="31">
          <cell r="A31" t="str">
            <v>A</v>
          </cell>
          <cell r="B31" t="e">
            <v>#REF!</v>
          </cell>
        </row>
        <row r="32">
          <cell r="A32" t="str">
            <v>B</v>
          </cell>
          <cell r="B32" t="e">
            <v>#REF!</v>
          </cell>
        </row>
        <row r="33">
          <cell r="A33" t="str">
            <v>A</v>
          </cell>
          <cell r="B33" t="e">
            <v>#REF!</v>
          </cell>
        </row>
        <row r="34">
          <cell r="A34" t="str">
            <v>B</v>
          </cell>
          <cell r="B34" t="e">
            <v>#REF!</v>
          </cell>
        </row>
        <row r="35">
          <cell r="A35" t="str">
            <v>A</v>
          </cell>
          <cell r="B35" t="e">
            <v>#REF!</v>
          </cell>
        </row>
        <row r="36">
          <cell r="A36" t="str">
            <v>B</v>
          </cell>
          <cell r="B36" t="e">
            <v>#REF!</v>
          </cell>
        </row>
        <row r="37">
          <cell r="A37" t="str">
            <v>A</v>
          </cell>
          <cell r="B37" t="e">
            <v>#REF!</v>
          </cell>
        </row>
        <row r="38">
          <cell r="A38" t="str">
            <v>B</v>
          </cell>
          <cell r="B38" t="e">
            <v>#REF!</v>
          </cell>
        </row>
        <row r="39">
          <cell r="A39" t="str">
            <v>A</v>
          </cell>
          <cell r="B39" t="e">
            <v>#REF!</v>
          </cell>
        </row>
        <row r="40">
          <cell r="A40" t="str">
            <v>B</v>
          </cell>
          <cell r="B40" t="e">
            <v>#REF!</v>
          </cell>
        </row>
        <row r="41">
          <cell r="A41" t="str">
            <v>A</v>
          </cell>
          <cell r="B41" t="e">
            <v>#REF!</v>
          </cell>
        </row>
        <row r="42">
          <cell r="A42" t="str">
            <v>B</v>
          </cell>
          <cell r="B42" t="e">
            <v>#REF!</v>
          </cell>
        </row>
        <row r="43">
          <cell r="A43" t="str">
            <v>A</v>
          </cell>
          <cell r="B43" t="e">
            <v>#REF!</v>
          </cell>
        </row>
        <row r="44">
          <cell r="A44" t="str">
            <v>B</v>
          </cell>
          <cell r="B44" t="e">
            <v>#REF!</v>
          </cell>
        </row>
        <row r="45">
          <cell r="A45" t="str">
            <v>A</v>
          </cell>
          <cell r="B45" t="e">
            <v>#VALUE!</v>
          </cell>
        </row>
        <row r="47">
          <cell r="A47" t="str">
            <v>B</v>
          </cell>
          <cell r="B47" t="e">
            <v>#VALUE!</v>
          </cell>
        </row>
        <row r="49">
          <cell r="A49" t="str">
            <v>A</v>
          </cell>
          <cell r="B49" t="e">
            <v>#VALUE!</v>
          </cell>
        </row>
        <row r="57">
          <cell r="A57" t="str">
            <v>B</v>
          </cell>
          <cell r="B57" t="e">
            <v>#VALUE!</v>
          </cell>
        </row>
        <row r="58">
          <cell r="A58" t="str">
            <v>A</v>
          </cell>
          <cell r="B58" t="e">
            <v>#VALUE!</v>
          </cell>
        </row>
        <row r="59">
          <cell r="A59" t="str">
            <v>B</v>
          </cell>
          <cell r="B59" t="e">
            <v>#VALUE!</v>
          </cell>
        </row>
        <row r="60">
          <cell r="A60" t="str">
            <v>A</v>
          </cell>
          <cell r="B60" t="e">
            <v>#VALUE!</v>
          </cell>
        </row>
        <row r="61">
          <cell r="A61" t="str">
            <v>B</v>
          </cell>
          <cell r="B61" t="e">
            <v>#VALUE!</v>
          </cell>
        </row>
        <row r="62">
          <cell r="A62" t="str">
            <v>A</v>
          </cell>
          <cell r="B62" t="e">
            <v>#VALUE!</v>
          </cell>
        </row>
        <row r="63">
          <cell r="A63" t="str">
            <v>B</v>
          </cell>
          <cell r="B63" t="e">
            <v>#VALUE!</v>
          </cell>
        </row>
        <row r="64">
          <cell r="A64" t="str">
            <v>A</v>
          </cell>
          <cell r="B64" t="e">
            <v>#VALUE!</v>
          </cell>
        </row>
        <row r="65">
          <cell r="A65" t="str">
            <v>B</v>
          </cell>
          <cell r="B65" t="e">
            <v>#VALUE!</v>
          </cell>
        </row>
        <row r="66">
          <cell r="A66" t="str">
            <v>A</v>
          </cell>
          <cell r="B66" t="e">
            <v>#VALUE!</v>
          </cell>
        </row>
        <row r="67">
          <cell r="A67" t="str">
            <v>B</v>
          </cell>
          <cell r="B67" t="e">
            <v>#VALUE!</v>
          </cell>
        </row>
        <row r="68">
          <cell r="A68" t="str">
            <v>A</v>
          </cell>
          <cell r="B68" t="e">
            <v>#VALUE!</v>
          </cell>
        </row>
        <row r="69">
          <cell r="A69" t="str">
            <v>B</v>
          </cell>
          <cell r="B69" t="e">
            <v>#VALUE!</v>
          </cell>
        </row>
        <row r="70">
          <cell r="A70" t="str">
            <v>A</v>
          </cell>
          <cell r="B70" t="e">
            <v>#VALUE!</v>
          </cell>
        </row>
        <row r="71">
          <cell r="A71" t="str">
            <v>B</v>
          </cell>
          <cell r="B71" t="e">
            <v>#VALUE!</v>
          </cell>
        </row>
        <row r="72">
          <cell r="A72" t="str">
            <v>A</v>
          </cell>
          <cell r="B72" t="e">
            <v>#VALUE!</v>
          </cell>
        </row>
        <row r="73">
          <cell r="A73" t="str">
            <v>B</v>
          </cell>
          <cell r="B73" t="e">
            <v>#VALUE!</v>
          </cell>
        </row>
        <row r="74">
          <cell r="A74" t="str">
            <v>A</v>
          </cell>
          <cell r="B74" t="e">
            <v>#VALUE!</v>
          </cell>
        </row>
        <row r="75">
          <cell r="A75" t="str">
            <v>B</v>
          </cell>
          <cell r="B75" t="e">
            <v>#VALUE!</v>
          </cell>
        </row>
        <row r="76">
          <cell r="A76" t="str">
            <v>A</v>
          </cell>
          <cell r="B76" t="e">
            <v>#VALUE!</v>
          </cell>
        </row>
        <row r="77">
          <cell r="A77" t="str">
            <v>B</v>
          </cell>
          <cell r="B77" t="e">
            <v>#VALUE!</v>
          </cell>
        </row>
        <row r="78">
          <cell r="A78" t="str">
            <v>A</v>
          </cell>
          <cell r="B78" t="e">
            <v>#VALUE!</v>
          </cell>
        </row>
        <row r="79">
          <cell r="A79" t="str">
            <v>B</v>
          </cell>
          <cell r="B79" t="e">
            <v>#VALUE!</v>
          </cell>
        </row>
        <row r="80">
          <cell r="A80" t="str">
            <v>A</v>
          </cell>
          <cell r="B80" t="e">
            <v>#VALUE!</v>
          </cell>
        </row>
        <row r="81">
          <cell r="A81" t="str">
            <v>B</v>
          </cell>
          <cell r="B81" t="e">
            <v>#VALUE!</v>
          </cell>
        </row>
        <row r="82">
          <cell r="A82" t="str">
            <v>A</v>
          </cell>
          <cell r="B82" t="e">
            <v>#VALUE!</v>
          </cell>
        </row>
        <row r="83">
          <cell r="A83" t="str">
            <v>B</v>
          </cell>
          <cell r="B83" t="e">
            <v>#VALUE!</v>
          </cell>
        </row>
        <row r="84">
          <cell r="A84" t="str">
            <v>A</v>
          </cell>
          <cell r="B84" t="e">
            <v>#VALUE!</v>
          </cell>
        </row>
        <row r="85">
          <cell r="A85" t="str">
            <v>B</v>
          </cell>
          <cell r="B85" t="e">
            <v>#VALUE!</v>
          </cell>
        </row>
        <row r="86">
          <cell r="A86" t="str">
            <v>A</v>
          </cell>
          <cell r="B86" t="e">
            <v>#VALUE!</v>
          </cell>
        </row>
        <row r="87">
          <cell r="A87" t="str">
            <v>B</v>
          </cell>
          <cell r="B87" t="e">
            <v>#VALUE!</v>
          </cell>
        </row>
        <row r="88">
          <cell r="A88" t="str">
            <v>A</v>
          </cell>
          <cell r="B88" t="e">
            <v>#VALUE!</v>
          </cell>
        </row>
        <row r="89">
          <cell r="A89" t="str">
            <v>B</v>
          </cell>
          <cell r="B89" t="e">
            <v>#VALUE!</v>
          </cell>
        </row>
        <row r="90">
          <cell r="A90" t="str">
            <v>A</v>
          </cell>
          <cell r="B90" t="e">
            <v>#VALUE!</v>
          </cell>
        </row>
        <row r="91">
          <cell r="A91" t="str">
            <v>B</v>
          </cell>
          <cell r="B91" t="e">
            <v>#VALUE!</v>
          </cell>
        </row>
        <row r="92">
          <cell r="A92" t="str">
            <v>A</v>
          </cell>
          <cell r="B92" t="e">
            <v>#VALUE!</v>
          </cell>
        </row>
        <row r="93">
          <cell r="A93" t="str">
            <v>B</v>
          </cell>
          <cell r="B93" t="e">
            <v>#VALUE!</v>
          </cell>
        </row>
        <row r="94">
          <cell r="A94" t="str">
            <v>A</v>
          </cell>
          <cell r="B94" t="e">
            <v>#VALUE!</v>
          </cell>
        </row>
        <row r="95">
          <cell r="A95" t="str">
            <v>B</v>
          </cell>
          <cell r="B95" t="e">
            <v>#VALUE!</v>
          </cell>
        </row>
        <row r="96">
          <cell r="A96" t="str">
            <v>A</v>
          </cell>
          <cell r="B96" t="e">
            <v>#VALUE!</v>
          </cell>
        </row>
        <row r="97">
          <cell r="A97" t="str">
            <v>B</v>
          </cell>
          <cell r="B97" t="e">
            <v>#VALUE!</v>
          </cell>
        </row>
        <row r="98">
          <cell r="A98" t="str">
            <v>A</v>
          </cell>
          <cell r="B98" t="e">
            <v>#VALUE!</v>
          </cell>
        </row>
        <row r="99">
          <cell r="A99" t="str">
            <v>B</v>
          </cell>
          <cell r="B99" t="e">
            <v>#VALUE!</v>
          </cell>
        </row>
        <row r="100">
          <cell r="A100" t="str">
            <v>A</v>
          </cell>
          <cell r="B100" t="e">
            <v>#VALUE!</v>
          </cell>
        </row>
        <row r="101">
          <cell r="A101" t="str">
            <v>B</v>
          </cell>
          <cell r="B101" t="e">
            <v>#VALUE!</v>
          </cell>
        </row>
        <row r="102">
          <cell r="A102" t="str">
            <v>A</v>
          </cell>
          <cell r="B102" t="e">
            <v>#VALUE!</v>
          </cell>
        </row>
        <row r="103">
          <cell r="A103" t="str">
            <v>B</v>
          </cell>
          <cell r="B103" t="e">
            <v>#VALUE!</v>
          </cell>
        </row>
        <row r="104">
          <cell r="A104" t="str">
            <v>A</v>
          </cell>
          <cell r="B104" t="e">
            <v>#VALUE!</v>
          </cell>
        </row>
        <row r="105">
          <cell r="A105" t="str">
            <v>B</v>
          </cell>
          <cell r="B105" t="e">
            <v>#VALUE!</v>
          </cell>
        </row>
        <row r="106">
          <cell r="A106" t="str">
            <v>A</v>
          </cell>
          <cell r="B106" t="e">
            <v>#VALUE!</v>
          </cell>
        </row>
        <row r="107">
          <cell r="A107" t="str">
            <v>B</v>
          </cell>
          <cell r="B107" t="e">
            <v>#VALUE!</v>
          </cell>
        </row>
        <row r="108">
          <cell r="A108" t="str">
            <v>A</v>
          </cell>
          <cell r="B108" t="e">
            <v>#VALUE!</v>
          </cell>
        </row>
        <row r="109">
          <cell r="A109" t="str">
            <v>B</v>
          </cell>
          <cell r="B109" t="e">
            <v>#VALUE!</v>
          </cell>
        </row>
        <row r="110">
          <cell r="A110" t="str">
            <v>A</v>
          </cell>
          <cell r="B110" t="e">
            <v>#VALUE!</v>
          </cell>
        </row>
        <row r="111">
          <cell r="A111" t="str">
            <v>B</v>
          </cell>
          <cell r="B111" t="e">
            <v>#VALUE!</v>
          </cell>
        </row>
        <row r="112">
          <cell r="A112" t="str">
            <v>A</v>
          </cell>
          <cell r="B112" t="e">
            <v>#VALUE!</v>
          </cell>
        </row>
        <row r="113">
          <cell r="A113" t="str">
            <v>B</v>
          </cell>
          <cell r="B113" t="e">
            <v>#VALUE!</v>
          </cell>
        </row>
        <row r="114">
          <cell r="A114" t="str">
            <v>A</v>
          </cell>
          <cell r="B114" t="e">
            <v>#VALUE!</v>
          </cell>
        </row>
        <row r="115">
          <cell r="A115" t="str">
            <v>B</v>
          </cell>
          <cell r="B115" t="e">
            <v>#VALUE!</v>
          </cell>
        </row>
        <row r="116">
          <cell r="A116" t="str">
            <v>A</v>
          </cell>
          <cell r="B116" t="e">
            <v>#VALUE!</v>
          </cell>
        </row>
        <row r="117">
          <cell r="A117" t="str">
            <v>B</v>
          </cell>
          <cell r="B117" t="e">
            <v>#VALUE!</v>
          </cell>
        </row>
        <row r="118">
          <cell r="A118" t="str">
            <v>A</v>
          </cell>
          <cell r="B118" t="e">
            <v>#VALUE!</v>
          </cell>
        </row>
        <row r="119">
          <cell r="A119" t="str">
            <v>B</v>
          </cell>
          <cell r="B119" t="e">
            <v>#VALUE!</v>
          </cell>
        </row>
        <row r="120">
          <cell r="A120" t="str">
            <v>A</v>
          </cell>
          <cell r="B120" t="e">
            <v>#VALUE!</v>
          </cell>
        </row>
        <row r="121">
          <cell r="A121" t="str">
            <v>B</v>
          </cell>
          <cell r="B121" t="e">
            <v>#VALUE!</v>
          </cell>
        </row>
        <row r="122">
          <cell r="A122" t="str">
            <v>A</v>
          </cell>
          <cell r="B122" t="e">
            <v>#VALUE!</v>
          </cell>
        </row>
        <row r="123">
          <cell r="A123" t="str">
            <v>B</v>
          </cell>
          <cell r="B123" t="e">
            <v>#VALUE!</v>
          </cell>
        </row>
        <row r="124">
          <cell r="A124" t="str">
            <v>A</v>
          </cell>
          <cell r="B124" t="e">
            <v>#VALUE!</v>
          </cell>
        </row>
        <row r="125">
          <cell r="A125" t="str">
            <v>B</v>
          </cell>
          <cell r="B125" t="e">
            <v>#VALUE!</v>
          </cell>
        </row>
        <row r="126">
          <cell r="A126" t="str">
            <v>A</v>
          </cell>
          <cell r="B126" t="e">
            <v>#VALUE!</v>
          </cell>
        </row>
        <row r="127">
          <cell r="A127" t="str">
            <v>B</v>
          </cell>
          <cell r="B127" t="e">
            <v>#VALUE!</v>
          </cell>
        </row>
        <row r="128">
          <cell r="A128" t="str">
            <v>A</v>
          </cell>
          <cell r="B128" t="e">
            <v>#VALUE!</v>
          </cell>
        </row>
        <row r="129">
          <cell r="A129" t="str">
            <v>B</v>
          </cell>
          <cell r="B129" t="e">
            <v>#VALUE!</v>
          </cell>
        </row>
        <row r="130">
          <cell r="A130" t="str">
            <v>A</v>
          </cell>
          <cell r="B130" t="e">
            <v>#VALUE!</v>
          </cell>
        </row>
        <row r="131">
          <cell r="A131" t="str">
            <v>B</v>
          </cell>
          <cell r="B131" t="e">
            <v>#VALUE!</v>
          </cell>
        </row>
        <row r="132">
          <cell r="A132" t="str">
            <v>A</v>
          </cell>
          <cell r="B132" t="e">
            <v>#VALUE!</v>
          </cell>
        </row>
        <row r="133">
          <cell r="A133" t="str">
            <v>B</v>
          </cell>
          <cell r="B133" t="e">
            <v>#VALUE!</v>
          </cell>
        </row>
        <row r="134">
          <cell r="A134" t="str">
            <v>A</v>
          </cell>
          <cell r="B134" t="e">
            <v>#VALUE!</v>
          </cell>
        </row>
        <row r="135">
          <cell r="A135" t="str">
            <v>B</v>
          </cell>
          <cell r="B135" t="e">
            <v>#VALUE!</v>
          </cell>
        </row>
        <row r="136">
          <cell r="A136" t="str">
            <v>A</v>
          </cell>
          <cell r="B136" t="e">
            <v>#VALUE!</v>
          </cell>
        </row>
        <row r="137">
          <cell r="A137" t="str">
            <v>B</v>
          </cell>
          <cell r="B137" t="e">
            <v>#VALUE!</v>
          </cell>
        </row>
        <row r="138">
          <cell r="A138" t="str">
            <v>A</v>
          </cell>
          <cell r="B138" t="e">
            <v>#VALUE!</v>
          </cell>
        </row>
        <row r="139">
          <cell r="A139" t="str">
            <v>B</v>
          </cell>
          <cell r="B139" t="e">
            <v>#VALUE!</v>
          </cell>
        </row>
        <row r="140">
          <cell r="A140" t="str">
            <v>A</v>
          </cell>
          <cell r="B140" t="e">
            <v>#VALUE!</v>
          </cell>
        </row>
        <row r="141">
          <cell r="A141" t="str">
            <v>B</v>
          </cell>
          <cell r="B141" t="e">
            <v>#VALUE!</v>
          </cell>
        </row>
        <row r="142">
          <cell r="A142" t="str">
            <v>A</v>
          </cell>
          <cell r="B142" t="e">
            <v>#VALUE!</v>
          </cell>
        </row>
        <row r="143">
          <cell r="A143" t="str">
            <v>B</v>
          </cell>
          <cell r="B143" t="e">
            <v>#VALUE!</v>
          </cell>
        </row>
        <row r="144">
          <cell r="A144" t="str">
            <v>A</v>
          </cell>
          <cell r="B144" t="e">
            <v>#VALUE!</v>
          </cell>
        </row>
        <row r="145">
          <cell r="A145" t="str">
            <v>B</v>
          </cell>
          <cell r="B145" t="e">
            <v>#VALUE!</v>
          </cell>
        </row>
        <row r="146">
          <cell r="A146" t="str">
            <v>A</v>
          </cell>
          <cell r="B146" t="e">
            <v>#VALUE!</v>
          </cell>
        </row>
        <row r="147">
          <cell r="A147" t="str">
            <v>B</v>
          </cell>
          <cell r="B147" t="e">
            <v>#VALUE!</v>
          </cell>
        </row>
        <row r="148">
          <cell r="A148" t="str">
            <v>A</v>
          </cell>
          <cell r="B148" t="e">
            <v>#VALUE!</v>
          </cell>
        </row>
        <row r="149">
          <cell r="A149" t="str">
            <v>B</v>
          </cell>
          <cell r="B149" t="e">
            <v>#VALUE!</v>
          </cell>
        </row>
        <row r="150">
          <cell r="A150" t="str">
            <v>A</v>
          </cell>
          <cell r="B150" t="e">
            <v>#VALUE!</v>
          </cell>
        </row>
        <row r="151">
          <cell r="A151" t="str">
            <v>B</v>
          </cell>
          <cell r="B151" t="e">
            <v>#VALUE!</v>
          </cell>
        </row>
        <row r="152">
          <cell r="A152" t="str">
            <v>A</v>
          </cell>
          <cell r="B152" t="e">
            <v>#VALUE!</v>
          </cell>
        </row>
        <row r="153">
          <cell r="A153" t="str">
            <v>B</v>
          </cell>
          <cell r="B153" t="e">
            <v>#VALUE!</v>
          </cell>
        </row>
        <row r="154">
          <cell r="A154" t="str">
            <v>A</v>
          </cell>
          <cell r="B154" t="e">
            <v>#VALUE!</v>
          </cell>
        </row>
        <row r="155">
          <cell r="A155" t="str">
            <v>B</v>
          </cell>
          <cell r="B155" t="e">
            <v>#VALUE!</v>
          </cell>
        </row>
        <row r="158">
          <cell r="A158" t="str">
            <v>A</v>
          </cell>
          <cell r="B158" t="e">
            <v>#VALUE!</v>
          </cell>
        </row>
        <row r="159">
          <cell r="A159" t="str">
            <v>B</v>
          </cell>
          <cell r="B159" t="e">
            <v>#VALUE!</v>
          </cell>
        </row>
        <row r="162">
          <cell r="A162" t="str">
            <v>A</v>
          </cell>
          <cell r="B162" t="e">
            <v>#VALUE!</v>
          </cell>
        </row>
        <row r="163">
          <cell r="A163" t="str">
            <v>B</v>
          </cell>
          <cell r="B163" t="e">
            <v>#VALUE!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1"/>
      <sheetName val="1.산출내역서"/>
      <sheetName val="2. 물량집계표"/>
      <sheetName val="표지2"/>
      <sheetName val="1.일위대가표"/>
      <sheetName val="2.단가산출기준"/>
      <sheetName val="3.가격대비표"/>
      <sheetName val="4.비목별요율적용기준"/>
      <sheetName val="5.노임단가 산정"/>
      <sheetName val="5.영상화공량기준"/>
      <sheetName val="6. 경비 산출 근거"/>
      <sheetName val="7. 손해배상공제료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B11">
            <v>8.6999999999999994E-3</v>
          </cell>
        </row>
        <row r="13">
          <cell r="B13">
            <v>7.3000000000000001E-3</v>
          </cell>
        </row>
        <row r="16">
          <cell r="B16">
            <v>4.4999999999999998E-2</v>
          </cell>
        </row>
        <row r="18">
          <cell r="B18">
            <v>3.3349999999999998E-2</v>
          </cell>
        </row>
        <row r="20">
          <cell r="B20">
            <v>0.10249999999999999</v>
          </cell>
        </row>
      </sheetData>
      <sheetData sheetId="8"/>
      <sheetData sheetId="9"/>
      <sheetData sheetId="10"/>
      <sheetData sheetId="1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본변경화일"/>
      <sheetName val="전문하도급"/>
      <sheetName val="일위대가"/>
      <sheetName val="MOTOR"/>
      <sheetName val="#REF"/>
      <sheetName val="교량전기"/>
      <sheetName val="평가데이터"/>
      <sheetName val="내역"/>
      <sheetName val="현장관리비 산출내역"/>
      <sheetName val="경상비"/>
      <sheetName val="DANGA"/>
      <sheetName val="단가표"/>
      <sheetName val="단가"/>
      <sheetName val="내역서"/>
      <sheetName val="국내조달(통합-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건축음향내역서"/>
      <sheetName val="Sheet1"/>
      <sheetName val="Sheet2"/>
      <sheetName val="Sheet3"/>
      <sheetName val="가격표"/>
      <sheetName val="건축음향"/>
      <sheetName val="방송일위대가"/>
      <sheetName val="#REF"/>
      <sheetName val="신우"/>
      <sheetName val="과천M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원가계산서"/>
      <sheetName val="변경요약서"/>
      <sheetName val="공사비집계"/>
      <sheetName val="내역서(BLR)"/>
      <sheetName val="내역서(D.H, 폐수)"/>
      <sheetName val="산출내역서"/>
      <sheetName val="산출(TUBE)"/>
      <sheetName val="일위"/>
      <sheetName val="일위(TUBE)"/>
      <sheetName val="수량산출서"/>
      <sheetName val="공량산출(TUBE)"/>
      <sheetName val="잡재료비"/>
      <sheetName val="외주가공비"/>
      <sheetName val="품질관리비"/>
      <sheetName val="단가비교표"/>
      <sheetName val="적용율"/>
      <sheetName val="날자별"/>
      <sheetName val="기기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cp-e1"/>
      <sheetName val="기준표"/>
      <sheetName val="현황"/>
      <sheetName val="프린터현황"/>
      <sheetName val="원가 (2)"/>
      <sheetName val="원가"/>
      <sheetName val="재집"/>
      <sheetName val="직재"/>
      <sheetName val="소요량"/>
      <sheetName val="간재"/>
      <sheetName val="용접재료"/>
      <sheetName val="간재비율"/>
      <sheetName val="작업설"/>
      <sheetName val="단가"/>
      <sheetName val="노집"/>
      <sheetName val="노무"/>
      <sheetName val="공수"/>
      <sheetName val="간노"/>
      <sheetName val="임금"/>
      <sheetName val="임율"/>
      <sheetName val="경비"/>
      <sheetName val="배부"/>
      <sheetName val="조정액"/>
      <sheetName val="일반"/>
      <sheetName val="일반관리비"/>
      <sheetName val="이윤"/>
      <sheetName val="이윤율"/>
      <sheetName val="손익"/>
      <sheetName val="제조"/>
      <sheetName val="기업"/>
      <sheetName val="운반비"/>
      <sheetName val="삭제소요량"/>
      <sheetName val="총괄"/>
      <sheetName val="가설대가"/>
      <sheetName val="토공대가"/>
      <sheetName val="구조대가"/>
      <sheetName val="포설대가1"/>
      <sheetName val="부대대가"/>
      <sheetName val="제직재"/>
      <sheetName val="D-경비1"/>
      <sheetName val="내역서1999.8최종"/>
      <sheetName val="J直材4"/>
      <sheetName val="C-직노1"/>
      <sheetName val="일위대가 집계표"/>
      <sheetName val="일위대가목록"/>
      <sheetName val="일위대가"/>
      <sheetName val="N賃率_職"/>
      <sheetName val="2-1. 경관조명 내역총괄표"/>
      <sheetName val="공예율"/>
      <sheetName val="실행내역"/>
      <sheetName val="직노"/>
      <sheetName val="6PILE  (돌출)"/>
      <sheetName val="건축내역"/>
      <sheetName val="노임단가"/>
      <sheetName val="#3E1_GCR"/>
      <sheetName val="품셈적용 자료"/>
      <sheetName val="시설물"/>
      <sheetName val="유지관리"/>
      <sheetName val="설계예산서"/>
      <sheetName val="DATE"/>
      <sheetName val="배관내역"/>
      <sheetName val="가도공"/>
      <sheetName val="산출내역서"/>
      <sheetName val="70%"/>
      <sheetName val="대,유,램"/>
      <sheetName val="중기사용료"/>
      <sheetName val="전선 및 전선관"/>
      <sheetName val="인건비(VOICE)"/>
      <sheetName val="ilch"/>
      <sheetName val="국별인원"/>
      <sheetName val="2공구산출내역"/>
      <sheetName val="명세서"/>
      <sheetName val="산출내역서 (2)"/>
      <sheetName val="시중노임"/>
      <sheetName val="1안"/>
      <sheetName val="입찰안"/>
      <sheetName val="기초자료입력"/>
      <sheetName val="단가산출목록표"/>
      <sheetName val="터파기및재료"/>
      <sheetName val="Sheet1"/>
      <sheetName val="I一般比"/>
      <sheetName val="패널"/>
      <sheetName val="용산1(해보)"/>
      <sheetName val="설계내역서"/>
      <sheetName val="노임단가표"/>
      <sheetName val="자재단가표"/>
      <sheetName val="일위대가(4층원격)"/>
      <sheetName val="정산"/>
      <sheetName val="일위목록"/>
      <sheetName val="쌍송교"/>
      <sheetName val="표지1"/>
      <sheetName val="별첨-기계경비 산출목록"/>
      <sheetName val="동원인원"/>
      <sheetName val="1000 DB구축 부표"/>
      <sheetName val="1차 내역서"/>
      <sheetName val="대가"/>
      <sheetName val="설직재-1"/>
      <sheetName val="제-노임"/>
      <sheetName val="시설물기초"/>
      <sheetName val="옥외 전력간선공사"/>
      <sheetName val="단가산출"/>
      <sheetName val="공정량산출내역서 "/>
      <sheetName val="일위대가표(유단가)"/>
      <sheetName val="깨기"/>
      <sheetName val="내역서"/>
      <sheetName val="GISDB_단가산출목록"/>
      <sheetName val="GISDB_단가산출표"/>
      <sheetName val="기자재비"/>
      <sheetName val="수량산출"/>
      <sheetName val="전기외주내역"/>
      <sheetName val="노임"/>
      <sheetName val="10.공통-노임단가"/>
      <sheetName val="중기사용료산출근거"/>
      <sheetName val="단가 및 재료비"/>
      <sheetName val="대목"/>
      <sheetName val="단가산출목록"/>
      <sheetName val="실적공사비단가"/>
      <sheetName val="SAMPLE"/>
      <sheetName val="CAUDIT"/>
      <sheetName val="수지예산"/>
      <sheetName val="조명시설"/>
      <sheetName val="Sheet3"/>
      <sheetName val="추가대화"/>
      <sheetName val="제경집계"/>
      <sheetName val="위치조서"/>
      <sheetName val="산출목록표"/>
      <sheetName val="20관리비율"/>
      <sheetName val="참조자료"/>
      <sheetName val="#REF"/>
      <sheetName val="설계명세서"/>
      <sheetName val="유림골조"/>
      <sheetName val="건물"/>
      <sheetName val="AV시스템"/>
      <sheetName val="갑지"/>
      <sheetName val="집계표"/>
      <sheetName val="일위대가표(교체)"/>
      <sheetName val="가로등내역서"/>
      <sheetName val="2000시행총괄"/>
      <sheetName val="시설장비부하계산서"/>
      <sheetName val="산출"/>
      <sheetName val="자재단가"/>
      <sheetName val="DATA"/>
      <sheetName val="데이타"/>
      <sheetName val="원가_(2)"/>
      <sheetName val="6PILE__(돌출)"/>
      <sheetName val="일위대가_집계표"/>
      <sheetName val="전선_및_전선관"/>
      <sheetName val="1000_DB구축_부표"/>
      <sheetName val="내역서2안"/>
      <sheetName val="CT "/>
      <sheetName val="원가계산서"/>
      <sheetName val="노임이"/>
      <sheetName val="인건비"/>
      <sheetName val="일위대가(출입)"/>
      <sheetName val="일위(PN)"/>
      <sheetName val="단가조사"/>
      <sheetName val="경율산정.XLS"/>
      <sheetName val="단가 "/>
      <sheetName val="일위대가 (PM)"/>
      <sheetName val="금액내역서"/>
      <sheetName val="내역"/>
      <sheetName val="9509"/>
      <sheetName val="전국현황"/>
      <sheetName val="정부노임단가"/>
      <sheetName val="전기"/>
      <sheetName val="부하계산서"/>
      <sheetName val="기본일위"/>
      <sheetName val="5흙막이"/>
      <sheetName val="견적서"/>
      <sheetName val="8.PILE  (돌출)"/>
      <sheetName val="동원(3)"/>
      <sheetName val="노무비단가"/>
      <sheetName val="내역1"/>
      <sheetName val="화해(함평)"/>
      <sheetName val="화해(장성)"/>
      <sheetName val="시설물일위"/>
      <sheetName val="수량산출1"/>
      <sheetName val="Baby일위대가"/>
      <sheetName val="불법주정차"/>
      <sheetName val="기준FACTOR"/>
      <sheetName val="9811"/>
      <sheetName val="단가산출서"/>
      <sheetName val="CATV"/>
      <sheetName val="예정공정표 (2)"/>
      <sheetName val="2분기평가"/>
      <sheetName val="공종단가"/>
      <sheetName val="증감대비"/>
      <sheetName val="재료"/>
      <sheetName val="설치자재"/>
      <sheetName val="일용노임단가2001상"/>
      <sheetName val="단"/>
      <sheetName val="자료"/>
      <sheetName val="을"/>
      <sheetName val="물량산출(지점)"/>
      <sheetName val="골조시행"/>
      <sheetName val="구리토평1전기"/>
      <sheetName val="대"/>
      <sheetName val="노무비"/>
      <sheetName val="96작생능"/>
      <sheetName val="환율"/>
      <sheetName val="DWG-CAB-I"/>
      <sheetName val="전력"/>
      <sheetName val="특수선일위대가"/>
      <sheetName val="3련 BOX"/>
      <sheetName val="도로정위치부표"/>
      <sheetName val="도로조사부표"/>
      <sheetName val="실행철강하도"/>
      <sheetName val="A1"/>
      <sheetName val="회사정보"/>
      <sheetName val="단가산출서_토목"/>
      <sheetName val="2-3.공사비내역서"/>
      <sheetName val="4-2. 기계경비산출"/>
      <sheetName val="7.노무비 근거"/>
      <sheetName val="3-2.일위대가"/>
      <sheetName val="날개벽"/>
      <sheetName val="식재일위대가"/>
      <sheetName val="ABUT수량-A1"/>
      <sheetName val="INPUT"/>
      <sheetName val="Sheet4"/>
      <sheetName val="단가기준"/>
      <sheetName val="현장경비"/>
      <sheetName val="공문"/>
      <sheetName val="WORK"/>
      <sheetName val="현장관리비"/>
      <sheetName val="단가조사서"/>
      <sheetName val="횡 연장"/>
      <sheetName val="암거단위"/>
      <sheetName val="일위대가(가설)"/>
      <sheetName val="ELECTRIC"/>
      <sheetName val="차액보증"/>
      <sheetName val="2000년1차"/>
      <sheetName val="Sheet13"/>
      <sheetName val="Customer Databas"/>
      <sheetName val="전체"/>
      <sheetName val="프랜트면허"/>
      <sheetName val="TOTAL"/>
      <sheetName val="식재인부"/>
      <sheetName val="도급FORM"/>
      <sheetName val="이토변실(A3-LINE)"/>
      <sheetName val="기계경비(시간당)"/>
      <sheetName val="램머"/>
      <sheetName val="Sheet14"/>
      <sheetName val="설계서식"/>
      <sheetName val="공사비"/>
      <sheetName val="PANEL가격"/>
      <sheetName val="도급예산내역서총괄표"/>
      <sheetName val="설계산출기초"/>
      <sheetName val="중기목록표"/>
      <sheetName val="덤프"/>
      <sheetName val="석재다짐"/>
      <sheetName val="소운반"/>
      <sheetName val="아스콘"/>
      <sheetName val="장비"/>
      <sheetName val="내역전기"/>
      <sheetName val="철거산출근거"/>
      <sheetName val="품셈표"/>
      <sheetName val="산근"/>
      <sheetName val="데리네이타현황"/>
      <sheetName val="물가대비표"/>
      <sheetName val="값"/>
      <sheetName val="길어깨(현황)"/>
      <sheetName val="맨홀수량산출(1.0×1.0×1.0)"/>
      <sheetName val="예산내역"/>
      <sheetName val="총괄수지표"/>
      <sheetName val="설계내역2"/>
      <sheetName val="일위_파일"/>
      <sheetName val="소방"/>
      <sheetName val="wall"/>
      <sheetName val="AL공사(원)"/>
      <sheetName val="6호기"/>
      <sheetName val="10월"/>
      <sheetName val="대비"/>
      <sheetName val="기초목"/>
      <sheetName val="2.대외공문"/>
      <sheetName val="일위대가(건축)"/>
      <sheetName val="갑지(추정)"/>
      <sheetName val="단중표"/>
      <sheetName val="기본설계기준"/>
      <sheetName val="품셈총괄표"/>
      <sheetName val="토목주소"/>
      <sheetName val="적격점수&lt;300억미만&gt;"/>
      <sheetName val="예가표"/>
      <sheetName val="COVER"/>
      <sheetName val="전기변내역"/>
      <sheetName val="기초단가"/>
      <sheetName val="2.냉난방설비공사"/>
      <sheetName val="7.자동제어공사"/>
      <sheetName val="동수"/>
      <sheetName val="COST"/>
      <sheetName val="급수 (LPM)"/>
      <sheetName val="Mc1"/>
      <sheetName val="인원계획-미화"/>
      <sheetName val="익산"/>
      <sheetName val="총 원가계산"/>
      <sheetName val="물량표"/>
      <sheetName val="적현로"/>
      <sheetName val="기본사항"/>
      <sheetName val="동력기별"/>
      <sheetName val="OPGW기별"/>
      <sheetName val="일위"/>
      <sheetName val="Sheet5"/>
      <sheetName val="기본입력"/>
      <sheetName val="내역5"/>
      <sheetName val="대가단최종"/>
      <sheetName val="전기일위목록"/>
      <sheetName val="단가표"/>
      <sheetName val="공사비예산서_토목분_"/>
      <sheetName val="TRE TABLE"/>
      <sheetName val="생산량"/>
      <sheetName val="판매가격(정리)"/>
      <sheetName val="주문"/>
      <sheetName val="공사내역"/>
      <sheetName val="일용직내역"/>
      <sheetName val="BOX전기내역"/>
      <sheetName val="CTEMCOST"/>
      <sheetName val="시중노임(공사)"/>
      <sheetName val="설비(제출)"/>
      <sheetName val="전차선로 물량표"/>
      <sheetName val="한강운반비"/>
      <sheetName val="자재"/>
      <sheetName val="파일의이용"/>
      <sheetName val="EXPENSE"/>
      <sheetName val="실행내역서"/>
      <sheetName val="6. 직접경비"/>
      <sheetName val="설계서"/>
      <sheetName val="BEND LOSS"/>
      <sheetName val="수량산출2"/>
      <sheetName val="단가대비"/>
      <sheetName val="물량"/>
      <sheetName val="ITEM"/>
      <sheetName val="산출기초"/>
      <sheetName val="도근좌표"/>
      <sheetName val="물량내역"/>
      <sheetName val=" 견적서"/>
      <sheetName val="단위목록"/>
      <sheetName val="시험비"/>
      <sheetName val="구역화물"/>
      <sheetName val="BM"/>
      <sheetName val="NYS"/>
      <sheetName val="HVAC"/>
      <sheetName val="REDUCER"/>
      <sheetName val="계측"/>
      <sheetName val="도급견적가"/>
      <sheetName val="잡설비내역"/>
      <sheetName val="ABOVEISO(IBL)"/>
      <sheetName val="원재료출고수량"/>
      <sheetName val="건축일위"/>
      <sheetName val="그라우팅일위"/>
      <sheetName val="표지"/>
      <sheetName val="설비원가"/>
      <sheetName val="적용기준표(98년상반기)"/>
      <sheetName val="노임단가(전기·통신)"/>
      <sheetName val="설계"/>
      <sheetName val="5-1.설계명세서"/>
      <sheetName val="공사계획서"/>
      <sheetName val="BS"/>
      <sheetName val="출력은 금물"/>
      <sheetName val="공사개요"/>
      <sheetName val="data spec"/>
      <sheetName val="중기일위대가"/>
      <sheetName val="기성2"/>
      <sheetName val="총체보활공정표"/>
      <sheetName val="단가(1)"/>
      <sheetName val="수목표준대가"/>
      <sheetName val="돈암사업"/>
      <sheetName val="기계경비총괄표"/>
      <sheetName val="일위대가_현장"/>
      <sheetName val="HW"/>
      <sheetName val="범용도입(1차)"/>
      <sheetName val="SW"/>
      <sheetName val="S&amp;R"/>
      <sheetName val="원가_(2)1"/>
      <sheetName val="일위대가_집계표1"/>
      <sheetName val="6PILE__(돌출)1"/>
      <sheetName val="전선_및_전선관1"/>
      <sheetName val="1차_내역서"/>
      <sheetName val="별첨-기계경비_산출목록"/>
      <sheetName val="내역서1999_8최종"/>
      <sheetName val="10_공통-노임단가"/>
      <sheetName val="1000_DB구축_부표1"/>
      <sheetName val="단가_및_재료비"/>
      <sheetName val="옥외_전력간선공사"/>
      <sheetName val="CT_"/>
      <sheetName val=" 갑  지 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95"/>
      <sheetName val="간노비"/>
      <sheetName val="간노비95"/>
      <sheetName val="Y-WORK"/>
      <sheetName val="5사남"/>
      <sheetName val="투찰추정"/>
      <sheetName val="을지"/>
      <sheetName val="대가목록"/>
      <sheetName val="공량산출서"/>
      <sheetName val="정산내역서"/>
      <sheetName val="Sheet2"/>
      <sheetName val="3집"/>
      <sheetName val="도로단위당"/>
      <sheetName val="직종별노임단가표"/>
      <sheetName val="제2호단위수량"/>
      <sheetName val="식재가격"/>
      <sheetName val="식재총괄"/>
      <sheetName val="코드표"/>
      <sheetName val="AC포장수량"/>
      <sheetName val="설계내역"/>
      <sheetName val="원가계산서(공사)"/>
      <sheetName val="실행내역 "/>
      <sheetName val="회관내역"/>
      <sheetName val="회관내역 (2)"/>
      <sheetName val="공동내역"/>
      <sheetName val="공동내역 (2)"/>
      <sheetName val="쉼터내역"/>
      <sheetName val="쉼터내역 (2)"/>
      <sheetName val="단위단가"/>
      <sheetName val="원가계산서 "/>
      <sheetName val="b_balju_cho"/>
      <sheetName val="점검총괄"/>
      <sheetName val="표  지"/>
      <sheetName val="단위중량"/>
      <sheetName val="노임변동률"/>
      <sheetName val="변경내역"/>
      <sheetName val="요율"/>
      <sheetName val="※참고자료※"/>
      <sheetName val="공정량산출내역서_"/>
      <sheetName val="단가_"/>
      <sheetName val="일위대가_(PM)"/>
      <sheetName val="예정공정표_(2)"/>
      <sheetName val="8_PILE__(돌출)"/>
      <sheetName val="교각1"/>
      <sheetName val="품셈총괄"/>
      <sheetName val="기본DATA Sheet"/>
      <sheetName val="수량총괄"/>
      <sheetName val="대내"/>
      <sheetName val="시장성초안camera"/>
      <sheetName val="7.수지"/>
      <sheetName val="납부서"/>
      <sheetName val="횡배수관"/>
      <sheetName val="부분별수량산출(조합기초)"/>
      <sheetName val="내역서적용수량"/>
      <sheetName val="배수공 시멘트 및 골재량 산출"/>
      <sheetName val="가시설"/>
      <sheetName val="포장절단"/>
      <sheetName val="단가및재료비"/>
      <sheetName val="여과지동"/>
      <sheetName val="기초자료"/>
      <sheetName val="기초일위"/>
      <sheetName val="시설일위"/>
      <sheetName val="조명일위"/>
      <sheetName val="관급"/>
      <sheetName val="물량master"/>
      <sheetName val="하수급견적대비"/>
      <sheetName val="3.하중계산"/>
      <sheetName val="자재표"/>
      <sheetName val="A"/>
      <sheetName val="6공구(당초)"/>
      <sheetName val="내역서(시설)"/>
      <sheetName val="당사"/>
      <sheetName val="건축집계"/>
      <sheetName val="갑지1"/>
      <sheetName val="연부97-1"/>
      <sheetName val="금융비용"/>
      <sheetName val="경비2내역"/>
      <sheetName val="EQT-ESTN"/>
      <sheetName val="환경기계공정표 (3)"/>
      <sheetName val="DATA 입력란"/>
      <sheetName val="1. 설계조건 2.단면가정 3. 하중계산"/>
      <sheetName val="sw1"/>
      <sheetName val="자재단가비교표"/>
      <sheetName val="일위목차"/>
      <sheetName val="SORCE1"/>
      <sheetName val="3"/>
      <sheetName val="관급총괄"/>
      <sheetName val="XL4Poppy"/>
      <sheetName val="관급자재대"/>
      <sheetName val="실행"/>
      <sheetName val="물가자료"/>
      <sheetName val="건축원가"/>
      <sheetName val="공통가설"/>
      <sheetName val="전기BOX내역서"/>
      <sheetName val="000000"/>
      <sheetName val="문학간접"/>
      <sheetName val="비탈면보호공수량산출"/>
      <sheetName val="실행갑지"/>
      <sheetName val="단위수량"/>
      <sheetName val="금액"/>
      <sheetName val="판매시설"/>
      <sheetName val="3지구단위"/>
      <sheetName val="단가산출2"/>
      <sheetName val="단가산출1"/>
      <sheetName val="98지급계획"/>
      <sheetName val="산출집계표"/>
      <sheetName val="b_balju-단가단가단가"/>
      <sheetName val="1"/>
      <sheetName val="식음료"/>
      <sheetName val="부대공"/>
      <sheetName val="토공"/>
      <sheetName val="포장공"/>
      <sheetName val="3.건축(현장안)"/>
      <sheetName val="Macro1"/>
      <sheetName val="설계조건"/>
      <sheetName val="설계예시"/>
      <sheetName val="단가조정표"/>
      <sheetName val="anaysis_sheet"/>
      <sheetName val="친환경주택"/>
      <sheetName val="1000_ɄB구축_부표"/>
      <sheetName val="B"/>
      <sheetName val="총투입계"/>
      <sheetName val="설계표지"/>
      <sheetName val="대운산출"/>
      <sheetName val="웅진교-S2"/>
      <sheetName val="단관데이터"/>
      <sheetName val="이형관데이터"/>
      <sheetName val="가격조사서"/>
      <sheetName val="Customer_Databas"/>
      <sheetName val="2_냉난방설비공사"/>
      <sheetName val="7_자동제어공사"/>
      <sheetName val="횡_연장"/>
      <sheetName val="급수_(LPM)"/>
      <sheetName val="2-1__경관조명_내역총괄표"/>
      <sheetName val="경율산정_XLS"/>
      <sheetName val="3련_BOX"/>
      <sheetName val="2_대외공문"/>
      <sheetName val="TRE_TABLE"/>
      <sheetName val="총_원가계산"/>
      <sheetName val="도급양식"/>
      <sheetName val="단위량"/>
      <sheetName val="재료집계표2"/>
      <sheetName val="토적집계표"/>
      <sheetName val="날개벽수량표"/>
      <sheetName val="추진배경(LEZ)"/>
      <sheetName val="전국_노후경유차"/>
      <sheetName val="토목"/>
      <sheetName val="DHEQSUPT"/>
      <sheetName val="-동력(한전)"/>
      <sheetName val="-전등전열(한전)"/>
      <sheetName val="IEC60364-52(허용전류)"/>
      <sheetName val="가시설단위수량"/>
      <sheetName val="자재단가표_관로"/>
      <sheetName val="단가일람"/>
      <sheetName val="조경일람"/>
      <sheetName val="일위대가목차"/>
      <sheetName val="일위대가표"/>
      <sheetName val="단가산출표"/>
      <sheetName val="지수적용공사비내역서"/>
      <sheetName val="예산총괄표"/>
      <sheetName val="품셈TABLE"/>
      <sheetName val="단면가정"/>
      <sheetName val="건축공사 집계표"/>
      <sheetName val="골조"/>
      <sheetName val="영창26"/>
      <sheetName val="통장출금액"/>
      <sheetName val="토사(PE)"/>
      <sheetName val="일용노임단가"/>
      <sheetName val="SG"/>
      <sheetName val="1062-x방향 "/>
      <sheetName val="화전내"/>
      <sheetName val="1.설계조건"/>
      <sheetName val="일위7"/>
      <sheetName val="일위6"/>
      <sheetName val="일위5"/>
      <sheetName val="노무단가비교표"/>
      <sheetName val="일위1"/>
      <sheetName val="일위2"/>
      <sheetName val="일위3"/>
      <sheetName val="일위4"/>
      <sheetName val="단가대비표"/>
      <sheetName val="일위8"/>
      <sheetName val="일위9"/>
      <sheetName val="수량집계"/>
      <sheetName val="공구"/>
      <sheetName val="사업부배부A"/>
      <sheetName val="현장조사"/>
      <sheetName val="을부담운반비"/>
      <sheetName val="운반비산출"/>
      <sheetName val="설계산출표지"/>
      <sheetName val="부대내역"/>
      <sheetName val="QandAJunior"/>
      <sheetName val="개산공사비"/>
      <sheetName val="원가계산"/>
      <sheetName val="대공종"/>
      <sheetName val="역간(덕_동)"/>
      <sheetName val="역간(의-덕)"/>
      <sheetName val="토목검측서"/>
      <sheetName val="소형맨홀"/>
      <sheetName val="동원인원산출"/>
      <sheetName val="D-3109"/>
      <sheetName val="기계단가"/>
      <sheetName val="7.5.3 BOX-A"/>
      <sheetName val="원가_(2)2"/>
      <sheetName val="일위대가_집계표2"/>
      <sheetName val="6PILE__(돌출)2"/>
      <sheetName val="전선_및_전선관2"/>
      <sheetName val="1차_내역서1"/>
      <sheetName val="옥외_전력간선공사1"/>
      <sheetName val="내역서1999_8최종1"/>
      <sheetName val="별첨-기계경비_산출목록1"/>
      <sheetName val="1000_DB구축_부표2"/>
      <sheetName val="10_공통-노임단가1"/>
      <sheetName val="단가_및_재료비1"/>
      <sheetName val="CT_1"/>
      <sheetName val="8_PILE__(돌출)1"/>
      <sheetName val="단가_1"/>
      <sheetName val="일위대가_(PM)1"/>
      <sheetName val="공정량산출내역서_1"/>
      <sheetName val="예정공정표_(2)1"/>
      <sheetName val="2-3_공사비내역서"/>
      <sheetName val="4-2__기계경비산출"/>
      <sheetName val="7_노무비_근거"/>
      <sheetName val="3-2_일위대가"/>
      <sheetName val="맨홀수량산출(1_0×1_0×1_0)"/>
      <sheetName val="_견적서"/>
      <sheetName val="전차선로_물량표"/>
      <sheetName val="6__직접경비"/>
      <sheetName val="BEND_LOSS"/>
      <sheetName val="1062-x방향_"/>
      <sheetName val="견적서을"/>
      <sheetName val="단가리스트(영상감시시스템)"/>
      <sheetName val="목차"/>
      <sheetName val="간지"/>
      <sheetName val="일위목록표"/>
      <sheetName val="    "/>
      <sheetName val="기계경비단가총괄표"/>
      <sheetName val="기계경비단가산출표"/>
      <sheetName val="기계경비손료 및 운전경비 산출"/>
      <sheetName val="기계경비 손료 및 운전경비 산출기준"/>
      <sheetName val="단가조사표"/>
      <sheetName val="   "/>
      <sheetName val="계수"/>
      <sheetName val="용어"/>
      <sheetName val="1.2 예정공정표"/>
      <sheetName val="1. 공사비총괄"/>
      <sheetName val="예산내역서 총괄"/>
      <sheetName val="물품구매내역서"/>
      <sheetName val="2. 공사원가계산서"/>
      <sheetName val="3. 설치공사내역서"/>
      <sheetName val="4. 공종별내역서"/>
      <sheetName val="S1"/>
      <sheetName val="기본단가표"/>
      <sheetName val="단가비교표"/>
      <sheetName val="공사예산하조서(O.K)"/>
      <sheetName val="3.내역서"/>
      <sheetName val="설비2차"/>
      <sheetName val="토량1-1"/>
      <sheetName val="분석DATA(년도별)"/>
      <sheetName val="회로내역(승인)"/>
      <sheetName val="제잡비 산출내역(실적공사비)"/>
      <sheetName val="★도급내역"/>
      <sheetName val="설명서 "/>
      <sheetName val="하부철근수량"/>
      <sheetName val="냉천부속동"/>
      <sheetName val="2호맨홀공제수량"/>
      <sheetName val="가계부"/>
      <sheetName val="제품목록"/>
      <sheetName val="매입매출관리"/>
      <sheetName val="BOQ"/>
      <sheetName val="전체내역 (2)"/>
      <sheetName val="협조전"/>
      <sheetName val="도체종-상수표"/>
      <sheetName val="BOX복구단위수량"/>
      <sheetName val="9GNG운반"/>
      <sheetName val="Macro상수"/>
      <sheetName val="도로경계블럭연장조서"/>
      <sheetName val="수량산출서_천안"/>
      <sheetName val="수량산출서_아산"/>
      <sheetName val="관로수량산출집계"/>
      <sheetName val="한전수탁공사비내역서"/>
      <sheetName val="pldt"/>
      <sheetName val="설계서표지"/>
      <sheetName val="총괄내역서"/>
      <sheetName val="3. SW 총괄"/>
      <sheetName val="SW신규표지"/>
      <sheetName val="기반정보연계 FP산정"/>
      <sheetName val="기반정보 연계 소프트웨어개발비산출-간이법"/>
      <sheetName val="기반정보 연계 (참조)보정계수"/>
      <sheetName val="96노임기준"/>
      <sheetName val="File_관급"/>
      <sheetName val="공정집계"/>
      <sheetName val="부진점(10.09)"/>
      <sheetName val="설비"/>
      <sheetName val="자  재"/>
      <sheetName val="건축외주"/>
      <sheetName val="3.설계예산내역서(예산서)"/>
      <sheetName val="2.예정공정표"/>
      <sheetName val="ELEC"/>
      <sheetName val="정보연계 FP산정"/>
      <sheetName val="정보연계 소프트웨어개발비산출-간이법"/>
      <sheetName val="정보연계 (참조)보정계수"/>
      <sheetName val="개별직종노임단가(2002.5)"/>
      <sheetName val="본댐설계"/>
      <sheetName val="3.실투입(운반)"/>
      <sheetName val="통로box전기"/>
      <sheetName val="사업성분석"/>
      <sheetName val="할증 "/>
      <sheetName val="공개"/>
      <sheetName val="품의"/>
      <sheetName val="현경"/>
      <sheetName val="☜사⊥발☞"/>
      <sheetName val="메서,변+증"/>
      <sheetName val="맨홀조서"/>
      <sheetName val="참고자료"/>
      <sheetName val="단면 (2)"/>
      <sheetName val="인사자료총집계"/>
      <sheetName val="일반전기C"/>
      <sheetName val="일위대가(뷔페)"/>
      <sheetName val="CON'C"/>
      <sheetName val="넉시~922"/>
      <sheetName val="대수산분기~LG918"/>
      <sheetName val="색달~중문"/>
      <sheetName val="중문~삼일"/>
      <sheetName val="신서귀~고근산"/>
      <sheetName val="미악분기~913"/>
      <sheetName val="일위산출근거"/>
      <sheetName val="배수공"/>
      <sheetName val="TOTAL_BOQ"/>
      <sheetName val="기준_국가명"/>
      <sheetName val="덤프트럭계수"/>
      <sheetName val="1.설계기준"/>
      <sheetName val="C.배수관공"/>
      <sheetName val="Sheet1 (2)"/>
      <sheetName val="동력_산출근거"/>
      <sheetName val="토공수량산출"/>
      <sheetName val="토적계산서"/>
      <sheetName val="각입중량산출서"/>
      <sheetName val="호표"/>
      <sheetName val="맨홀_공사비"/>
      <sheetName val="맨홀수량산출"/>
      <sheetName val="기성내역1"/>
      <sheetName val="설계기준"/>
      <sheetName val="간접"/>
      <sheetName val="안전시설내역서"/>
    </sheetNames>
    <sheetDataSet>
      <sheetData sheetId="0" refreshError="1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5">
          <cell r="I5">
            <v>1</v>
          </cell>
        </row>
      </sheetData>
      <sheetData sheetId="7">
        <row r="5">
          <cell r="I5">
            <v>1</v>
          </cell>
        </row>
      </sheetData>
      <sheetData sheetId="8">
        <row r="5">
          <cell r="I5">
            <v>1</v>
          </cell>
        </row>
      </sheetData>
      <sheetData sheetId="9">
        <row r="5">
          <cell r="I5">
            <v>1</v>
          </cell>
        </row>
      </sheetData>
      <sheetData sheetId="10">
        <row r="5">
          <cell r="I5">
            <v>1</v>
          </cell>
        </row>
      </sheetData>
      <sheetData sheetId="11">
        <row r="5">
          <cell r="I5">
            <v>1</v>
          </cell>
        </row>
      </sheetData>
      <sheetData sheetId="12">
        <row r="5">
          <cell r="I5">
            <v>1</v>
          </cell>
        </row>
      </sheetData>
      <sheetData sheetId="13">
        <row r="5">
          <cell r="I5">
            <v>1</v>
          </cell>
        </row>
      </sheetData>
      <sheetData sheetId="14">
        <row r="5">
          <cell r="I5">
            <v>1</v>
          </cell>
        </row>
      </sheetData>
      <sheetData sheetId="15">
        <row r="5">
          <cell r="I5">
            <v>1</v>
          </cell>
        </row>
      </sheetData>
      <sheetData sheetId="16">
        <row r="5">
          <cell r="I5">
            <v>1</v>
          </cell>
        </row>
      </sheetData>
      <sheetData sheetId="17">
        <row r="5">
          <cell r="I5">
            <v>1</v>
          </cell>
        </row>
      </sheetData>
      <sheetData sheetId="18">
        <row r="5">
          <cell r="I5">
            <v>1</v>
          </cell>
        </row>
      </sheetData>
      <sheetData sheetId="19">
        <row r="5">
          <cell r="I5">
            <v>1</v>
          </cell>
        </row>
      </sheetData>
      <sheetData sheetId="20">
        <row r="5">
          <cell r="I5">
            <v>1</v>
          </cell>
        </row>
      </sheetData>
      <sheetData sheetId="21">
        <row r="5">
          <cell r="I5">
            <v>1</v>
          </cell>
        </row>
      </sheetData>
      <sheetData sheetId="22">
        <row r="5">
          <cell r="I5">
            <v>1</v>
          </cell>
        </row>
      </sheetData>
      <sheetData sheetId="23">
        <row r="5">
          <cell r="I5">
            <v>1</v>
          </cell>
        </row>
      </sheetData>
      <sheetData sheetId="24">
        <row r="5">
          <cell r="I5">
            <v>1</v>
          </cell>
        </row>
      </sheetData>
      <sheetData sheetId="25">
        <row r="5">
          <cell r="I5">
            <v>1</v>
          </cell>
        </row>
      </sheetData>
      <sheetData sheetId="26">
        <row r="5">
          <cell r="I5">
            <v>1</v>
          </cell>
        </row>
      </sheetData>
      <sheetData sheetId="27">
        <row r="5">
          <cell r="I5">
            <v>1</v>
          </cell>
        </row>
      </sheetData>
      <sheetData sheetId="28">
        <row r="5">
          <cell r="I5">
            <v>1</v>
          </cell>
        </row>
      </sheetData>
      <sheetData sheetId="29">
        <row r="5">
          <cell r="I5">
            <v>1</v>
          </cell>
        </row>
      </sheetData>
      <sheetData sheetId="30">
        <row r="5">
          <cell r="I5">
            <v>1</v>
          </cell>
        </row>
      </sheetData>
      <sheetData sheetId="31">
        <row r="5">
          <cell r="I5">
            <v>1</v>
          </cell>
        </row>
      </sheetData>
      <sheetData sheetId="32">
        <row r="5">
          <cell r="I5">
            <v>1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7">
          <cell r="I7">
            <v>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/>
      <sheetData sheetId="595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/>
      <sheetData sheetId="725" refreshError="1"/>
      <sheetData sheetId="726" refreshError="1"/>
      <sheetData sheetId="727" refreshError="1"/>
      <sheetData sheetId="728"/>
      <sheetData sheetId="729"/>
      <sheetData sheetId="730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산출내역 (월기성)"/>
      <sheetName val="노임단가"/>
      <sheetName val="공량예산"/>
      <sheetName val="건축기성"/>
      <sheetName val="원가 (2)"/>
      <sheetName val="원가"/>
      <sheetName val="재집"/>
      <sheetName val="직재"/>
      <sheetName val="소요량"/>
      <sheetName val="간재"/>
      <sheetName val="용접재료"/>
      <sheetName val="간재비율"/>
      <sheetName val="작업설"/>
      <sheetName val="단가"/>
      <sheetName val="노집"/>
      <sheetName val="노무"/>
      <sheetName val="공수"/>
      <sheetName val="간노"/>
      <sheetName val="임금"/>
      <sheetName val="임율"/>
      <sheetName val="경비"/>
      <sheetName val="배부"/>
      <sheetName val="조정액"/>
      <sheetName val="일반"/>
      <sheetName val="일반관리비"/>
      <sheetName val="이윤"/>
      <sheetName val="이윤율"/>
      <sheetName val="손익"/>
      <sheetName val="제조"/>
      <sheetName val="기업"/>
      <sheetName val="운반비"/>
      <sheetName val="삭제소요량"/>
      <sheetName val="총괄"/>
      <sheetName val="I一般比"/>
      <sheetName val="단가조사"/>
      <sheetName val="기준표"/>
      <sheetName val="20관리비율"/>
      <sheetName val="견적"/>
      <sheetName val="PIPE(인수본)"/>
      <sheetName val="화해(장성)"/>
      <sheetName val="화해(함평)"/>
      <sheetName val="Sheet5"/>
      <sheetName val="자재단가"/>
      <sheetName val="Baby일위대가"/>
      <sheetName val="일위대가"/>
      <sheetName val="노무비단가"/>
      <sheetName val="전선 및 전선관"/>
      <sheetName val="내역1"/>
      <sheetName val="옥외 전력간선공사"/>
      <sheetName val="시설물일위"/>
      <sheetName val="동원(3)"/>
      <sheetName val="#REF"/>
      <sheetName val="수량산출"/>
      <sheetName val=" FURNACE현설"/>
      <sheetName val="경율산정.XLS"/>
      <sheetName val="원가계산서"/>
      <sheetName val="내역서"/>
      <sheetName val="N賃率_職"/>
      <sheetName val="b_balju_cho"/>
      <sheetName val="노임"/>
      <sheetName val="수량산출1"/>
      <sheetName val="자재단가표"/>
      <sheetName val="C-직노1"/>
      <sheetName val="중기사용료"/>
      <sheetName val="노무비"/>
      <sheetName val="중기일위대가"/>
      <sheetName val="토공"/>
      <sheetName val="공조기휀"/>
      <sheetName val="제작비추산총괄표"/>
      <sheetName val="인부임"/>
      <sheetName val="산경"/>
      <sheetName val="내역"/>
      <sheetName val="일위대가(가설)"/>
      <sheetName val="명세서(을)"/>
      <sheetName val="노임단가(일반)"/>
      <sheetName val="공예을"/>
      <sheetName val="J直材4"/>
      <sheetName val="Data"/>
      <sheetName val="을지"/>
      <sheetName val="날개벽수량표"/>
      <sheetName val="집계"/>
      <sheetName val="전기공사일위대가"/>
      <sheetName val="순공사비"/>
      <sheetName val="Sheet1"/>
      <sheetName val="일위대가목록"/>
      <sheetName val="일위대가표(유단가)"/>
      <sheetName val="DATE"/>
      <sheetName val="KCS-CA"/>
      <sheetName val="새공통"/>
      <sheetName val="공사원가계산서"/>
      <sheetName val="단"/>
      <sheetName val="직노"/>
      <sheetName val="을-ATYPE"/>
      <sheetName val="문산"/>
      <sheetName val="총괄표"/>
      <sheetName val="다곡2교"/>
      <sheetName val="조건표"/>
      <sheetName val="원형맨홀수량"/>
      <sheetName val="이토변실"/>
      <sheetName val="제36-40호표"/>
      <sheetName val="총괄집계표"/>
      <sheetName val="CT "/>
      <sheetName val="재료"/>
      <sheetName val="설치자재"/>
      <sheetName val="기본사항"/>
      <sheetName val="환산"/>
      <sheetName val="일위"/>
      <sheetName val="단위수량"/>
      <sheetName val="지급자재"/>
      <sheetName val="유림골조"/>
      <sheetName val="중기사용료산출근거"/>
      <sheetName val="단가 및 재료비"/>
      <sheetName val="P&amp;L(Ahn)"/>
      <sheetName val="포장공"/>
      <sheetName val="배수공"/>
      <sheetName val="재정비직인"/>
      <sheetName val="재정비내역"/>
      <sheetName val="지적고시내역"/>
      <sheetName val="원가_(2)"/>
      <sheetName val="전선_및_전선관"/>
      <sheetName val="옥외_전력간선공사"/>
      <sheetName val="경율산정_XLS"/>
      <sheetName val="교각1"/>
      <sheetName val="샌딩 에폭시 도장"/>
      <sheetName val="일반문틀 설치"/>
      <sheetName val="총괄내역서"/>
      <sheetName val="기본일위"/>
      <sheetName val="품셈"/>
      <sheetName val="CTEMCOST"/>
      <sheetName val="차액보증"/>
      <sheetName val="인사자료총집계"/>
      <sheetName val="2.수량조서(발주용)"/>
      <sheetName val="업체명"/>
      <sheetName val="관리"/>
      <sheetName val="단가산출"/>
      <sheetName val="정부노임단가"/>
      <sheetName val="4. 자재단가비교표"/>
      <sheetName val="4. 일위대가"/>
      <sheetName val="WATER"/>
      <sheetName val="차도부연장현황"/>
      <sheetName val="Galaxy 소비자가격표"/>
      <sheetName val="목록"/>
      <sheetName val="96노임기준"/>
      <sheetName val="6PILE  (돌출)"/>
      <sheetName val="70%"/>
      <sheetName val="공종별수량집계"/>
      <sheetName val="담장산출"/>
      <sheetName val="약전설비"/>
      <sheetName val="대구-교대(A1)"/>
      <sheetName val="내역단위"/>
      <sheetName val="일위목록"/>
      <sheetName val="지수"/>
      <sheetName val="갑지(추정)"/>
      <sheetName val="FACTOR"/>
      <sheetName val="工관리비율"/>
      <sheetName val="工완성공사율"/>
      <sheetName val="절감효과"/>
      <sheetName val="COST"/>
      <sheetName val="Sheet4"/>
      <sheetName val="을_ATYPE"/>
      <sheetName val="(변경계약)총괄내역"/>
      <sheetName val="증감대비"/>
      <sheetName val="설계예시"/>
      <sheetName val="간접비총괄 (2)"/>
      <sheetName val="구조물공"/>
      <sheetName val="부대공"/>
      <sheetName val="소비자가"/>
      <sheetName val="설직재-1"/>
      <sheetName val="적현로"/>
      <sheetName val="아파트"/>
      <sheetName val="EQT-ESTN"/>
      <sheetName val="1차설계변경내역"/>
      <sheetName val="가설대가"/>
      <sheetName val="토공대가"/>
      <sheetName val="구조대가"/>
      <sheetName val="포설대가1"/>
      <sheetName val="부대대가"/>
      <sheetName val="B1(반포1차)"/>
      <sheetName val="기술부 VENDOR LIST"/>
      <sheetName val="D-경비1"/>
      <sheetName val="건축내역"/>
      <sheetName val="공정집계_국별"/>
      <sheetName val="Sheet3"/>
      <sheetName val="MOKDONG(1)"/>
      <sheetName val="준검 내역서"/>
      <sheetName val="8.수량산출서"/>
      <sheetName val="9.단가조사서"/>
      <sheetName val="6.일위목록"/>
      <sheetName val="전기"/>
      <sheetName val="요율"/>
      <sheetName val="하도관리"/>
      <sheetName val="확약서"/>
      <sheetName val="실행철강하도"/>
      <sheetName val="계수원본(99.2.28)"/>
      <sheetName val="공통가설"/>
      <sheetName val="기본단가표"/>
      <sheetName val="일위대가(출입)"/>
      <sheetName val="실행대비"/>
      <sheetName val="MOTOR"/>
      <sheetName val="(A)내역서"/>
      <sheetName val="퇴직영수증"/>
      <sheetName val="아스콘포장 (5t)"/>
      <sheetName val="원가_(2)1"/>
      <sheetName val="전선_및_전선관1"/>
      <sheetName val="5사남"/>
      <sheetName val="설계서(1)"/>
      <sheetName val="dt0301"/>
      <sheetName val="dtt0301"/>
      <sheetName val="설계명세서"/>
      <sheetName val="건축-물가변동"/>
      <sheetName val="000000"/>
      <sheetName val="Sheet9"/>
      <sheetName val="단위단가"/>
      <sheetName val="견적서"/>
      <sheetName val="합천내역"/>
      <sheetName val="경산"/>
      <sheetName val="guard(mac)"/>
      <sheetName val="조명시설"/>
      <sheetName val="인건비"/>
      <sheetName val="아파트_9"/>
      <sheetName val="대목"/>
      <sheetName val="시행후면적"/>
      <sheetName val="품셈TABLE"/>
      <sheetName val="기존단가 (2)"/>
      <sheetName val="자료입력"/>
      <sheetName val="예산명세서"/>
      <sheetName val="해창정"/>
      <sheetName val="전기일위대가"/>
      <sheetName val="단1"/>
      <sheetName val="woo(mac)"/>
      <sheetName val="입찰안"/>
      <sheetName val="전국현황"/>
      <sheetName val="8.PILE  (돌출)"/>
      <sheetName val="자재집계"/>
      <sheetName val="부대내역"/>
      <sheetName val="내역서(기성청구)"/>
      <sheetName val="Sheet13"/>
      <sheetName val="변압기 및 발전기 용량"/>
      <sheetName val="내역서(실)"/>
      <sheetName val="기자재비"/>
      <sheetName val="시공변경 설명서"/>
      <sheetName val="공사비증감내역"/>
      <sheetName val="변경조서"/>
      <sheetName val="362품셈"/>
      <sheetName val="갑지"/>
      <sheetName val="POL6차-PIPING"/>
      <sheetName val="원형1호맨홀토공수량"/>
      <sheetName val="경율산정"/>
      <sheetName val="방지책개소별명세"/>
      <sheetName val="sw1"/>
      <sheetName val="노임이"/>
      <sheetName val="소화설비"/>
      <sheetName val="표준내역"/>
      <sheetName val="JUCK"/>
      <sheetName val="대운산출"/>
      <sheetName val="내역서1999.8최종"/>
      <sheetName val="모래기초"/>
      <sheetName val="Option"/>
      <sheetName val="공예율"/>
      <sheetName val="단가목록"/>
      <sheetName val="대전-교대(A1-A2)"/>
      <sheetName val="내역을"/>
      <sheetName val="건축"/>
      <sheetName val="basic_info"/>
      <sheetName val="SANTOGO"/>
      <sheetName val="SANBAISU"/>
      <sheetName val="Total"/>
      <sheetName val="48평단가"/>
      <sheetName val="57단가"/>
      <sheetName val="54평단가"/>
      <sheetName val="66평단가"/>
      <sheetName val="61단가"/>
      <sheetName val="89평단가"/>
      <sheetName val="84평단가"/>
      <sheetName val="골조시행"/>
      <sheetName val="45,46"/>
      <sheetName val="사업성분석"/>
      <sheetName val="실행내역"/>
      <sheetName val="백호우계수"/>
      <sheetName val="총괄갑 "/>
      <sheetName val="99년신청"/>
      <sheetName val="1차 내역서"/>
      <sheetName val="마포토정"/>
      <sheetName val="10월"/>
      <sheetName val="신천3호용수로"/>
      <sheetName val="2공구산출내역"/>
      <sheetName val="식재일위대가"/>
      <sheetName val="포승(S+H)"/>
      <sheetName val="포승(SHEET)"/>
      <sheetName val="기성내역서"/>
      <sheetName val="변경내역서"/>
      <sheetName val="패널"/>
      <sheetName val="설계내역서"/>
      <sheetName val="광양방향"/>
      <sheetName val="BOX전기내역"/>
      <sheetName val="물가자료"/>
      <sheetName val="적용단위길이"/>
      <sheetName val="피벗테이블데이터분석"/>
      <sheetName val="특수기호강도거푸집"/>
      <sheetName val="종배수관면벽신"/>
      <sheetName val="종배수관(신)"/>
      <sheetName val="횡배수관집현황(2공구)"/>
      <sheetName val="환율"/>
      <sheetName val="인건-측정"/>
      <sheetName val="일위대가표"/>
      <sheetName val="공사개요"/>
      <sheetName val="부하계산서"/>
      <sheetName val="도로단위당"/>
      <sheetName val="집계표"/>
      <sheetName val="b_balju-단가단가단가"/>
      <sheetName val="구리토평1전기"/>
      <sheetName val="6호기"/>
      <sheetName val="기계설비"/>
      <sheetName val="방식총괄"/>
      <sheetName val="을"/>
      <sheetName val="금융비용"/>
      <sheetName val="ERL_TBL"/>
      <sheetName val="펀칭"/>
      <sheetName val="EXPENSE"/>
      <sheetName val="물량"/>
      <sheetName val="기초단가"/>
      <sheetName val="COVER"/>
      <sheetName val="내역서2안"/>
      <sheetName val="시설물기초"/>
      <sheetName val="건축공사실행"/>
      <sheetName val="건축원가"/>
      <sheetName val="7.수지"/>
      <sheetName val="estimate(TOTAL) (2)"/>
      <sheetName val="estimate"/>
      <sheetName val="기계실"/>
      <sheetName val="b_sul"/>
      <sheetName val="전체"/>
      <sheetName val="기기리스트"/>
      <sheetName val="상행-교대(A1-A2)"/>
      <sheetName val="I.설계조건"/>
      <sheetName val="산근"/>
      <sheetName val="내역서 업체견적단가"/>
      <sheetName val="건축일"/>
      <sheetName val="아파트건축"/>
      <sheetName val="별첨1-4"/>
      <sheetName val="노임변동률"/>
      <sheetName val="OPGW기별"/>
      <sheetName val="지시서"/>
      <sheetName val="이천변압기운반비"/>
      <sheetName val="설계서"/>
      <sheetName val="결선list"/>
      <sheetName val="백암비스타내역"/>
      <sheetName val="기별"/>
      <sheetName val="단가명령서"/>
      <sheetName val="재료비"/>
      <sheetName val="배전KT"/>
      <sheetName val="danga"/>
      <sheetName val="ilch"/>
      <sheetName val="기둥(원형)"/>
      <sheetName val="암거공"/>
      <sheetName val="부대집계1"/>
      <sheetName val="가도단위"/>
      <sheetName val="3련 BOX"/>
      <sheetName val="산출근거"/>
      <sheetName val="도급내역(금차분)"/>
      <sheetName val="급여대장출력"/>
      <sheetName val="인원계획-미화"/>
      <sheetName val="부대시설"/>
      <sheetName val="공문"/>
      <sheetName val="원가계산 (2)"/>
      <sheetName val="제품별구성표"/>
      <sheetName val="하수급견적대비"/>
      <sheetName val="옥외_전력간선공사1"/>
      <sheetName val="경율산정_XLS1"/>
      <sheetName val="계수원본(99_2_28)"/>
      <sheetName val="CT_"/>
      <sheetName val="단가_및_재료비"/>
      <sheetName val="샌딩_에폭시_도장"/>
      <sheetName val="일반문틀_설치"/>
      <sheetName val="2_수량조서(발주용)"/>
      <sheetName val="Galaxy_소비자가격표"/>
      <sheetName val="6PILE__(돌출)"/>
      <sheetName val="간접비총괄_(2)"/>
      <sheetName val="기술부_VENDOR_LIST"/>
      <sheetName val="asd"/>
      <sheetName val="수공기"/>
      <sheetName val="중기"/>
      <sheetName val="Tool"/>
      <sheetName val="1차_내역서"/>
      <sheetName val="8_수량산출서"/>
      <sheetName val="9_단가조사서"/>
      <sheetName val="6_일위목록"/>
      <sheetName val="기존단가_(2)"/>
      <sheetName val="평균높이산출근거"/>
      <sheetName val="횡배수관위치조서"/>
      <sheetName val="9GNG운반"/>
      <sheetName val="C-노임단가"/>
      <sheetName val="Macro1"/>
      <sheetName val="실행내역 "/>
      <sheetName val="단가표"/>
      <sheetName val="CAUDIT"/>
      <sheetName val="토적계산"/>
      <sheetName val="목차"/>
      <sheetName val="수지예산"/>
      <sheetName val="전선"/>
      <sheetName val="CABLE"/>
      <sheetName val="사용성검토"/>
      <sheetName val="Sheet2"/>
      <sheetName val="단면치수"/>
      <sheetName val="청천내"/>
      <sheetName val="경제성분석"/>
      <sheetName val="PAC"/>
      <sheetName val="3.건축(현장안)"/>
      <sheetName val="3F"/>
      <sheetName val="Y-WORK"/>
      <sheetName val=" 견적서"/>
      <sheetName val="2005년6월김문환"/>
      <sheetName val="unit 4"/>
      <sheetName val="BM"/>
      <sheetName val="시중노임"/>
      <sheetName val="NYS"/>
      <sheetName val="HVAC"/>
      <sheetName val="BM_NEW2"/>
      <sheetName val="암거단위"/>
      <sheetName val="3"/>
      <sheetName val="Macro3"/>
      <sheetName val="Macro2"/>
      <sheetName val="국소별수량산출"/>
      <sheetName val="깨기"/>
      <sheetName val="보증금(전신전화가입권)"/>
      <sheetName val="98년BS"/>
      <sheetName val="잉여금"/>
      <sheetName val="대창(장성)"/>
      <sheetName val="대창(함평)-창열"/>
      <sheetName val="DATA1"/>
      <sheetName val="환경기계공정표 (3)"/>
      <sheetName val="combi(wall)"/>
      <sheetName val="설계내역(2001)"/>
      <sheetName val="4)유동표"/>
      <sheetName val="ABUT수량-A1"/>
      <sheetName val="J"/>
      <sheetName val="Sheet1 (2)"/>
      <sheetName val="BEND LOSS"/>
      <sheetName val="철거산출근거"/>
      <sheetName val="1-최종안"/>
      <sheetName val="사업분석-분양가결정"/>
      <sheetName val="날개벽"/>
      <sheetName val="대로근거"/>
      <sheetName val="계림(함평)"/>
      <sheetName val="계림(장성)"/>
      <sheetName val="노원열병합  건축공사기성내역서"/>
      <sheetName val="BOX(상시)"/>
      <sheetName val="(10) 단가산출결과"/>
      <sheetName val="설계개요"/>
      <sheetName val="BOX-1510"/>
      <sheetName val="대차대조표"/>
      <sheetName val="본체"/>
      <sheetName val="REACTION(USE평시)"/>
      <sheetName val="설계조건"/>
      <sheetName val="REACTION(USD지진시)"/>
      <sheetName val="램머"/>
      <sheetName val="토목검측서"/>
      <sheetName val="건축토목내역"/>
      <sheetName val="금액"/>
      <sheetName val="명단"/>
      <sheetName val="4__자재단가비교표"/>
      <sheetName val="4__일위대가"/>
      <sheetName val="준검_내역서"/>
      <sheetName val="기계경비(시간당)"/>
      <sheetName val="말뚝지지력산정"/>
      <sheetName val="시설장비"/>
      <sheetName val="배관배선내역"/>
      <sheetName val="전기자료"/>
      <sheetName val="Sheet14"/>
      <sheetName val="Sheet10"/>
      <sheetName val="spec1"/>
      <sheetName val="수량집계"/>
      <sheetName val="sst,stl창호"/>
      <sheetName val="돈암사업"/>
      <sheetName val="Key Data"/>
      <sheetName val="손익현황"/>
      <sheetName val="마산월령동골조물량변경"/>
      <sheetName val="대비"/>
      <sheetName val="제출내역서"/>
      <sheetName val="내역서(실행)"/>
      <sheetName val="내역서 (원본)"/>
      <sheetName val="내역서(실행)3"/>
      <sheetName val="A"/>
      <sheetName val="설계내역2"/>
      <sheetName val="터파기및재료"/>
      <sheetName val="직접경비"/>
      <sheetName val="II손익관리"/>
      <sheetName val="Macro(차단기)"/>
      <sheetName val="도근좌표"/>
      <sheetName val="교대(A1-A2)"/>
      <sheetName val="5Strand-장기처짐PCI"/>
      <sheetName val="토공집계"/>
      <sheetName val="1.우편집중내역서"/>
      <sheetName val="SAMPLE"/>
      <sheetName val="고등학교"/>
      <sheetName val="신우"/>
      <sheetName val="종배수관"/>
      <sheetName val="BID"/>
      <sheetName val="상세내역서"/>
      <sheetName val="#2-3 일위대가"/>
      <sheetName val="#2-4 단가대비표"/>
      <sheetName val="DATA 입력란"/>
      <sheetName val="1. 설계조건 2.단면가정 3. 하중계산"/>
      <sheetName val="동원인원"/>
      <sheetName val="자재단가비교표"/>
      <sheetName val="수량산출서"/>
      <sheetName val="1호철근량"/>
      <sheetName val="상부수량집계표"/>
      <sheetName val="비탈면보호공수량산출"/>
      <sheetName val="수목표준대가"/>
      <sheetName val="제2~7호표"/>
      <sheetName val="예산내역서"/>
      <sheetName val="설계예산서"/>
      <sheetName val="업체코드"/>
      <sheetName val="공조기(삭제)"/>
      <sheetName val="역T형"/>
      <sheetName val="변압기_및_발전기_용량"/>
      <sheetName val="가로등기초"/>
      <sheetName val="물량표"/>
      <sheetName val="조도계산(1)"/>
      <sheetName val="포장총괄집계표"/>
      <sheetName val="3CHBDC"/>
      <sheetName val="work"/>
      <sheetName val="단위량"/>
      <sheetName val="재료집계표2"/>
      <sheetName val="토적집계표"/>
      <sheetName val="중기솔뇨"/>
      <sheetName val="갑지1"/>
      <sheetName val=" 냉각수펌프"/>
      <sheetName val="투찰가"/>
      <sheetName val="1.설계기준"/>
      <sheetName val="YM-IL1"/>
      <sheetName val="절탄기단관교체공량"/>
      <sheetName val="이종재질교체공량"/>
      <sheetName val="Final SH Loose Tube 교체공량"/>
      <sheetName val="98수문일위"/>
      <sheetName val="가도공"/>
      <sheetName val="현장관리비"/>
      <sheetName val="몰운대초견적"/>
      <sheetName val="투찰"/>
      <sheetName val="205동"/>
      <sheetName val="메서,변+증"/>
      <sheetName val="목표세부명세"/>
      <sheetName val="삭제금지단가"/>
      <sheetName val="수량산출서(보강)"/>
      <sheetName val="금액내역서"/>
      <sheetName val="개별직종노임단가(2002.5)"/>
      <sheetName val="공비대비"/>
      <sheetName val="수로교총재료집계"/>
      <sheetName val="9811"/>
      <sheetName val="단가산출서"/>
      <sheetName val="성서방향-교대(A2)"/>
      <sheetName val="보조셀"/>
      <sheetName val="품셈표"/>
      <sheetName val="토사(PE)"/>
      <sheetName val="시멘트 및 골재량산출"/>
      <sheetName val="갑1"/>
      <sheetName val="경계석수량집계"/>
      <sheetName val="1.설계조건"/>
      <sheetName val="REINF."/>
      <sheetName val="LOADS"/>
      <sheetName val="남양시작동010313100%"/>
      <sheetName val="DAN"/>
      <sheetName val="견적990322"/>
      <sheetName val="안정검토"/>
      <sheetName val="7.PILE  (돌출)"/>
      <sheetName val="기계공사"/>
      <sheetName val="충주"/>
      <sheetName val="공사내역서"/>
      <sheetName val="O＆P"/>
      <sheetName val="1호맨홀토공"/>
      <sheetName val="Cost Reduction"/>
      <sheetName val="포장단가"/>
      <sheetName val="품명별원가"/>
      <sheetName val=""/>
      <sheetName val="조사표"/>
      <sheetName val="노임목록"/>
      <sheetName val="중기목록"/>
      <sheetName val="자재목록"/>
      <sheetName val="원가_(2)2"/>
      <sheetName val="전선_및_전선관2"/>
      <sheetName val="옥외_전력간선공사2"/>
      <sheetName val="경율산정_XLS2"/>
      <sheetName val="2_수량조서(발주용)1"/>
      <sheetName val="CT_1"/>
      <sheetName val="간접비총괄_(2)1"/>
      <sheetName val="샌딩_에폭시_도장1"/>
      <sheetName val="일반문틀_설치1"/>
      <sheetName val="6PILE__(돌출)1"/>
      <sheetName val="Galaxy_소비자가격표1"/>
      <sheetName val="기술부_VENDOR_LIST1"/>
      <sheetName val="기존단가_(2)1"/>
      <sheetName val="1차_내역서1"/>
      <sheetName val="8_수량산출서1"/>
      <sheetName val="9_단가조사서1"/>
      <sheetName val="6_일위목록1"/>
      <sheetName val="단가_및_재료비1"/>
      <sheetName val="8_PILE__(돌출)"/>
      <sheetName val="estimate(TOTAL)_(2)"/>
      <sheetName val="7_수지"/>
      <sheetName val="시공변경_설명서"/>
      <sheetName val="아스콘포장_(5t)"/>
      <sheetName val="총괄갑_"/>
      <sheetName val="원가계산_(2)"/>
      <sheetName val="계수원본(99_2_28)1"/>
      <sheetName val="실행내역_"/>
      <sheetName val="내역서1999_8최종"/>
      <sheetName val="1__설계조건_2_단면가정_3__하중계산"/>
      <sheetName val="DATA_입력란"/>
      <sheetName val="unit_4"/>
      <sheetName val="Sheet1_(2)"/>
      <sheetName val="Key_Data"/>
      <sheetName val="30신설일위대가"/>
      <sheetName val="물가기준년"/>
      <sheetName val="장비기준"/>
      <sheetName val="간지"/>
      <sheetName val="일위목록표"/>
      <sheetName val="    "/>
      <sheetName val="수량산출서_천안"/>
      <sheetName val="수량산출서_아산"/>
      <sheetName val="기계경비단가총괄표"/>
      <sheetName val="기계경비단가산출표"/>
      <sheetName val="기계경비손료 및 운전경비 산출"/>
      <sheetName val="기계경비 손료 및 운전경비 산출기준"/>
      <sheetName val="단가조사표"/>
      <sheetName val="노임단가표"/>
      <sheetName val="   "/>
      <sheetName val="계수"/>
      <sheetName val="용어"/>
      <sheetName val="조건"/>
      <sheetName val="예산"/>
      <sheetName val="C.배수관공"/>
      <sheetName val="공사비산출서"/>
      <sheetName val="역T형옹벽(3.0)"/>
      <sheetName val="3.하중산정4.지지력"/>
      <sheetName val="ASP"/>
      <sheetName val="자재표"/>
      <sheetName val="물가"/>
      <sheetName val="6공구(당초)"/>
      <sheetName val="배수관접합및부설  "/>
      <sheetName val="기계내역"/>
      <sheetName val="조직"/>
      <sheetName val="빗물받이(910-510-410)"/>
      <sheetName val="현장경상비"/>
      <sheetName val="H-pile(298x299)"/>
      <sheetName val="H-pile(250x250)"/>
      <sheetName val="기준FACTOR"/>
      <sheetName val="공정량산출내역서 "/>
      <sheetName val="Quantity"/>
      <sheetName val="기성분(#3)"/>
      <sheetName val="도수로(총)"/>
      <sheetName val="심사"/>
      <sheetName val="설계서(8)"/>
      <sheetName val="SULKEA"/>
      <sheetName val="정화조동내역"/>
      <sheetName val="대공종"/>
      <sheetName val="정산"/>
      <sheetName val="적용기준표(98년상반기)"/>
      <sheetName val="가시설단위수량"/>
      <sheetName val="소업1교"/>
      <sheetName val="매출처비중(2)"/>
      <sheetName val="단가표 (2)"/>
      <sheetName val="사업부배부A"/>
      <sheetName val="코드"/>
      <sheetName val="Customer Databas"/>
      <sheetName val="내역5"/>
      <sheetName val="item"/>
      <sheetName val="원가산출근거"/>
      <sheetName val="물가변동대가세부내역서"/>
      <sheetName val="LH3 동양시스템"/>
      <sheetName val="일위대가목차"/>
      <sheetName val="관로수량산출집계"/>
      <sheetName val="한전수탁공사비내역서"/>
      <sheetName val="pldt"/>
      <sheetName val="표지"/>
      <sheetName val="설계서표지"/>
      <sheetName val="3. SW 총괄"/>
      <sheetName val="SW신규표지"/>
      <sheetName val="기반정보연계 FP산정"/>
      <sheetName val="기반정보 연계 소프트웨어개발비산출-간이법"/>
      <sheetName val="기반정보 연계 (참조)보정계수"/>
      <sheetName val="정보연계 FP산정"/>
      <sheetName val="정보연계 소프트웨어개발비산출-간이법"/>
      <sheetName val="정보연계 (참조)보정계수"/>
      <sheetName val="[N賃率-職.xls]B__OFFICE____N_____2"/>
      <sheetName val="단가입력창"/>
      <sheetName val="B"/>
      <sheetName val="유림콘도"/>
      <sheetName val="RCF CLAIMED"/>
      <sheetName val="덕전리"/>
      <sheetName val="집계표(육상)"/>
      <sheetName val="암거"/>
      <sheetName val="INPUT"/>
      <sheetName val="용산1(해보)"/>
      <sheetName val="노임9월"/>
      <sheetName val="계약내역(갑지)"/>
      <sheetName val="가로등내역서"/>
      <sheetName val="산출내역서"/>
      <sheetName val="DBL LPG시험"/>
      <sheetName val="주요기준"/>
      <sheetName val="S&amp;R"/>
      <sheetName val="賃料等一覧"/>
      <sheetName val="리츠"/>
      <sheetName val="입찰보고"/>
      <sheetName val="단가산출1"/>
      <sheetName val="중동공구"/>
      <sheetName val="횡배수관토공수량"/>
      <sheetName val="2-1. 경관조명 내역총괄표"/>
      <sheetName val="참고"/>
      <sheetName val="단가조사서"/>
      <sheetName val="CON'C"/>
      <sheetName val="unit_41"/>
      <sheetName val="CREDIT STATS"/>
      <sheetName val="CREDIT_STATS"/>
      <sheetName val="설계서SC"/>
      <sheetName val="예산서"/>
      <sheetName val="총공사비"/>
      <sheetName val="공종단가"/>
      <sheetName val="토공총괄표"/>
    </sheetNames>
    <sheetDataSet>
      <sheetData sheetId="0" refreshError="1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5">
          <cell r="I5">
            <v>1</v>
          </cell>
        </row>
      </sheetData>
      <sheetData sheetId="6">
        <row r="5">
          <cell r="I5">
            <v>1</v>
          </cell>
        </row>
      </sheetData>
      <sheetData sheetId="7">
        <row r="5">
          <cell r="I5">
            <v>1</v>
          </cell>
        </row>
      </sheetData>
      <sheetData sheetId="8">
        <row r="5">
          <cell r="I5">
            <v>1</v>
          </cell>
        </row>
      </sheetData>
      <sheetData sheetId="9">
        <row r="5">
          <cell r="I5">
            <v>1</v>
          </cell>
        </row>
      </sheetData>
      <sheetData sheetId="10">
        <row r="5">
          <cell r="I5">
            <v>1</v>
          </cell>
        </row>
      </sheetData>
      <sheetData sheetId="11">
        <row r="5">
          <cell r="I5">
            <v>1</v>
          </cell>
        </row>
      </sheetData>
      <sheetData sheetId="12">
        <row r="5">
          <cell r="I5">
            <v>1</v>
          </cell>
        </row>
      </sheetData>
      <sheetData sheetId="13">
        <row r="5">
          <cell r="I5">
            <v>1</v>
          </cell>
        </row>
      </sheetData>
      <sheetData sheetId="14">
        <row r="5">
          <cell r="I5">
            <v>1</v>
          </cell>
        </row>
      </sheetData>
      <sheetData sheetId="15">
        <row r="5">
          <cell r="I5">
            <v>1</v>
          </cell>
        </row>
      </sheetData>
      <sheetData sheetId="16">
        <row r="5">
          <cell r="I5">
            <v>1</v>
          </cell>
        </row>
      </sheetData>
      <sheetData sheetId="17">
        <row r="5">
          <cell r="I5">
            <v>1</v>
          </cell>
        </row>
      </sheetData>
      <sheetData sheetId="18">
        <row r="5">
          <cell r="I5">
            <v>1</v>
          </cell>
        </row>
      </sheetData>
      <sheetData sheetId="19">
        <row r="5">
          <cell r="I5">
            <v>1</v>
          </cell>
        </row>
      </sheetData>
      <sheetData sheetId="20">
        <row r="5">
          <cell r="I5">
            <v>1</v>
          </cell>
        </row>
      </sheetData>
      <sheetData sheetId="21">
        <row r="5">
          <cell r="I5">
            <v>1</v>
          </cell>
        </row>
      </sheetData>
      <sheetData sheetId="22">
        <row r="5">
          <cell r="I5">
            <v>1</v>
          </cell>
        </row>
      </sheetData>
      <sheetData sheetId="23">
        <row r="5">
          <cell r="I5">
            <v>1</v>
          </cell>
        </row>
      </sheetData>
      <sheetData sheetId="24">
        <row r="5">
          <cell r="I5">
            <v>1</v>
          </cell>
        </row>
      </sheetData>
      <sheetData sheetId="25">
        <row r="5">
          <cell r="I5">
            <v>1</v>
          </cell>
        </row>
      </sheetData>
      <sheetData sheetId="26">
        <row r="5">
          <cell r="I5">
            <v>1</v>
          </cell>
        </row>
      </sheetData>
      <sheetData sheetId="27">
        <row r="5">
          <cell r="I5">
            <v>1</v>
          </cell>
        </row>
      </sheetData>
      <sheetData sheetId="28">
        <row r="5">
          <cell r="I5">
            <v>1</v>
          </cell>
        </row>
      </sheetData>
      <sheetData sheetId="29">
        <row r="5">
          <cell r="I5">
            <v>1</v>
          </cell>
        </row>
      </sheetData>
      <sheetData sheetId="30">
        <row r="5">
          <cell r="I5">
            <v>1</v>
          </cell>
        </row>
      </sheetData>
      <sheetData sheetId="31">
        <row r="5">
          <cell r="I5">
            <v>1</v>
          </cell>
        </row>
      </sheetData>
      <sheetData sheetId="32">
        <row r="5">
          <cell r="I5">
            <v>1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7">
          <cell r="I7" t="str">
            <v/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>
        <row r="7">
          <cell r="I7">
            <v>0</v>
          </cell>
        </row>
      </sheetData>
      <sheetData sheetId="387"/>
      <sheetData sheetId="388">
        <row r="7">
          <cell r="I7">
            <v>0</v>
          </cell>
        </row>
      </sheetData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 refreshError="1"/>
      <sheetData sheetId="553">
        <row r="7">
          <cell r="I7">
            <v>0</v>
          </cell>
        </row>
      </sheetData>
      <sheetData sheetId="554">
        <row r="7">
          <cell r="I7">
            <v>0</v>
          </cell>
        </row>
      </sheetData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>
        <row r="7">
          <cell r="I7">
            <v>0</v>
          </cell>
        </row>
      </sheetData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/>
      <sheetData sheetId="713" refreshError="1"/>
      <sheetData sheetId="714"/>
      <sheetData sheetId="715" refreshError="1"/>
      <sheetData sheetId="716" refreshError="1"/>
      <sheetData sheetId="717" refreshError="1"/>
      <sheetData sheetId="718" refreshError="1"/>
      <sheetData sheetId="71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단가산출"/>
    </sheetNames>
    <sheetDataSet>
      <sheetData sheetId="0" refreshError="1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천내역"/>
      <sheetName val="일위(PN)"/>
      <sheetName val="일위"/>
      <sheetName val="설직재-1"/>
      <sheetName val="금액내역서"/>
      <sheetName val="집계표(OPTION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자재단가"/>
    </sheetNames>
    <sheetDataSet>
      <sheetData sheetId="0" refreshError="1"/>
      <sheetData sheetId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 (3)"/>
      <sheetName val="갑지"/>
      <sheetName val="내갑"/>
      <sheetName val="개요"/>
      <sheetName val="기안"/>
      <sheetName val="공정표"/>
      <sheetName val="검토서"/>
      <sheetName val="평단가"/>
      <sheetName val="평단가 (2)"/>
      <sheetName val="평단가 (3)"/>
      <sheetName val="표지"/>
      <sheetName val="내부"/>
      <sheetName val="외부"/>
      <sheetName val="유의"/>
      <sheetName val="총괄표"/>
      <sheetName val="중강당 내역"/>
      <sheetName val="평3"/>
      <sheetName val="전체"/>
      <sheetName val="자재co"/>
      <sheetName val="WING3"/>
      <sheetName val="건축내역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준공정산"/>
      <sheetName val="정산"/>
      <sheetName val="#3_일위대가목록"/>
      <sheetName val="FM"/>
      <sheetName val="당진1,2호기전선관설치및접지4차공사내역서-을지"/>
      <sheetName val="노임이"/>
      <sheetName val="월별생산"/>
      <sheetName val="10현장조직"/>
      <sheetName val="실행(1)"/>
      <sheetName val="입상내역"/>
      <sheetName val="sheet1"/>
      <sheetName val="SHL"/>
      <sheetName val="내역서"/>
      <sheetName val="DATA"/>
      <sheetName val="QT003-SSY-철골3"/>
      <sheetName val="FC-101"/>
      <sheetName val="11월내역"/>
      <sheetName val="데이타"/>
      <sheetName val="BQMPALOC"/>
      <sheetName val="수량산출서"/>
      <sheetName val="조명율표"/>
      <sheetName val="원가"/>
      <sheetName val="#2_일위대가목록"/>
      <sheetName val="입찰안"/>
      <sheetName val="물량입력"/>
      <sheetName val=" 갑지"/>
      <sheetName val="CM 1"/>
      <sheetName val="영창26"/>
      <sheetName val="기계공사비집계(원안)"/>
      <sheetName val="2.대외공문"/>
      <sheetName val="연봉표"/>
      <sheetName val="판매브리핑"/>
      <sheetName val="LD TX"/>
      <sheetName val="조경일람"/>
      <sheetName val="기준정보"/>
      <sheetName val="계측기"/>
      <sheetName val="101동"/>
      <sheetName val="CAT_5"/>
      <sheetName val="증감내역서"/>
      <sheetName val="빌딩 안내"/>
      <sheetName val="주beam"/>
      <sheetName val="약품공급2"/>
      <sheetName val="VS P-Q"/>
      <sheetName val="실행내역서(DCU)"/>
      <sheetName val="연돌일위집계"/>
      <sheetName val="Code"/>
      <sheetName val="경상"/>
      <sheetName val="투입실적"/>
      <sheetName val="가설"/>
      <sheetName val="도기류"/>
      <sheetName val="갑지"/>
      <sheetName val="주_부자재"/>
      <sheetName val="ttl"/>
      <sheetName val="용선 C.L"/>
      <sheetName val="실행내역서 "/>
      <sheetName val="조명시설"/>
      <sheetName val="발주내역"/>
      <sheetName val="내역_ver1.0"/>
      <sheetName val="controll"/>
      <sheetName val="내역전기"/>
      <sheetName val="Weld, NDE (Pipe)"/>
      <sheetName val="기준원단위"/>
      <sheetName val="1996"/>
      <sheetName val="공량예산"/>
      <sheetName val="상세출력"/>
      <sheetName val="총괄"/>
      <sheetName val="spc 배관견적"/>
      <sheetName val="일위"/>
      <sheetName val="본실행경비"/>
      <sheetName val="CAUDIT"/>
      <sheetName val="Piping"/>
      <sheetName val="일위대가"/>
      <sheetName val="개산공사비"/>
      <sheetName val="#REF"/>
      <sheetName val="ELEC"/>
      <sheetName val="산근"/>
      <sheetName val="명세서"/>
      <sheetName val="DEVI."/>
      <sheetName val="U.C.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천내역"/>
      <sheetName val="95_1차_시스템"/>
      <sheetName val="합천원가"/>
      <sheetName val="손익분석"/>
      <sheetName val="공사설계서"/>
      <sheetName val="직노"/>
      <sheetName val="일위대가(계측기설치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고온부품"/>
      <sheetName val="총괄표"/>
      <sheetName val="22년"/>
      <sheetName val="23년"/>
      <sheetName val="24년"/>
      <sheetName val="25년"/>
      <sheetName val="26년"/>
      <sheetName val="27년"/>
      <sheetName val="28년"/>
      <sheetName val="29년"/>
      <sheetName val="30년"/>
      <sheetName val="31년"/>
      <sheetName val="동탄"/>
      <sheetName val="화성"/>
      <sheetName val="파주"/>
      <sheetName val="광교"/>
      <sheetName val="판교"/>
      <sheetName val="삼송"/>
      <sheetName val="수원"/>
      <sheetName val="대구"/>
      <sheetName val="청주"/>
      <sheetName val="광주전남"/>
      <sheetName val="강남"/>
      <sheetName val="중앙"/>
      <sheetName val="고양"/>
      <sheetName val="용인"/>
      <sheetName val="분당"/>
      <sheetName val="세종"/>
      <sheetName val="김해"/>
      <sheetName val="양산"/>
      <sheetName val="평택"/>
      <sheetName val="손익(22)"/>
      <sheetName val="자본(22)"/>
      <sheetName val="지급수수료"/>
      <sheetName val="물가상승률"/>
      <sheetName val="22~25 중장기 예상금액(21년 보고)"/>
      <sheetName val="정기점검보수공사 등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1">
          <cell r="Y11">
            <v>97714.223566850138</v>
          </cell>
        </row>
        <row r="23">
          <cell r="Y23">
            <v>48416.844280342528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종합표"/>
      <sheetName val="양식1(월별)"/>
      <sheetName val="예산코드"/>
      <sheetName val="부서코드"/>
      <sheetName val="전략"/>
    </sheetNames>
    <sheetDataSet>
      <sheetData sheetId="0"/>
      <sheetData sheetId="1">
        <row r="8">
          <cell r="J8">
            <v>257357</v>
          </cell>
          <cell r="AD8">
            <v>0</v>
          </cell>
        </row>
        <row r="9">
          <cell r="AD9">
            <v>0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  <pageSetUpPr fitToPage="1"/>
  </sheetPr>
  <dimension ref="A2:Y52"/>
  <sheetViews>
    <sheetView tabSelected="1" zoomScale="70" zoomScaleNormal="70" workbookViewId="0">
      <pane xSplit="2" topLeftCell="L1" activePane="topRight" state="frozen"/>
      <selection activeCell="D47" sqref="D47"/>
      <selection pane="topRight" activeCell="R23" sqref="R23"/>
    </sheetView>
  </sheetViews>
  <sheetFormatPr defaultRowHeight="16.899999999999999"/>
  <cols>
    <col min="1" max="1" width="14.25" customWidth="1"/>
    <col min="2" max="2" width="26.625" style="65" bestFit="1" customWidth="1"/>
    <col min="3" max="3" width="16.75" customWidth="1"/>
    <col min="4" max="4" width="16.375" bestFit="1" customWidth="1"/>
    <col min="5" max="5" width="14.625" bestFit="1" customWidth="1"/>
    <col min="6" max="6" width="14" bestFit="1" customWidth="1"/>
    <col min="7" max="7" width="13.875" bestFit="1" customWidth="1"/>
    <col min="8" max="8" width="14.625" bestFit="1" customWidth="1"/>
    <col min="9" max="9" width="15" bestFit="1" customWidth="1"/>
    <col min="10" max="10" width="14.625" bestFit="1" customWidth="1"/>
    <col min="11" max="12" width="15.625" bestFit="1" customWidth="1"/>
    <col min="13" max="13" width="17.5" customWidth="1"/>
    <col min="14" max="14" width="16.625" bestFit="1" customWidth="1"/>
    <col min="15" max="15" width="22.875" bestFit="1" customWidth="1"/>
    <col min="16" max="16" width="15" bestFit="1" customWidth="1"/>
    <col min="17" max="24" width="12.625" bestFit="1" customWidth="1"/>
    <col min="25" max="25" width="14.25" bestFit="1" customWidth="1"/>
  </cols>
  <sheetData>
    <row r="2" spans="1:18">
      <c r="M2" t="s">
        <v>77</v>
      </c>
    </row>
    <row r="3" spans="1:18">
      <c r="A3" s="256" t="s">
        <v>117</v>
      </c>
      <c r="B3" s="256"/>
      <c r="C3" s="142" t="s">
        <v>11</v>
      </c>
      <c r="D3" s="142" t="s">
        <v>12</v>
      </c>
      <c r="E3" s="142" t="s">
        <v>13</v>
      </c>
      <c r="F3" s="142" t="s">
        <v>14</v>
      </c>
      <c r="G3" s="142" t="s">
        <v>15</v>
      </c>
      <c r="H3" s="142" t="s">
        <v>16</v>
      </c>
      <c r="I3" s="144" t="s">
        <v>114</v>
      </c>
      <c r="J3" s="142" t="s">
        <v>121</v>
      </c>
      <c r="K3" s="142" t="s">
        <v>248</v>
      </c>
      <c r="L3" s="202" t="s">
        <v>367</v>
      </c>
      <c r="M3" s="144" t="s">
        <v>41</v>
      </c>
    </row>
    <row r="4" spans="1:18">
      <c r="A4" s="254" t="s">
        <v>93</v>
      </c>
      <c r="B4" s="140" t="s">
        <v>33</v>
      </c>
      <c r="C4" s="55">
        <f>'26년'!$Y4</f>
        <v>4188</v>
      </c>
      <c r="D4" s="55">
        <f>'27년'!$Y4</f>
        <v>4250.82</v>
      </c>
      <c r="E4" s="55">
        <f>'28년'!$Y4</f>
        <v>4314.5823</v>
      </c>
      <c r="F4" s="55">
        <f>'29년'!$Y4</f>
        <v>4465.0466612499986</v>
      </c>
      <c r="G4" s="55">
        <f>'30년'!$Y4</f>
        <v>4532.022361168747</v>
      </c>
      <c r="H4" s="55">
        <f>'31년'!$Y4</f>
        <v>4600.0026965862771</v>
      </c>
      <c r="I4" s="55">
        <f>'32년'!$Y4</f>
        <v>4669.0027370350708</v>
      </c>
      <c r="J4" s="55">
        <f>'33년'!$Y4</f>
        <v>4739.0377780905965</v>
      </c>
      <c r="K4" s="55">
        <f>'34년'!Y4</f>
        <v>4810.1233447619561</v>
      </c>
      <c r="L4" s="55">
        <f>'35년'!Y4</f>
        <v>4882.2751949333842</v>
      </c>
      <c r="M4" s="55">
        <f t="shared" ref="M4:M24" si="0">SUM(C4:L4)</f>
        <v>45450.913073826036</v>
      </c>
    </row>
    <row r="5" spans="1:18">
      <c r="A5" s="254"/>
      <c r="B5" s="140" t="s">
        <v>95</v>
      </c>
      <c r="C5" s="55">
        <f>'26년'!$Y5</f>
        <v>27778</v>
      </c>
      <c r="D5" s="55">
        <f>'27년'!$Y5</f>
        <v>24868.567465372456</v>
      </c>
      <c r="E5" s="55">
        <f>'28년'!$Y5</f>
        <v>28397.670258364975</v>
      </c>
      <c r="F5" s="55">
        <f>'29년'!$Y5</f>
        <v>27126.644043681816</v>
      </c>
      <c r="G5" s="55">
        <f>'30년'!$Y5</f>
        <v>23929.804718869476</v>
      </c>
      <c r="H5" s="55">
        <f>'31년'!$Y5</f>
        <v>27692.359795742024</v>
      </c>
      <c r="I5" s="55">
        <f>'32년'!$Y5</f>
        <v>25202.829448704815</v>
      </c>
      <c r="J5" s="55">
        <f>'33년'!$Y5</f>
        <v>27981.359300493536</v>
      </c>
      <c r="K5" s="55">
        <f>'34년'!Y5</f>
        <v>26340.013063956772</v>
      </c>
      <c r="L5" s="55">
        <f>'35년'!Y5</f>
        <v>28620.527434939781</v>
      </c>
      <c r="M5" s="55">
        <f t="shared" si="0"/>
        <v>267937.77553012565</v>
      </c>
    </row>
    <row r="6" spans="1:18">
      <c r="A6" s="254"/>
      <c r="B6" s="140" t="s">
        <v>96</v>
      </c>
      <c r="C6" s="55">
        <f>'26년'!$Y6</f>
        <v>42740</v>
      </c>
      <c r="D6" s="55">
        <f>'27년'!$Y6</f>
        <v>44031.816499999994</v>
      </c>
      <c r="E6" s="55">
        <f>'28년'!$Y6</f>
        <v>46525.367938874988</v>
      </c>
      <c r="F6" s="55">
        <f>'29년'!$Y6</f>
        <v>47223.2484579581</v>
      </c>
      <c r="G6" s="55">
        <f>'30년'!$Y6</f>
        <v>47931.597184827457</v>
      </c>
      <c r="H6" s="55">
        <f>'31년'!$Y6</f>
        <v>48650.57114259986</v>
      </c>
      <c r="I6" s="55">
        <f>'32년'!$Y6</f>
        <v>49380.329709738864</v>
      </c>
      <c r="J6" s="55">
        <f>'33년'!$Y6</f>
        <v>50121.034655384945</v>
      </c>
      <c r="K6" s="55">
        <f>'34년'!Y6</f>
        <v>50872.85017521571</v>
      </c>
      <c r="L6" s="55">
        <f>'35년'!Y6</f>
        <v>51635.942927843942</v>
      </c>
      <c r="M6" s="55">
        <f t="shared" si="0"/>
        <v>479112.75869244384</v>
      </c>
    </row>
    <row r="7" spans="1:18">
      <c r="A7" s="254"/>
      <c r="B7" s="140" t="s">
        <v>97</v>
      </c>
      <c r="C7" s="55">
        <f>'26년'!$Y7</f>
        <v>10084</v>
      </c>
      <c r="D7" s="55">
        <f>'27년'!$Y7</f>
        <v>10962.61476516187</v>
      </c>
      <c r="E7" s="55">
        <f>'28년'!$Y7</f>
        <v>11112.848986639301</v>
      </c>
      <c r="F7" s="55">
        <f>'29년'!$Y7</f>
        <v>10505.577499688889</v>
      </c>
      <c r="G7" s="55">
        <f>'30년'!$Y7</f>
        <v>10660.951162184219</v>
      </c>
      <c r="H7" s="55">
        <f>'31년'!$Y7</f>
        <v>8532.145429616985</v>
      </c>
      <c r="I7" s="55">
        <f>'32년'!$Y7</f>
        <v>8660.1876110612375</v>
      </c>
      <c r="J7" s="55">
        <f>'33년'!$Y7</f>
        <v>8790.1054252271533</v>
      </c>
      <c r="K7" s="55">
        <f>'34년'!Y7</f>
        <v>8921.9270066055578</v>
      </c>
      <c r="L7" s="55">
        <f>'35년'!Y7</f>
        <v>9004.2848796115431</v>
      </c>
      <c r="M7" s="55">
        <f t="shared" si="0"/>
        <v>97234.642765796758</v>
      </c>
      <c r="P7" s="21"/>
    </row>
    <row r="8" spans="1:18">
      <c r="A8" s="254"/>
      <c r="B8" s="140" t="s">
        <v>281</v>
      </c>
      <c r="C8" s="55">
        <f>'26년'!$Y8</f>
        <v>15268</v>
      </c>
      <c r="D8" s="55">
        <f>'27년'!$Y8</f>
        <v>13830.838471154373</v>
      </c>
      <c r="E8" s="55">
        <f>'28년'!$Y8</f>
        <v>14558.379908312634</v>
      </c>
      <c r="F8" s="55">
        <f>'29년'!$Y8</f>
        <v>14568.739266557428</v>
      </c>
      <c r="G8" s="55">
        <f>'30년'!$Y8</f>
        <v>14210.98954801768</v>
      </c>
      <c r="H8" s="55">
        <f>'31년'!$Y8</f>
        <v>14911.018113935546</v>
      </c>
      <c r="I8" s="55">
        <f>'32년'!$Y8</f>
        <v>14710.291707106509</v>
      </c>
      <c r="J8" s="55">
        <f>'33년'!$Y8</f>
        <v>15328.456136429246</v>
      </c>
      <c r="K8" s="55">
        <f>'34년'!Y8</f>
        <v>16126.961353720239</v>
      </c>
      <c r="L8" s="55">
        <f>'35년'!Y8</f>
        <v>15936.646551211212</v>
      </c>
      <c r="M8" s="55">
        <f t="shared" si="0"/>
        <v>149450.32105644487</v>
      </c>
      <c r="P8" s="21"/>
    </row>
    <row r="9" spans="1:18">
      <c r="A9" s="254"/>
      <c r="B9" s="218" t="s">
        <v>279</v>
      </c>
      <c r="C9" s="55">
        <f>'26년'!$Y9</f>
        <v>1499</v>
      </c>
      <c r="D9" s="55">
        <f>'27년'!$Y9</f>
        <v>3900.6449999999991</v>
      </c>
      <c r="E9" s="55">
        <f>'28년'!$Y9</f>
        <v>4018.5419951249983</v>
      </c>
      <c r="F9" s="55">
        <f>'29년'!$Y9</f>
        <v>4155.006474455623</v>
      </c>
      <c r="G9" s="55">
        <f>'30년'!$Y9</f>
        <v>4318.8315715724566</v>
      </c>
      <c r="H9" s="55">
        <f>'31년'!$Y9</f>
        <v>4383.6140451460424</v>
      </c>
      <c r="I9" s="55">
        <f>'32년'!$Y9</f>
        <v>4449.3682558232331</v>
      </c>
      <c r="J9" s="55">
        <f>'33년'!$Y9</f>
        <v>4329.1110102857601</v>
      </c>
      <c r="K9" s="55">
        <f>'34년'!Y9</f>
        <v>4583.8504113554891</v>
      </c>
      <c r="L9" s="55">
        <f>'35년'!Y9</f>
        <v>4652.6081675258201</v>
      </c>
      <c r="M9" s="55">
        <f t="shared" si="0"/>
        <v>40290.576931289419</v>
      </c>
      <c r="P9" s="21"/>
    </row>
    <row r="10" spans="1:18">
      <c r="A10" s="254"/>
      <c r="B10" s="218" t="s">
        <v>280</v>
      </c>
      <c r="C10" s="55">
        <f>'26년'!$Y10</f>
        <v>198</v>
      </c>
      <c r="D10" s="55">
        <f>'27년'!$Y10</f>
        <v>435.435</v>
      </c>
      <c r="E10" s="55">
        <f>'28년'!$Y10</f>
        <v>448.59602287499979</v>
      </c>
      <c r="F10" s="55">
        <f>'29년'!$Y10</f>
        <v>474.42950712937477</v>
      </c>
      <c r="G10" s="55">
        <f>'30년'!$Y10</f>
        <v>481.54594973631538</v>
      </c>
      <c r="H10" s="55">
        <f>'31년'!$Y10</f>
        <v>488.76913898235995</v>
      </c>
      <c r="I10" s="55">
        <f>'32년'!$Y10</f>
        <v>496.10067606709532</v>
      </c>
      <c r="J10" s="55">
        <f>'33년'!$Y10</f>
        <v>483.26531964938613</v>
      </c>
      <c r="K10" s="55">
        <f>'34년'!Y10</f>
        <v>511.09531900122306</v>
      </c>
      <c r="L10" s="55">
        <f>'35년'!Y10</f>
        <v>518.76174878624136</v>
      </c>
      <c r="M10" s="55">
        <f t="shared" si="0"/>
        <v>4535.9986822269957</v>
      </c>
    </row>
    <row r="11" spans="1:18">
      <c r="A11" s="254"/>
      <c r="B11" s="51" t="s">
        <v>35</v>
      </c>
      <c r="C11" s="54">
        <f>'26년'!$Y11</f>
        <v>101755</v>
      </c>
      <c r="D11" s="54">
        <f>'27년'!$Y11</f>
        <v>102280.73720168869</v>
      </c>
      <c r="E11" s="54">
        <f>'28년'!$Y11</f>
        <v>109375.98741019191</v>
      </c>
      <c r="F11" s="54">
        <f>'29년'!$Y11</f>
        <v>108518.69191072123</v>
      </c>
      <c r="G11" s="54">
        <f>'30년'!$Y11</f>
        <v>106065.74249637638</v>
      </c>
      <c r="H11" s="54">
        <f>'31년'!$Y11</f>
        <v>109258.4803626091</v>
      </c>
      <c r="I11" s="54">
        <f>'32년'!$Y11</f>
        <v>107568.1101455368</v>
      </c>
      <c r="J11" s="54">
        <f>'33년'!$Y11</f>
        <v>111772.3696255606</v>
      </c>
      <c r="K11" s="54">
        <f>'34년'!$Y11</f>
        <v>112166.82067461695</v>
      </c>
      <c r="L11" s="54">
        <f>'35년'!$Y11</f>
        <v>115251.0469048519</v>
      </c>
      <c r="M11" s="54">
        <f t="shared" si="0"/>
        <v>1084012.9867321537</v>
      </c>
    </row>
    <row r="12" spans="1:18">
      <c r="A12" s="140" t="s">
        <v>98</v>
      </c>
      <c r="B12" s="140" t="s">
        <v>99</v>
      </c>
      <c r="C12" s="55">
        <f>'26년'!$Y12</f>
        <v>5756</v>
      </c>
      <c r="D12" s="55">
        <f>'27년'!$Y12</f>
        <v>5659.8276912624997</v>
      </c>
      <c r="E12" s="55">
        <f>'28년'!$Y12</f>
        <v>5744.7251066314357</v>
      </c>
      <c r="F12" s="55">
        <f>'29년'!$Y12</f>
        <v>5944.8749261059074</v>
      </c>
      <c r="G12" s="55">
        <f>'30년'!$Y12</f>
        <v>6034.0480499974947</v>
      </c>
      <c r="H12" s="55">
        <f>'31년'!$Y12</f>
        <v>6124.5587707474551</v>
      </c>
      <c r="I12" s="55">
        <f>'32년'!$Y12</f>
        <v>6216.4271523086672</v>
      </c>
      <c r="J12" s="55">
        <f>'33년'!$Y12</f>
        <v>6309.673559593296</v>
      </c>
      <c r="K12" s="55">
        <f>'34년'!Y12</f>
        <v>6404.3186629871943</v>
      </c>
      <c r="L12" s="55">
        <f>'35년'!Y12</f>
        <v>6500.3834429320013</v>
      </c>
      <c r="M12" s="55">
        <f t="shared" si="0"/>
        <v>60694.837362565944</v>
      </c>
    </row>
    <row r="13" spans="1:18">
      <c r="A13" s="255" t="s">
        <v>110</v>
      </c>
      <c r="B13" s="255"/>
      <c r="C13" s="57">
        <f t="shared" ref="C13:I13" si="1">C11+C12</f>
        <v>107511</v>
      </c>
      <c r="D13" s="57">
        <f t="shared" si="1"/>
        <v>107940.5648929512</v>
      </c>
      <c r="E13" s="57">
        <f t="shared" si="1"/>
        <v>115120.71251682335</v>
      </c>
      <c r="F13" s="57">
        <f t="shared" si="1"/>
        <v>114463.56683682714</v>
      </c>
      <c r="G13" s="57">
        <f t="shared" si="1"/>
        <v>112099.79054637387</v>
      </c>
      <c r="H13" s="57">
        <f t="shared" si="1"/>
        <v>115383.03913335656</v>
      </c>
      <c r="I13" s="57">
        <f t="shared" si="1"/>
        <v>113784.53729784547</v>
      </c>
      <c r="J13" s="57">
        <f>J11+J12</f>
        <v>118082.0431851539</v>
      </c>
      <c r="K13" s="57">
        <f>K11+K12</f>
        <v>118571.13933760414</v>
      </c>
      <c r="L13" s="57">
        <f>L11+L12</f>
        <v>121751.4303477839</v>
      </c>
      <c r="M13" s="57">
        <f t="shared" si="0"/>
        <v>1144707.8240947195</v>
      </c>
      <c r="N13" s="21"/>
      <c r="O13" s="21"/>
      <c r="P13" s="21"/>
      <c r="Q13" s="21"/>
      <c r="R13" s="21"/>
    </row>
    <row r="14" spans="1:18">
      <c r="A14" s="257" t="s">
        <v>65</v>
      </c>
      <c r="B14" s="257"/>
      <c r="C14" s="55">
        <f>'26년'!$Y14</f>
        <v>120</v>
      </c>
      <c r="D14" s="55">
        <f>'27년'!$Y14</f>
        <v>64</v>
      </c>
      <c r="E14" s="55">
        <f>'28년'!$Y14</f>
        <v>67</v>
      </c>
      <c r="F14" s="55">
        <f>'29년'!$Y14</f>
        <v>64</v>
      </c>
      <c r="G14" s="55">
        <f>'30년'!$Y14</f>
        <v>67</v>
      </c>
      <c r="H14" s="55">
        <f>'31년'!$Y14</f>
        <v>64</v>
      </c>
      <c r="I14" s="55">
        <f>'32년'!$Y14</f>
        <v>67</v>
      </c>
      <c r="J14" s="55">
        <f>'33년'!$Y14</f>
        <v>64</v>
      </c>
      <c r="K14" s="55">
        <f>'34년'!Y14</f>
        <v>67</v>
      </c>
      <c r="L14" s="55">
        <f>'35년'!Y14</f>
        <v>64</v>
      </c>
      <c r="M14" s="55">
        <f t="shared" si="0"/>
        <v>708</v>
      </c>
      <c r="O14" s="21"/>
      <c r="P14" s="21"/>
    </row>
    <row r="15" spans="1:18">
      <c r="A15" s="257" t="s">
        <v>66</v>
      </c>
      <c r="B15" s="257"/>
      <c r="C15" s="55">
        <f>'26년'!$Y15</f>
        <v>50</v>
      </c>
      <c r="D15" s="55">
        <f>'27년'!$Y15</f>
        <v>15</v>
      </c>
      <c r="E15" s="55">
        <f>'28년'!$Y15</f>
        <v>15</v>
      </c>
      <c r="F15" s="55">
        <f>'29년'!$Y15</f>
        <v>15</v>
      </c>
      <c r="G15" s="55">
        <f>'30년'!$Y15</f>
        <v>15</v>
      </c>
      <c r="H15" s="55">
        <f>'31년'!$Y15</f>
        <v>65</v>
      </c>
      <c r="I15" s="55">
        <f>'32년'!$Y15</f>
        <v>15</v>
      </c>
      <c r="J15" s="55">
        <f>'33년'!$Y15</f>
        <v>15</v>
      </c>
      <c r="K15" s="55">
        <f>'34년'!Y15</f>
        <v>15</v>
      </c>
      <c r="L15" s="55">
        <f>'35년'!Y15</f>
        <v>15</v>
      </c>
      <c r="M15" s="55">
        <f t="shared" si="0"/>
        <v>235</v>
      </c>
      <c r="O15" s="214"/>
      <c r="P15" s="214"/>
    </row>
    <row r="16" spans="1:18">
      <c r="A16" s="257" t="s">
        <v>34</v>
      </c>
      <c r="B16" s="141" t="s">
        <v>81</v>
      </c>
      <c r="C16" s="55">
        <f>'26년'!$Y16</f>
        <v>16719</v>
      </c>
      <c r="D16" s="55">
        <f>'27년'!$Y16</f>
        <v>6120</v>
      </c>
      <c r="E16" s="55">
        <f>'28년'!$Y16</f>
        <v>16440.251</v>
      </c>
      <c r="F16" s="55">
        <f>'29년'!$Y16</f>
        <v>24522.969000000001</v>
      </c>
      <c r="G16" s="55">
        <f>'30년'!$Y16</f>
        <v>11853</v>
      </c>
      <c r="H16" s="55">
        <f>'31년'!$Y16</f>
        <v>19145</v>
      </c>
      <c r="I16" s="55">
        <f>'32년'!$Y16</f>
        <v>12543.486885849252</v>
      </c>
      <c r="J16" s="55">
        <f>'33년'!$Y16</f>
        <v>13440.364150939726</v>
      </c>
      <c r="K16" s="55">
        <f>'34년'!Y16</f>
        <v>3489</v>
      </c>
      <c r="L16" s="55">
        <f>'35년'!Y16</f>
        <v>5282.643422193074</v>
      </c>
      <c r="M16" s="55">
        <f t="shared" si="0"/>
        <v>129555.71445898205</v>
      </c>
    </row>
    <row r="17" spans="1:25">
      <c r="A17" s="257"/>
      <c r="B17" s="141" t="s">
        <v>64</v>
      </c>
      <c r="C17" s="55">
        <f>'26년'!$Y17</f>
        <v>56441</v>
      </c>
      <c r="D17" s="55">
        <f>'27년'!$Y17</f>
        <v>19347.946249868121</v>
      </c>
      <c r="E17" s="55">
        <f>'28년'!$Y17</f>
        <v>31407.071088584667</v>
      </c>
      <c r="F17" s="55">
        <f>'29년'!$Y17</f>
        <v>14695.858093522833</v>
      </c>
      <c r="G17" s="55">
        <f>'30년'!$Y17</f>
        <v>17909.211429591152</v>
      </c>
      <c r="H17" s="55">
        <f>'31년'!$Y17</f>
        <v>17273.059236493602</v>
      </c>
      <c r="I17" s="55">
        <f>'32년'!$Y17</f>
        <v>17266.098717579236</v>
      </c>
      <c r="J17" s="55">
        <f>'33년'!$Y17</f>
        <v>15236.930941887167</v>
      </c>
      <c r="K17" s="55">
        <f>'34년'!Y17</f>
        <v>18622.447486470439</v>
      </c>
      <c r="L17" s="55">
        <f>'35년'!Y17</f>
        <v>16455.669408417038</v>
      </c>
      <c r="M17" s="55">
        <f t="shared" si="0"/>
        <v>224655.29265241427</v>
      </c>
    </row>
    <row r="18" spans="1:25">
      <c r="A18" s="257"/>
      <c r="B18" s="51" t="s">
        <v>35</v>
      </c>
      <c r="C18" s="54">
        <f t="shared" ref="C18:K18" si="2">C16+C17</f>
        <v>73160</v>
      </c>
      <c r="D18" s="54">
        <f t="shared" si="2"/>
        <v>25467.946249868121</v>
      </c>
      <c r="E18" s="54">
        <f t="shared" si="2"/>
        <v>47847.322088584668</v>
      </c>
      <c r="F18" s="54">
        <f t="shared" si="2"/>
        <v>39218.827093522836</v>
      </c>
      <c r="G18" s="54">
        <f t="shared" si="2"/>
        <v>29762.211429591152</v>
      </c>
      <c r="H18" s="54">
        <f t="shared" si="2"/>
        <v>36418.059236493602</v>
      </c>
      <c r="I18" s="54">
        <f t="shared" si="2"/>
        <v>29809.585603428488</v>
      </c>
      <c r="J18" s="54">
        <f t="shared" si="2"/>
        <v>28677.295092826891</v>
      </c>
      <c r="K18" s="54">
        <f t="shared" si="2"/>
        <v>22111.447486470439</v>
      </c>
      <c r="L18" s="54">
        <f t="shared" ref="L18" si="3">L16+L17</f>
        <v>21738.312830610113</v>
      </c>
      <c r="M18" s="54">
        <f t="shared" si="0"/>
        <v>354211.00711139629</v>
      </c>
    </row>
    <row r="19" spans="1:25">
      <c r="A19" s="140" t="s">
        <v>102</v>
      </c>
      <c r="B19" s="140" t="s">
        <v>120</v>
      </c>
      <c r="C19" s="55">
        <f>'26년'!$Y19</f>
        <v>2392</v>
      </c>
      <c r="D19" s="55">
        <f>'27년'!$Y19</f>
        <v>0</v>
      </c>
      <c r="E19" s="55">
        <f>'28년'!$Y19</f>
        <v>14761.168017215945</v>
      </c>
      <c r="F19" s="55">
        <f>'29년'!$Y19</f>
        <v>5074.9999999999991</v>
      </c>
      <c r="G19" s="55">
        <f>'30년'!$Y19</f>
        <v>8711.6157806216543</v>
      </c>
      <c r="H19" s="55">
        <f>'31년'!$Y19</f>
        <v>15108.121558306295</v>
      </c>
      <c r="I19" s="55">
        <f>'32년'!$Y19</f>
        <v>3985.4530822302886</v>
      </c>
      <c r="J19" s="55">
        <f>'33년'!$Y19</f>
        <v>0</v>
      </c>
      <c r="K19" s="55">
        <f>'34년'!Y19</f>
        <v>16140.499736350306</v>
      </c>
      <c r="L19" s="55">
        <f>'35년'!Y19</f>
        <v>9716.7266671742036</v>
      </c>
      <c r="M19" s="55">
        <f t="shared" si="0"/>
        <v>75890.584841898701</v>
      </c>
    </row>
    <row r="20" spans="1:25">
      <c r="A20" s="257" t="s">
        <v>63</v>
      </c>
      <c r="B20" s="257"/>
      <c r="C20" s="55">
        <f>'26년'!$Y20</f>
        <v>1484</v>
      </c>
      <c r="D20" s="55">
        <f>'27년'!$Y20</f>
        <v>936.77608251114475</v>
      </c>
      <c r="E20" s="55">
        <f>'28년'!$Y20</f>
        <v>1310.7904894925846</v>
      </c>
      <c r="F20" s="55">
        <f>'29년'!$Y20</f>
        <v>1486.6942118252987</v>
      </c>
      <c r="G20" s="55">
        <f>'30년'!$Y20</f>
        <v>1037.8349454365643</v>
      </c>
      <c r="H20" s="55">
        <f>'31년'!$Y20</f>
        <v>1041.7792566312221</v>
      </c>
      <c r="I20" s="55">
        <f>'32년'!$Y20</f>
        <v>1277.5262589054137</v>
      </c>
      <c r="J20" s="55">
        <f>'33년'!$Y20</f>
        <v>1011.8223746464716</v>
      </c>
      <c r="K20" s="55">
        <f>'34년'!Y20</f>
        <v>1165.7542525315605</v>
      </c>
      <c r="L20" s="55">
        <f>'35년'!Y20</f>
        <v>1174.9305663195339</v>
      </c>
      <c r="M20" s="55">
        <f t="shared" si="0"/>
        <v>11927.908438299793</v>
      </c>
    </row>
    <row r="21" spans="1:25">
      <c r="A21" s="257" t="s">
        <v>36</v>
      </c>
      <c r="B21" s="141" t="s">
        <v>38</v>
      </c>
      <c r="C21" s="55">
        <f>'26년'!$Y21</f>
        <v>1804</v>
      </c>
      <c r="D21" s="55">
        <f>'27년'!$Y21</f>
        <v>16939</v>
      </c>
      <c r="E21" s="55">
        <f>'28년'!$Y21</f>
        <v>36744</v>
      </c>
      <c r="F21" s="55">
        <f>'29년'!$Y21</f>
        <v>38410</v>
      </c>
      <c r="G21" s="55">
        <f>'30년'!$Y21</f>
        <v>30919</v>
      </c>
      <c r="H21" s="55">
        <f>'31년'!$Y21</f>
        <v>144201.17179912311</v>
      </c>
      <c r="I21" s="55">
        <f>'32년'!$Y21</f>
        <v>17583</v>
      </c>
      <c r="J21" s="55">
        <f>'33년'!$Y21</f>
        <v>35112</v>
      </c>
      <c r="K21" s="55">
        <f>'34년'!Y21</f>
        <v>31158</v>
      </c>
      <c r="L21" s="55">
        <f>'35년'!Y21</f>
        <v>18887</v>
      </c>
      <c r="M21" s="55">
        <f t="shared" si="0"/>
        <v>371757.17179912311</v>
      </c>
    </row>
    <row r="22" spans="1:25" ht="16.5" customHeight="1">
      <c r="A22" s="257"/>
      <c r="B22" s="141" t="s">
        <v>39</v>
      </c>
      <c r="C22" s="55">
        <f>'26년'!$Y22</f>
        <v>10656</v>
      </c>
      <c r="D22" s="55">
        <f>'27년'!$Y22</f>
        <v>3266.12860291375</v>
      </c>
      <c r="E22" s="55">
        <f>'28년'!$Y22</f>
        <v>6679.7099868808582</v>
      </c>
      <c r="F22" s="55">
        <f>'29년'!$Y22</f>
        <v>5537.4018933919442</v>
      </c>
      <c r="G22" s="55">
        <f>'30년'!$Y22</f>
        <v>4808.2640877188269</v>
      </c>
      <c r="H22" s="55">
        <f>'31년'!$Y22</f>
        <v>4889.2269679070869</v>
      </c>
      <c r="I22" s="55">
        <f>'32년'!$Y22</f>
        <v>5196.7305737311426</v>
      </c>
      <c r="J22" s="55">
        <f>'33년'!$Y22</f>
        <v>3617.718531498575</v>
      </c>
      <c r="K22" s="55">
        <f>'34년'!Y22</f>
        <v>7097.3097422353731</v>
      </c>
      <c r="L22" s="55">
        <f>'35년'!Y22</f>
        <v>5872.0628294875914</v>
      </c>
      <c r="M22" s="55">
        <f t="shared" si="0"/>
        <v>57620.553215765147</v>
      </c>
      <c r="P22" s="178"/>
      <c r="Q22" s="179"/>
      <c r="R22" s="179"/>
      <c r="S22" s="179"/>
      <c r="T22" s="179"/>
      <c r="U22" s="179"/>
      <c r="V22" s="179"/>
      <c r="W22" s="179"/>
      <c r="X22" s="179"/>
      <c r="Y22" s="179"/>
    </row>
    <row r="23" spans="1:25" ht="16.5" customHeight="1">
      <c r="A23" s="257"/>
      <c r="B23" s="141" t="s">
        <v>37</v>
      </c>
      <c r="C23" s="55">
        <f>'26년'!$Y23</f>
        <v>1296</v>
      </c>
      <c r="D23" s="55">
        <f>'27년'!$Y23</f>
        <v>724.09136015537501</v>
      </c>
      <c r="E23" s="55">
        <f>'28년'!$Y23</f>
        <v>920.49064322305776</v>
      </c>
      <c r="F23" s="55">
        <f>'29년'!$Y23</f>
        <v>848.89379651607123</v>
      </c>
      <c r="G23" s="55">
        <f>'30년'!$Y23</f>
        <v>862.55970346381218</v>
      </c>
      <c r="H23" s="55">
        <f>'31년'!$Y23</f>
        <v>1138.1824367866034</v>
      </c>
      <c r="I23" s="55">
        <f>'32년'!$Y23</f>
        <v>765.42163300100594</v>
      </c>
      <c r="J23" s="55">
        <f>'33년'!$Y23</f>
        <v>766</v>
      </c>
      <c r="K23" s="55">
        <f>'34년'!Y23</f>
        <v>766.5</v>
      </c>
      <c r="L23" s="55">
        <f>'35년'!Y23</f>
        <v>766.5</v>
      </c>
      <c r="M23" s="55">
        <f t="shared" si="0"/>
        <v>8854.6395731459252</v>
      </c>
      <c r="P23" s="179"/>
      <c r="Q23" s="179"/>
      <c r="R23" s="179"/>
      <c r="S23" s="179"/>
      <c r="T23" s="179"/>
      <c r="U23" s="179"/>
      <c r="V23" s="179"/>
      <c r="W23" s="179"/>
      <c r="X23" s="179"/>
      <c r="Y23" s="179"/>
    </row>
    <row r="24" spans="1:25" ht="16.5" customHeight="1">
      <c r="A24" s="257"/>
      <c r="B24" s="51" t="s">
        <v>35</v>
      </c>
      <c r="C24" s="54">
        <f t="shared" ref="C24:K24" si="4">SUM(C21:C23)</f>
        <v>13756</v>
      </c>
      <c r="D24" s="54">
        <f t="shared" si="4"/>
        <v>20929.219963069125</v>
      </c>
      <c r="E24" s="54">
        <f t="shared" si="4"/>
        <v>44344.200630103915</v>
      </c>
      <c r="F24" s="54">
        <f t="shared" si="4"/>
        <v>44796.295689908016</v>
      </c>
      <c r="G24" s="54">
        <f t="shared" si="4"/>
        <v>36589.823791182636</v>
      </c>
      <c r="H24" s="54">
        <f t="shared" si="4"/>
        <v>150228.58120381678</v>
      </c>
      <c r="I24" s="54">
        <f t="shared" si="4"/>
        <v>23545.152206732149</v>
      </c>
      <c r="J24" s="54">
        <f t="shared" si="4"/>
        <v>39495.718531498576</v>
      </c>
      <c r="K24" s="54">
        <f t="shared" si="4"/>
        <v>39021.809742235375</v>
      </c>
      <c r="L24" s="54">
        <f t="shared" ref="L24" si="5">SUM(L21:L23)</f>
        <v>25525.562829487593</v>
      </c>
      <c r="M24" s="54">
        <f t="shared" si="0"/>
        <v>438232.36458803422</v>
      </c>
      <c r="P24" s="179"/>
      <c r="Q24" s="179"/>
      <c r="R24" s="179"/>
      <c r="S24" s="179"/>
      <c r="T24" s="179"/>
      <c r="U24" s="179"/>
      <c r="V24" s="179"/>
      <c r="W24" s="179"/>
      <c r="X24" s="179"/>
      <c r="Y24" s="179"/>
    </row>
    <row r="25" spans="1:25" ht="16.5" customHeight="1">
      <c r="A25" s="255" t="s">
        <v>115</v>
      </c>
      <c r="B25" s="255"/>
      <c r="C25" s="57">
        <f>C14+C15+C18+C19+C20+C24</f>
        <v>90962</v>
      </c>
      <c r="D25" s="57">
        <f t="shared" ref="D25:M25" si="6">D14+D15+D18+D19+D20+D24</f>
        <v>47412.942295448389</v>
      </c>
      <c r="E25" s="57">
        <f t="shared" si="6"/>
        <v>108345.48122539712</v>
      </c>
      <c r="F25" s="57">
        <f t="shared" si="6"/>
        <v>90655.816995256144</v>
      </c>
      <c r="G25" s="57">
        <f t="shared" si="6"/>
        <v>76183.485946832021</v>
      </c>
      <c r="H25" s="57">
        <f t="shared" si="6"/>
        <v>202925.5412552479</v>
      </c>
      <c r="I25" s="57">
        <f t="shared" si="6"/>
        <v>58699.71715129634</v>
      </c>
      <c r="J25" s="57">
        <f t="shared" si="6"/>
        <v>69263.835998971947</v>
      </c>
      <c r="K25" s="57">
        <f t="shared" si="6"/>
        <v>78521.511217587686</v>
      </c>
      <c r="L25" s="57">
        <f t="shared" si="6"/>
        <v>58234.532893591444</v>
      </c>
      <c r="M25" s="57">
        <f t="shared" si="6"/>
        <v>881204.86497962894</v>
      </c>
      <c r="N25" s="21"/>
      <c r="O25" s="21"/>
      <c r="P25" s="21"/>
      <c r="Q25" s="21"/>
      <c r="R25" s="21"/>
      <c r="S25" s="179"/>
      <c r="T25" s="179"/>
      <c r="U25" s="179"/>
      <c r="V25" s="179"/>
      <c r="W25" s="179"/>
      <c r="X25" s="179"/>
      <c r="Y25" s="179"/>
    </row>
    <row r="26" spans="1:25" ht="16.5" customHeight="1">
      <c r="A26" s="222" t="s">
        <v>282</v>
      </c>
      <c r="B26" s="222" t="s">
        <v>354</v>
      </c>
      <c r="C26" s="55">
        <f>'26년'!$Y26</f>
        <v>12593</v>
      </c>
      <c r="D26" s="55">
        <f>'27년'!$Y26</f>
        <v>37608.611999999994</v>
      </c>
      <c r="E26" s="55">
        <f>'28년'!$Y26</f>
        <v>12497.591977499998</v>
      </c>
      <c r="F26" s="55">
        <f>'29년'!$Y26</f>
        <v>12685.055857162495</v>
      </c>
      <c r="G26" s="55">
        <f>'30년'!$Y26</f>
        <v>12875.331695019933</v>
      </c>
      <c r="H26" s="55">
        <f>'31년'!$Y26</f>
        <v>13068.461670445231</v>
      </c>
      <c r="I26" s="55">
        <f>'32년'!$Y26</f>
        <v>13264.488595501905</v>
      </c>
      <c r="J26" s="55">
        <f>'33년'!$Y26</f>
        <v>13463.455924434435</v>
      </c>
      <c r="K26" s="55">
        <f>'34년'!Y26</f>
        <v>13665.407763300951</v>
      </c>
      <c r="L26" s="55">
        <f>'35년'!Y26</f>
        <v>13870.388879750464</v>
      </c>
      <c r="M26" s="55">
        <f t="shared" ref="M26" si="7">SUM(C26:L26)</f>
        <v>155591.79436311545</v>
      </c>
      <c r="N26" s="21"/>
      <c r="O26" s="21"/>
      <c r="P26" s="21"/>
      <c r="Q26" s="21"/>
      <c r="R26" s="21"/>
      <c r="S26" s="179"/>
      <c r="T26" s="179"/>
      <c r="U26" s="179"/>
      <c r="V26" s="179"/>
      <c r="W26" s="179"/>
      <c r="X26" s="179"/>
      <c r="Y26" s="179"/>
    </row>
    <row r="27" spans="1:25" ht="16.5" customHeight="1">
      <c r="D27" s="244"/>
      <c r="E27" s="244"/>
      <c r="F27" s="244"/>
      <c r="G27" s="244"/>
      <c r="H27" s="244"/>
      <c r="I27" s="244"/>
      <c r="J27" s="244"/>
      <c r="K27" s="244"/>
      <c r="L27" s="244"/>
      <c r="M27" s="21"/>
      <c r="P27" s="179"/>
      <c r="Q27" s="179"/>
      <c r="R27" s="179"/>
      <c r="S27" s="179"/>
      <c r="T27" s="179"/>
      <c r="U27" s="179"/>
      <c r="V27" s="179"/>
      <c r="W27" s="179"/>
      <c r="X27" s="179"/>
      <c r="Y27" s="179"/>
    </row>
    <row r="28" spans="1:25" ht="16.5" customHeight="1">
      <c r="C28" s="21"/>
      <c r="D28" s="244"/>
      <c r="E28" s="244"/>
      <c r="F28" s="244"/>
      <c r="G28" s="244"/>
      <c r="H28" s="244"/>
      <c r="I28" s="244"/>
      <c r="J28" s="244"/>
      <c r="K28" s="244"/>
      <c r="L28" s="244"/>
      <c r="M28" s="243"/>
      <c r="P28" s="179"/>
      <c r="Q28" s="179"/>
      <c r="R28" s="179"/>
      <c r="S28" s="179"/>
      <c r="T28" s="179"/>
      <c r="U28" s="179"/>
      <c r="V28" s="179"/>
      <c r="W28" s="179"/>
      <c r="X28" s="179"/>
      <c r="Y28" s="179"/>
    </row>
    <row r="29" spans="1:25" ht="16.5" customHeight="1">
      <c r="A29" s="31"/>
      <c r="B29" s="70"/>
      <c r="C29" s="31"/>
      <c r="D29" s="244"/>
      <c r="E29" s="244"/>
      <c r="F29" s="244"/>
      <c r="G29" s="244"/>
      <c r="H29" s="244"/>
      <c r="I29" s="244"/>
      <c r="J29" s="244"/>
      <c r="P29" s="235"/>
      <c r="Q29" s="179"/>
      <c r="R29" s="179"/>
      <c r="S29" s="179"/>
      <c r="T29" s="179"/>
      <c r="U29" s="179"/>
      <c r="V29" s="179"/>
      <c r="W29" s="179"/>
      <c r="X29" s="179"/>
      <c r="Y29" s="179"/>
    </row>
    <row r="30" spans="1:25" ht="16.5" customHeight="1">
      <c r="A30" s="31"/>
      <c r="B30" s="70"/>
      <c r="C30" s="31"/>
      <c r="D30" s="244"/>
      <c r="E30" s="244"/>
      <c r="F30" s="244"/>
      <c r="G30" s="244"/>
      <c r="H30" s="244"/>
      <c r="I30" s="244"/>
      <c r="J30" s="244"/>
      <c r="K30" s="244"/>
      <c r="L30" s="244"/>
      <c r="M30" s="31"/>
      <c r="P30" s="235"/>
      <c r="Q30" s="179"/>
      <c r="R30" s="179"/>
      <c r="S30" s="179"/>
      <c r="T30" s="179"/>
      <c r="U30" s="179"/>
      <c r="V30" s="179"/>
      <c r="W30" s="179"/>
      <c r="X30" s="179"/>
      <c r="Y30" s="179"/>
    </row>
    <row r="31" spans="1:25" ht="17.25" customHeight="1" thickBot="1">
      <c r="A31" s="31"/>
      <c r="B31" s="70"/>
      <c r="C31" s="31"/>
      <c r="D31" s="244"/>
      <c r="E31" s="244"/>
      <c r="F31" s="244"/>
      <c r="G31" s="244"/>
      <c r="H31" s="244"/>
      <c r="I31" s="244"/>
      <c r="J31" s="244"/>
      <c r="K31" s="244"/>
      <c r="L31" s="244"/>
      <c r="N31" s="31" t="s">
        <v>118</v>
      </c>
      <c r="P31" s="235"/>
      <c r="Q31" s="179"/>
      <c r="R31" s="179"/>
      <c r="S31" s="179"/>
      <c r="T31" s="179"/>
      <c r="U31" s="179"/>
      <c r="V31" s="179"/>
      <c r="W31" s="179"/>
      <c r="X31" s="179"/>
      <c r="Y31" s="179"/>
    </row>
    <row r="32" spans="1:25" ht="16.5" customHeight="1">
      <c r="A32" s="253" t="s">
        <v>249</v>
      </c>
      <c r="B32" s="253"/>
      <c r="C32" s="167" t="s">
        <v>10</v>
      </c>
      <c r="D32" s="168" t="s">
        <v>11</v>
      </c>
      <c r="E32" s="168" t="s">
        <v>12</v>
      </c>
      <c r="F32" s="168" t="s">
        <v>13</v>
      </c>
      <c r="G32" s="226" t="s">
        <v>14</v>
      </c>
      <c r="H32" s="169" t="s">
        <v>15</v>
      </c>
      <c r="I32" s="164" t="s">
        <v>16</v>
      </c>
      <c r="J32" s="101" t="s">
        <v>114</v>
      </c>
      <c r="K32" s="86" t="s">
        <v>121</v>
      </c>
      <c r="L32" s="202" t="s">
        <v>248</v>
      </c>
      <c r="M32" s="163" t="s">
        <v>367</v>
      </c>
      <c r="N32" s="101" t="s">
        <v>41</v>
      </c>
      <c r="P32" s="179"/>
      <c r="Q32" s="179"/>
      <c r="R32" s="179"/>
      <c r="S32" s="179"/>
      <c r="T32" s="179"/>
      <c r="U32" s="179"/>
      <c r="V32" s="179"/>
      <c r="W32" s="179"/>
      <c r="X32" s="179"/>
      <c r="Y32" s="179"/>
    </row>
    <row r="33" spans="1:25" ht="16.5" customHeight="1">
      <c r="A33" s="254" t="s">
        <v>93</v>
      </c>
      <c r="B33" s="78" t="s">
        <v>33</v>
      </c>
      <c r="C33" s="170">
        <v>5701000</v>
      </c>
      <c r="D33" s="10">
        <v>2694046</v>
      </c>
      <c r="E33" s="10">
        <v>2749161</v>
      </c>
      <c r="F33" s="10">
        <v>2806509</v>
      </c>
      <c r="G33" s="227">
        <v>2897385</v>
      </c>
      <c r="H33" s="171">
        <v>3042681</v>
      </c>
      <c r="I33" s="165">
        <v>3150236</v>
      </c>
      <c r="J33" s="10">
        <v>3355134</v>
      </c>
      <c r="K33" s="10">
        <v>3557305</v>
      </c>
      <c r="L33" s="10">
        <v>3820528</v>
      </c>
      <c r="M33" s="261"/>
      <c r="N33" s="55">
        <f>SUM(C33:L33)</f>
        <v>33773985</v>
      </c>
      <c r="P33" s="179"/>
      <c r="Q33" s="179"/>
      <c r="R33" s="179"/>
      <c r="S33" s="179"/>
      <c r="T33" s="179"/>
      <c r="U33" s="179"/>
      <c r="V33" s="179"/>
      <c r="W33" s="179"/>
      <c r="X33" s="179"/>
      <c r="Y33" s="179"/>
    </row>
    <row r="34" spans="1:25" ht="16.5" customHeight="1">
      <c r="A34" s="254"/>
      <c r="B34" s="78" t="s">
        <v>95</v>
      </c>
      <c r="C34" s="170">
        <v>25374000</v>
      </c>
      <c r="D34" s="10">
        <v>30376472</v>
      </c>
      <c r="E34" s="10">
        <v>25190155</v>
      </c>
      <c r="F34" s="10">
        <v>29860119</v>
      </c>
      <c r="G34" s="227">
        <v>27005853</v>
      </c>
      <c r="H34" s="171">
        <v>27681421</v>
      </c>
      <c r="I34" s="165">
        <v>25099692</v>
      </c>
      <c r="J34" s="10">
        <v>29294562</v>
      </c>
      <c r="K34" s="10">
        <v>27771028</v>
      </c>
      <c r="L34" s="10">
        <v>27013513</v>
      </c>
      <c r="M34" s="261"/>
      <c r="N34" s="55">
        <f>SUM(C34:L34)</f>
        <v>274666815</v>
      </c>
      <c r="P34" s="179"/>
      <c r="Q34" s="179"/>
      <c r="R34" s="179"/>
      <c r="S34" s="179"/>
      <c r="T34" s="179"/>
      <c r="U34" s="179"/>
      <c r="V34" s="179"/>
      <c r="W34" s="179"/>
      <c r="X34" s="179"/>
      <c r="Y34" s="179"/>
    </row>
    <row r="35" spans="1:25" ht="16.5" customHeight="1">
      <c r="A35" s="254"/>
      <c r="B35" s="78" t="s">
        <v>96</v>
      </c>
      <c r="C35" s="170">
        <v>42214000</v>
      </c>
      <c r="D35" s="10">
        <v>44648210</v>
      </c>
      <c r="E35" s="10">
        <v>45247898</v>
      </c>
      <c r="F35" s="10">
        <v>47765508</v>
      </c>
      <c r="G35" s="227">
        <v>48658740</v>
      </c>
      <c r="H35" s="171">
        <v>49628431</v>
      </c>
      <c r="I35" s="165">
        <v>50689902</v>
      </c>
      <c r="J35" s="10">
        <v>51863884</v>
      </c>
      <c r="K35" s="10">
        <v>53178415</v>
      </c>
      <c r="L35" s="10">
        <v>54671559</v>
      </c>
      <c r="M35" s="261"/>
      <c r="N35" s="55">
        <f>SUM(C35:L35)</f>
        <v>488566547</v>
      </c>
      <c r="P35" s="179"/>
      <c r="Q35" s="179"/>
      <c r="R35" s="179"/>
      <c r="S35" s="179"/>
      <c r="T35" s="179"/>
      <c r="U35" s="179"/>
      <c r="V35" s="179"/>
      <c r="W35" s="179"/>
      <c r="X35" s="179"/>
      <c r="Y35" s="179"/>
    </row>
    <row r="36" spans="1:25" ht="16.5" customHeight="1">
      <c r="A36" s="254"/>
      <c r="B36" s="78" t="s">
        <v>97</v>
      </c>
      <c r="C36" s="170">
        <v>10910000</v>
      </c>
      <c r="D36" s="10">
        <v>10622779</v>
      </c>
      <c r="E36" s="10">
        <v>10779426</v>
      </c>
      <c r="F36" s="10">
        <v>10984997</v>
      </c>
      <c r="G36" s="227">
        <v>11148087</v>
      </c>
      <c r="H36" s="171">
        <v>11313114</v>
      </c>
      <c r="I36" s="165">
        <v>9194105</v>
      </c>
      <c r="J36" s="10">
        <v>9332092</v>
      </c>
      <c r="K36" s="10">
        <v>9472103</v>
      </c>
      <c r="L36" s="10">
        <v>9614170</v>
      </c>
      <c r="M36" s="261"/>
      <c r="N36" s="55">
        <f>SUM(C36:L36)</f>
        <v>103370873</v>
      </c>
      <c r="P36" s="179"/>
      <c r="Q36" s="179"/>
      <c r="R36" s="179"/>
      <c r="S36" s="179"/>
      <c r="T36" s="179"/>
      <c r="U36" s="179"/>
      <c r="V36" s="179"/>
      <c r="W36" s="179"/>
      <c r="X36" s="179"/>
      <c r="Y36" s="179"/>
    </row>
    <row r="37" spans="1:25" ht="16.5" customHeight="1">
      <c r="A37" s="254"/>
      <c r="B37" s="78" t="s">
        <v>281</v>
      </c>
      <c r="C37" s="170">
        <v>14774000</v>
      </c>
      <c r="D37" s="10">
        <v>13602256</v>
      </c>
      <c r="E37" s="10">
        <v>14262535</v>
      </c>
      <c r="F37" s="10">
        <v>18641590</v>
      </c>
      <c r="G37" s="227">
        <v>16465844</v>
      </c>
      <c r="H37" s="171">
        <v>13300349</v>
      </c>
      <c r="I37" s="165">
        <v>18125830</v>
      </c>
      <c r="J37" s="10">
        <v>14594278</v>
      </c>
      <c r="K37" s="10">
        <v>15921342</v>
      </c>
      <c r="L37" s="10">
        <v>15063257</v>
      </c>
      <c r="M37" s="261"/>
      <c r="N37" s="55">
        <f>SUM(C37:L37)</f>
        <v>154751281</v>
      </c>
      <c r="P37" s="179"/>
      <c r="Q37" s="179"/>
      <c r="R37" s="179"/>
      <c r="S37" s="179"/>
      <c r="T37" s="179"/>
      <c r="U37" s="179"/>
      <c r="V37" s="179"/>
      <c r="W37" s="179"/>
      <c r="X37" s="179"/>
      <c r="Y37" s="179"/>
    </row>
    <row r="38" spans="1:25" ht="16.5" customHeight="1">
      <c r="A38" s="254"/>
      <c r="B38" s="51" t="s">
        <v>35</v>
      </c>
      <c r="C38" s="172">
        <f>SUM(C33:C37)</f>
        <v>98973000</v>
      </c>
      <c r="D38" s="53">
        <f t="shared" ref="D38:L38" si="8">SUM(D33:D37)</f>
        <v>101943763</v>
      </c>
      <c r="E38" s="53">
        <f t="shared" si="8"/>
        <v>98229175</v>
      </c>
      <c r="F38" s="53">
        <f t="shared" si="8"/>
        <v>110058723</v>
      </c>
      <c r="G38" s="53">
        <f t="shared" si="8"/>
        <v>106175909</v>
      </c>
      <c r="H38" s="232">
        <f t="shared" si="8"/>
        <v>104965996</v>
      </c>
      <c r="I38" s="172">
        <f t="shared" si="8"/>
        <v>106259765</v>
      </c>
      <c r="J38" s="53">
        <f t="shared" si="8"/>
        <v>108439950</v>
      </c>
      <c r="K38" s="53">
        <f t="shared" si="8"/>
        <v>109900193</v>
      </c>
      <c r="L38" s="53">
        <f t="shared" si="8"/>
        <v>110183027</v>
      </c>
      <c r="M38" s="261"/>
      <c r="N38" s="53">
        <f>SUM(N33:N37)</f>
        <v>1055129501</v>
      </c>
      <c r="P38" s="179"/>
      <c r="Q38" s="179"/>
      <c r="R38" s="179"/>
      <c r="S38" s="179"/>
      <c r="T38" s="179"/>
      <c r="U38" s="179"/>
      <c r="V38" s="179"/>
      <c r="W38" s="179"/>
      <c r="X38" s="179"/>
      <c r="Y38" s="179"/>
    </row>
    <row r="39" spans="1:25" ht="16.5" customHeight="1">
      <c r="A39" s="63" t="s">
        <v>98</v>
      </c>
      <c r="B39" s="78" t="s">
        <v>99</v>
      </c>
      <c r="C39" s="170">
        <v>6676000</v>
      </c>
      <c r="D39" s="10">
        <v>6525589</v>
      </c>
      <c r="E39" s="10">
        <v>6621723</v>
      </c>
      <c r="F39" s="10">
        <v>7195220</v>
      </c>
      <c r="G39" s="227">
        <v>7303149</v>
      </c>
      <c r="H39" s="171">
        <v>7412696</v>
      </c>
      <c r="I39" s="165">
        <v>7523886</v>
      </c>
      <c r="J39" s="10">
        <v>7636745</v>
      </c>
      <c r="K39" s="10">
        <v>7751296</v>
      </c>
      <c r="L39" s="10">
        <v>7867565</v>
      </c>
      <c r="M39" s="261"/>
      <c r="N39" s="55">
        <f>SUM(C39:L39)</f>
        <v>72513869</v>
      </c>
      <c r="P39" s="179"/>
      <c r="Q39" s="179"/>
      <c r="R39" s="179"/>
      <c r="S39" s="179"/>
      <c r="T39" s="179"/>
      <c r="U39" s="179"/>
      <c r="V39" s="179"/>
      <c r="W39" s="179"/>
      <c r="X39" s="179"/>
      <c r="Y39" s="179"/>
    </row>
    <row r="40" spans="1:25" ht="17.25" customHeight="1" thickBot="1">
      <c r="A40" s="255" t="s">
        <v>110</v>
      </c>
      <c r="B40" s="255"/>
      <c r="C40" s="173">
        <f t="shared" ref="C40:K40" si="9">C38+C39</f>
        <v>105649000</v>
      </c>
      <c r="D40" s="174">
        <f t="shared" si="9"/>
        <v>108469352</v>
      </c>
      <c r="E40" s="174">
        <f t="shared" si="9"/>
        <v>104850898</v>
      </c>
      <c r="F40" s="174">
        <f t="shared" si="9"/>
        <v>117253943</v>
      </c>
      <c r="G40" s="228">
        <f t="shared" si="9"/>
        <v>113479058</v>
      </c>
      <c r="H40" s="175">
        <f t="shared" si="9"/>
        <v>112378692</v>
      </c>
      <c r="I40" s="166">
        <f t="shared" si="9"/>
        <v>113783651</v>
      </c>
      <c r="J40" s="58">
        <f t="shared" si="9"/>
        <v>116076695</v>
      </c>
      <c r="K40" s="58">
        <f t="shared" si="9"/>
        <v>117651489</v>
      </c>
      <c r="L40" s="58">
        <f t="shared" ref="L40" si="10">L38+L39</f>
        <v>118050592</v>
      </c>
      <c r="M40" s="261"/>
      <c r="N40" s="58">
        <f>N38+N39</f>
        <v>1127643370</v>
      </c>
      <c r="O40" s="21"/>
      <c r="P40" s="179"/>
      <c r="Q40" s="179"/>
      <c r="R40" s="179"/>
      <c r="S40" s="179"/>
      <c r="T40" s="179"/>
      <c r="U40" s="179"/>
      <c r="V40" s="179"/>
      <c r="W40" s="179"/>
      <c r="X40" s="179"/>
      <c r="Y40" s="179"/>
    </row>
    <row r="41" spans="1:25" ht="17.25" customHeight="1" thickBot="1">
      <c r="A41" s="31"/>
      <c r="B41" s="70"/>
      <c r="C41" s="31"/>
      <c r="D41" s="31"/>
      <c r="E41" s="31"/>
      <c r="F41" s="31"/>
      <c r="G41" s="31"/>
      <c r="H41" s="31"/>
      <c r="I41" s="31"/>
      <c r="J41" s="31"/>
      <c r="K41" s="31"/>
      <c r="L41" s="31"/>
      <c r="P41" s="179"/>
      <c r="Q41" s="179"/>
      <c r="R41" s="179"/>
      <c r="S41" s="179"/>
      <c r="T41" s="179"/>
      <c r="U41" s="179"/>
      <c r="V41" s="179"/>
      <c r="W41" s="179"/>
      <c r="X41" s="179"/>
      <c r="Y41" s="179"/>
    </row>
    <row r="42" spans="1:25" ht="16.5" customHeight="1">
      <c r="A42" s="253" t="s">
        <v>393</v>
      </c>
      <c r="B42" s="253"/>
      <c r="C42" s="167" t="s">
        <v>10</v>
      </c>
      <c r="D42" s="168" t="s">
        <v>11</v>
      </c>
      <c r="E42" s="168" t="s">
        <v>12</v>
      </c>
      <c r="F42" s="168" t="s">
        <v>13</v>
      </c>
      <c r="G42" s="226" t="s">
        <v>14</v>
      </c>
      <c r="H42" s="169" t="s">
        <v>15</v>
      </c>
      <c r="I42" s="164" t="s">
        <v>16</v>
      </c>
      <c r="J42" s="118" t="s">
        <v>114</v>
      </c>
      <c r="K42" s="119" t="s">
        <v>121</v>
      </c>
      <c r="L42" s="202" t="s">
        <v>248</v>
      </c>
      <c r="M42" s="119" t="s">
        <v>367</v>
      </c>
      <c r="N42" s="118" t="s">
        <v>41</v>
      </c>
      <c r="P42" s="179"/>
      <c r="Q42" s="179"/>
      <c r="R42" s="179"/>
      <c r="S42" s="179"/>
      <c r="T42" s="179"/>
      <c r="U42" s="179"/>
      <c r="V42" s="179"/>
      <c r="W42" s="179"/>
      <c r="X42" s="179"/>
      <c r="Y42" s="179"/>
    </row>
    <row r="43" spans="1:25" ht="16.5" customHeight="1">
      <c r="A43" s="254" t="s">
        <v>93</v>
      </c>
      <c r="B43" s="116" t="s">
        <v>33</v>
      </c>
      <c r="C43" s="258"/>
      <c r="D43" s="10">
        <f t="shared" ref="D43:M43" si="11">TRUNC(C4*1000)</f>
        <v>4188000</v>
      </c>
      <c r="E43" s="10">
        <f t="shared" si="11"/>
        <v>4250820</v>
      </c>
      <c r="F43" s="10">
        <f t="shared" si="11"/>
        <v>4314582</v>
      </c>
      <c r="G43" s="227">
        <f t="shared" si="11"/>
        <v>4465046</v>
      </c>
      <c r="H43" s="171">
        <f t="shared" si="11"/>
        <v>4532022</v>
      </c>
      <c r="I43" s="165">
        <f t="shared" si="11"/>
        <v>4600002</v>
      </c>
      <c r="J43" s="10">
        <f t="shared" si="11"/>
        <v>4669002</v>
      </c>
      <c r="K43" s="10">
        <f t="shared" si="11"/>
        <v>4739037</v>
      </c>
      <c r="L43" s="10">
        <f t="shared" si="11"/>
        <v>4810123</v>
      </c>
      <c r="M43" s="10">
        <f t="shared" si="11"/>
        <v>4882275</v>
      </c>
      <c r="N43" s="55">
        <f t="shared" ref="N43:N49" si="12">SUM(D43:M43)</f>
        <v>45450909</v>
      </c>
      <c r="P43" s="179"/>
      <c r="Q43" s="179"/>
      <c r="R43" s="179"/>
      <c r="S43" s="179"/>
      <c r="T43" s="179"/>
      <c r="U43" s="179"/>
      <c r="V43" s="179"/>
      <c r="W43" s="179"/>
      <c r="X43" s="179"/>
      <c r="Y43" s="179"/>
    </row>
    <row r="44" spans="1:25" ht="16.5" customHeight="1">
      <c r="A44" s="254"/>
      <c r="B44" s="116" t="s">
        <v>95</v>
      </c>
      <c r="C44" s="259"/>
      <c r="D44" s="10">
        <f t="shared" ref="D44:M44" si="13">TRUNC(C5*1000)</f>
        <v>27778000</v>
      </c>
      <c r="E44" s="19">
        <f t="shared" si="13"/>
        <v>24868567</v>
      </c>
      <c r="F44" s="19">
        <f t="shared" si="13"/>
        <v>28397670</v>
      </c>
      <c r="G44" s="229">
        <f t="shared" si="13"/>
        <v>27126644</v>
      </c>
      <c r="H44" s="171">
        <f t="shared" si="13"/>
        <v>23929804</v>
      </c>
      <c r="I44" s="165">
        <f t="shared" si="13"/>
        <v>27692359</v>
      </c>
      <c r="J44" s="10">
        <f t="shared" si="13"/>
        <v>25202829</v>
      </c>
      <c r="K44" s="10">
        <f t="shared" si="13"/>
        <v>27981359</v>
      </c>
      <c r="L44" s="10">
        <f t="shared" si="13"/>
        <v>26340013</v>
      </c>
      <c r="M44" s="10">
        <f t="shared" si="13"/>
        <v>28620527</v>
      </c>
      <c r="N44" s="55">
        <f t="shared" si="12"/>
        <v>267937772</v>
      </c>
      <c r="P44" s="179"/>
      <c r="Q44" s="179"/>
      <c r="R44" s="179"/>
      <c r="S44" s="179"/>
      <c r="T44" s="179"/>
      <c r="U44" s="179"/>
      <c r="V44" s="179"/>
      <c r="W44" s="179"/>
      <c r="X44" s="179"/>
      <c r="Y44" s="179"/>
    </row>
    <row r="45" spans="1:25" ht="16.5" customHeight="1">
      <c r="A45" s="254"/>
      <c r="B45" s="116" t="s">
        <v>96</v>
      </c>
      <c r="C45" s="259"/>
      <c r="D45" s="10">
        <f t="shared" ref="D45:M45" si="14">TRUNC(C6*1000)</f>
        <v>42740000</v>
      </c>
      <c r="E45" s="10">
        <f t="shared" si="14"/>
        <v>44031816</v>
      </c>
      <c r="F45" s="10">
        <f t="shared" si="14"/>
        <v>46525367</v>
      </c>
      <c r="G45" s="227">
        <f t="shared" si="14"/>
        <v>47223248</v>
      </c>
      <c r="H45" s="171">
        <f t="shared" si="14"/>
        <v>47931597</v>
      </c>
      <c r="I45" s="165">
        <f t="shared" si="14"/>
        <v>48650571</v>
      </c>
      <c r="J45" s="10">
        <f t="shared" si="14"/>
        <v>49380329</v>
      </c>
      <c r="K45" s="10">
        <f t="shared" si="14"/>
        <v>50121034</v>
      </c>
      <c r="L45" s="10">
        <f t="shared" si="14"/>
        <v>50872850</v>
      </c>
      <c r="M45" s="10">
        <f t="shared" si="14"/>
        <v>51635942</v>
      </c>
      <c r="N45" s="55">
        <f t="shared" si="12"/>
        <v>479112754</v>
      </c>
      <c r="P45" s="179"/>
      <c r="Q45" s="179"/>
      <c r="R45" s="179"/>
      <c r="S45" s="179"/>
      <c r="T45" s="179"/>
      <c r="U45" s="179"/>
      <c r="V45" s="179"/>
      <c r="W45" s="179"/>
      <c r="X45" s="179"/>
      <c r="Y45" s="179"/>
    </row>
    <row r="46" spans="1:25" ht="16.5" customHeight="1">
      <c r="A46" s="254"/>
      <c r="B46" s="116" t="s">
        <v>97</v>
      </c>
      <c r="C46" s="259"/>
      <c r="D46" s="10">
        <f t="shared" ref="D46:M46" si="15">TRUNC(C7*1000)</f>
        <v>10084000</v>
      </c>
      <c r="E46" s="10">
        <f t="shared" si="15"/>
        <v>10962614</v>
      </c>
      <c r="F46" s="10">
        <f t="shared" si="15"/>
        <v>11112848</v>
      </c>
      <c r="G46" s="227">
        <f t="shared" si="15"/>
        <v>10505577</v>
      </c>
      <c r="H46" s="171">
        <f t="shared" si="15"/>
        <v>10660951</v>
      </c>
      <c r="I46" s="165">
        <f t="shared" si="15"/>
        <v>8532145</v>
      </c>
      <c r="J46" s="10">
        <f t="shared" si="15"/>
        <v>8660187</v>
      </c>
      <c r="K46" s="10">
        <f t="shared" si="15"/>
        <v>8790105</v>
      </c>
      <c r="L46" s="10">
        <f t="shared" si="15"/>
        <v>8921927</v>
      </c>
      <c r="M46" s="10">
        <f t="shared" si="15"/>
        <v>9004284</v>
      </c>
      <c r="N46" s="55">
        <f t="shared" si="12"/>
        <v>97234638</v>
      </c>
      <c r="P46" s="179"/>
      <c r="Q46" s="179"/>
      <c r="R46" s="179"/>
      <c r="S46" s="179"/>
      <c r="T46" s="179"/>
      <c r="U46" s="179"/>
      <c r="V46" s="179"/>
      <c r="W46" s="179"/>
      <c r="X46" s="179"/>
      <c r="Y46" s="179"/>
    </row>
    <row r="47" spans="1:25" ht="16.5" customHeight="1">
      <c r="A47" s="254"/>
      <c r="B47" s="116" t="s">
        <v>281</v>
      </c>
      <c r="C47" s="259"/>
      <c r="D47" s="10">
        <f t="shared" ref="D47:M47" si="16">TRUNC(C8*1000)</f>
        <v>15268000</v>
      </c>
      <c r="E47" s="10">
        <f t="shared" si="16"/>
        <v>13830838</v>
      </c>
      <c r="F47" s="10">
        <f t="shared" si="16"/>
        <v>14558379</v>
      </c>
      <c r="G47" s="227">
        <f t="shared" si="16"/>
        <v>14568739</v>
      </c>
      <c r="H47" s="171">
        <f t="shared" si="16"/>
        <v>14210989</v>
      </c>
      <c r="I47" s="165">
        <f t="shared" si="16"/>
        <v>14911018</v>
      </c>
      <c r="J47" s="10">
        <f t="shared" si="16"/>
        <v>14710291</v>
      </c>
      <c r="K47" s="10">
        <f t="shared" si="16"/>
        <v>15328456</v>
      </c>
      <c r="L47" s="10">
        <f t="shared" si="16"/>
        <v>16126961</v>
      </c>
      <c r="M47" s="10">
        <f t="shared" si="16"/>
        <v>15936646</v>
      </c>
      <c r="N47" s="55">
        <f t="shared" si="12"/>
        <v>149450317</v>
      </c>
      <c r="P47" s="179"/>
      <c r="Q47" s="179"/>
      <c r="R47" s="179"/>
      <c r="S47" s="179"/>
      <c r="T47" s="179"/>
      <c r="U47" s="179"/>
      <c r="V47" s="179"/>
      <c r="W47" s="179"/>
      <c r="X47" s="179"/>
      <c r="Y47" s="179"/>
    </row>
    <row r="48" spans="1:25" ht="16.5" customHeight="1">
      <c r="A48" s="254"/>
      <c r="B48" s="218" t="s">
        <v>279</v>
      </c>
      <c r="C48" s="259"/>
      <c r="D48" s="10">
        <f t="shared" ref="D48:M48" si="17">TRUNC(C9*1000)</f>
        <v>1499000</v>
      </c>
      <c r="E48" s="10">
        <f t="shared" si="17"/>
        <v>3900645</v>
      </c>
      <c r="F48" s="10">
        <f t="shared" si="17"/>
        <v>4018541</v>
      </c>
      <c r="G48" s="227">
        <f t="shared" si="17"/>
        <v>4155006</v>
      </c>
      <c r="H48" s="171">
        <f t="shared" si="17"/>
        <v>4318831</v>
      </c>
      <c r="I48" s="165">
        <f t="shared" si="17"/>
        <v>4383614</v>
      </c>
      <c r="J48" s="10">
        <f t="shared" si="17"/>
        <v>4449368</v>
      </c>
      <c r="K48" s="10">
        <f t="shared" si="17"/>
        <v>4329111</v>
      </c>
      <c r="L48" s="10">
        <f t="shared" si="17"/>
        <v>4583850</v>
      </c>
      <c r="M48" s="10">
        <f t="shared" si="17"/>
        <v>4652608</v>
      </c>
      <c r="N48" s="55">
        <f t="shared" si="12"/>
        <v>40290574</v>
      </c>
      <c r="P48" s="179"/>
      <c r="Q48" s="179"/>
      <c r="R48" s="179"/>
      <c r="S48" s="179"/>
      <c r="T48" s="179"/>
      <c r="U48" s="179"/>
      <c r="V48" s="179"/>
      <c r="W48" s="179"/>
      <c r="X48" s="179"/>
      <c r="Y48" s="179"/>
    </row>
    <row r="49" spans="1:25" ht="16.5" customHeight="1">
      <c r="A49" s="254"/>
      <c r="B49" s="218" t="s">
        <v>280</v>
      </c>
      <c r="C49" s="259"/>
      <c r="D49" s="10">
        <f t="shared" ref="D49:M49" si="18">TRUNC(C10*1000)</f>
        <v>198000</v>
      </c>
      <c r="E49" s="10">
        <f t="shared" si="18"/>
        <v>435435</v>
      </c>
      <c r="F49" s="10">
        <f t="shared" si="18"/>
        <v>448596</v>
      </c>
      <c r="G49" s="227">
        <f t="shared" si="18"/>
        <v>474429</v>
      </c>
      <c r="H49" s="171">
        <f t="shared" si="18"/>
        <v>481545</v>
      </c>
      <c r="I49" s="165">
        <f t="shared" si="18"/>
        <v>488769</v>
      </c>
      <c r="J49" s="10">
        <f t="shared" si="18"/>
        <v>496100</v>
      </c>
      <c r="K49" s="10">
        <f t="shared" si="18"/>
        <v>483265</v>
      </c>
      <c r="L49" s="10">
        <f t="shared" si="18"/>
        <v>511095</v>
      </c>
      <c r="M49" s="10">
        <f t="shared" si="18"/>
        <v>518761</v>
      </c>
      <c r="N49" s="55">
        <f t="shared" si="12"/>
        <v>4535995</v>
      </c>
      <c r="P49" s="179"/>
      <c r="Q49" s="179"/>
      <c r="R49" s="179"/>
      <c r="S49" s="179"/>
      <c r="T49" s="179"/>
      <c r="U49" s="179"/>
      <c r="V49" s="179"/>
      <c r="W49" s="179"/>
      <c r="X49" s="179"/>
      <c r="Y49" s="179"/>
    </row>
    <row r="50" spans="1:25" ht="16.5" customHeight="1">
      <c r="A50" s="254"/>
      <c r="B50" s="51" t="s">
        <v>35</v>
      </c>
      <c r="C50" s="259"/>
      <c r="D50" s="53">
        <f>SUM(D43:D49)</f>
        <v>101755000</v>
      </c>
      <c r="E50" s="53">
        <f t="shared" ref="E50:N50" si="19">SUM(E43:E49)</f>
        <v>102280735</v>
      </c>
      <c r="F50" s="53">
        <f t="shared" si="19"/>
        <v>109375983</v>
      </c>
      <c r="G50" s="230">
        <f t="shared" si="19"/>
        <v>108518689</v>
      </c>
      <c r="H50" s="232">
        <f t="shared" si="19"/>
        <v>106065739</v>
      </c>
      <c r="I50" s="231">
        <f t="shared" si="19"/>
        <v>109258478</v>
      </c>
      <c r="J50" s="53">
        <f t="shared" si="19"/>
        <v>107568106</v>
      </c>
      <c r="K50" s="53">
        <f t="shared" si="19"/>
        <v>111772367</v>
      </c>
      <c r="L50" s="53">
        <f t="shared" si="19"/>
        <v>112166819</v>
      </c>
      <c r="M50" s="53">
        <f t="shared" si="19"/>
        <v>115251043</v>
      </c>
      <c r="N50" s="53">
        <f t="shared" si="19"/>
        <v>1084012959</v>
      </c>
      <c r="P50" s="179"/>
      <c r="Q50" s="179"/>
      <c r="R50" s="179"/>
      <c r="S50" s="179"/>
      <c r="T50" s="179"/>
      <c r="U50" s="179"/>
      <c r="V50" s="179"/>
      <c r="W50" s="179"/>
      <c r="X50" s="179"/>
      <c r="Y50" s="179"/>
    </row>
    <row r="51" spans="1:25" ht="16.5" customHeight="1">
      <c r="A51" s="116" t="s">
        <v>98</v>
      </c>
      <c r="B51" s="116" t="s">
        <v>99</v>
      </c>
      <c r="C51" s="259"/>
      <c r="D51" s="10">
        <f t="shared" ref="D51:M51" si="20">TRUNC(C12*1000)</f>
        <v>5756000</v>
      </c>
      <c r="E51" s="10">
        <f t="shared" si="20"/>
        <v>5659827</v>
      </c>
      <c r="F51" s="10">
        <f t="shared" si="20"/>
        <v>5744725</v>
      </c>
      <c r="G51" s="227">
        <f t="shared" si="20"/>
        <v>5944874</v>
      </c>
      <c r="H51" s="171">
        <f t="shared" si="20"/>
        <v>6034048</v>
      </c>
      <c r="I51" s="165">
        <f t="shared" si="20"/>
        <v>6124558</v>
      </c>
      <c r="J51" s="10">
        <f t="shared" si="20"/>
        <v>6216427</v>
      </c>
      <c r="K51" s="10">
        <f t="shared" si="20"/>
        <v>6309673</v>
      </c>
      <c r="L51" s="10">
        <f t="shared" si="20"/>
        <v>6404318</v>
      </c>
      <c r="M51" s="10">
        <f t="shared" si="20"/>
        <v>6500383</v>
      </c>
      <c r="N51" s="55">
        <f>SUM(D51:M51)</f>
        <v>60694833</v>
      </c>
      <c r="P51" s="179"/>
      <c r="Q51" s="179"/>
      <c r="R51" s="179"/>
      <c r="S51" s="179"/>
      <c r="T51" s="179"/>
      <c r="U51" s="179"/>
      <c r="V51" s="179"/>
      <c r="W51" s="179"/>
      <c r="X51" s="179"/>
      <c r="Y51" s="179"/>
    </row>
    <row r="52" spans="1:25" ht="17.25" customHeight="1" thickBot="1">
      <c r="A52" s="255" t="s">
        <v>110</v>
      </c>
      <c r="B52" s="255"/>
      <c r="C52" s="260"/>
      <c r="D52" s="174">
        <f t="shared" ref="D52:M52" si="21">D50+D51</f>
        <v>107511000</v>
      </c>
      <c r="E52" s="174">
        <f t="shared" si="21"/>
        <v>107940562</v>
      </c>
      <c r="F52" s="174">
        <f t="shared" si="21"/>
        <v>115120708</v>
      </c>
      <c r="G52" s="228">
        <f t="shared" si="21"/>
        <v>114463563</v>
      </c>
      <c r="H52" s="175">
        <f t="shared" si="21"/>
        <v>112099787</v>
      </c>
      <c r="I52" s="166">
        <f t="shared" si="21"/>
        <v>115383036</v>
      </c>
      <c r="J52" s="58">
        <f t="shared" si="21"/>
        <v>113784533</v>
      </c>
      <c r="K52" s="58">
        <f t="shared" si="21"/>
        <v>118082040</v>
      </c>
      <c r="L52" s="58">
        <f t="shared" ref="L52" si="22">L50+L51</f>
        <v>118571137</v>
      </c>
      <c r="M52" s="58">
        <f t="shared" si="21"/>
        <v>121751426</v>
      </c>
      <c r="N52" s="58">
        <f>N50+N51</f>
        <v>1144707792</v>
      </c>
      <c r="P52" s="179"/>
      <c r="Q52" s="179"/>
      <c r="R52" s="179"/>
      <c r="S52" s="179"/>
      <c r="T52" s="179"/>
      <c r="U52" s="179"/>
      <c r="V52" s="179"/>
      <c r="W52" s="179"/>
      <c r="X52" s="179"/>
      <c r="Y52" s="179"/>
    </row>
  </sheetData>
  <mergeCells count="17">
    <mergeCell ref="C43:C52"/>
    <mergeCell ref="M33:M40"/>
    <mergeCell ref="A3:B3"/>
    <mergeCell ref="A20:B20"/>
    <mergeCell ref="A21:A24"/>
    <mergeCell ref="A25:B25"/>
    <mergeCell ref="A4:A11"/>
    <mergeCell ref="A13:B13"/>
    <mergeCell ref="A14:B14"/>
    <mergeCell ref="A15:B15"/>
    <mergeCell ref="A16:A18"/>
    <mergeCell ref="A32:B32"/>
    <mergeCell ref="A33:A38"/>
    <mergeCell ref="A40:B40"/>
    <mergeCell ref="A42:B42"/>
    <mergeCell ref="A43:A50"/>
    <mergeCell ref="A52:B52"/>
  </mergeCells>
  <phoneticPr fontId="1" type="noConversion"/>
  <pageMargins left="0.7" right="0.7" top="0.75" bottom="0.75" header="0.3" footer="0.3"/>
  <pageSetup paperSize="8"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2:AF53"/>
  <sheetViews>
    <sheetView zoomScale="85" zoomScaleNormal="85" workbookViewId="0">
      <pane xSplit="2" ySplit="3" topLeftCell="C4" activePane="bottomRight" state="frozen"/>
      <selection activeCell="Y49" sqref="Y49"/>
      <selection pane="topRight" activeCell="Y49" sqref="Y49"/>
      <selection pane="bottomLeft" activeCell="Y49" sqref="Y49"/>
      <selection pane="bottomRight" activeCell="C51" sqref="C51"/>
    </sheetView>
  </sheetViews>
  <sheetFormatPr defaultRowHeight="16.899999999999999"/>
  <cols>
    <col min="1" max="1" width="17.375" customWidth="1"/>
    <col min="2" max="2" width="19.25" bestFit="1" customWidth="1"/>
    <col min="3" max="5" width="9.375" bestFit="1" customWidth="1"/>
    <col min="6" max="11" width="9.125" bestFit="1" customWidth="1"/>
    <col min="12" max="12" width="9.375" bestFit="1" customWidth="1"/>
    <col min="13" max="15" width="9.125" bestFit="1" customWidth="1"/>
    <col min="16" max="16" width="9.375" bestFit="1" customWidth="1"/>
    <col min="17" max="19" width="9.125" bestFit="1" customWidth="1"/>
    <col min="20" max="20" width="10.25" bestFit="1" customWidth="1"/>
    <col min="21" max="22" width="9.125" bestFit="1" customWidth="1"/>
    <col min="23" max="23" width="11.125" customWidth="1"/>
    <col min="24" max="24" width="11.875" customWidth="1"/>
    <col min="25" max="25" width="14.875" customWidth="1"/>
  </cols>
  <sheetData>
    <row r="2" spans="1:26">
      <c r="Y2" s="9" t="s">
        <v>77</v>
      </c>
    </row>
    <row r="3" spans="1:26" s="85" customFormat="1">
      <c r="A3" s="264" t="s">
        <v>214</v>
      </c>
      <c r="B3" s="264"/>
      <c r="C3" s="88" t="s">
        <v>0</v>
      </c>
      <c r="D3" s="88" t="s">
        <v>18</v>
      </c>
      <c r="E3" s="88" t="s">
        <v>19</v>
      </c>
      <c r="F3" s="88" t="s">
        <v>3</v>
      </c>
      <c r="G3" s="88" t="s">
        <v>5</v>
      </c>
      <c r="H3" s="88" t="s">
        <v>20</v>
      </c>
      <c r="I3" s="88" t="s">
        <v>7</v>
      </c>
      <c r="J3" s="88" t="s">
        <v>22</v>
      </c>
      <c r="K3" s="88" t="s">
        <v>23</v>
      </c>
      <c r="L3" s="88" t="s">
        <v>85</v>
      </c>
      <c r="M3" s="88" t="s">
        <v>21</v>
      </c>
      <c r="N3" s="88" t="s">
        <v>24</v>
      </c>
      <c r="O3" s="88" t="s">
        <v>25</v>
      </c>
      <c r="P3" s="88" t="s">
        <v>85</v>
      </c>
      <c r="Q3" s="88" t="s">
        <v>26</v>
      </c>
      <c r="R3" s="88" t="s">
        <v>27</v>
      </c>
      <c r="S3" s="88" t="s">
        <v>28</v>
      </c>
      <c r="T3" s="88" t="s">
        <v>29</v>
      </c>
      <c r="U3" s="88" t="s">
        <v>30</v>
      </c>
      <c r="V3" s="88" t="s">
        <v>31</v>
      </c>
      <c r="W3" s="88" t="s">
        <v>92</v>
      </c>
      <c r="X3" s="88" t="s">
        <v>17</v>
      </c>
      <c r="Y3" s="88" t="s">
        <v>41</v>
      </c>
    </row>
    <row r="4" spans="1:26" s="85" customFormat="1">
      <c r="A4" s="265" t="s">
        <v>93</v>
      </c>
      <c r="B4" s="89" t="s">
        <v>33</v>
      </c>
      <c r="C4" s="90">
        <f>동탄!C6</f>
        <v>951</v>
      </c>
      <c r="D4" s="90">
        <f>화성!C6</f>
        <v>367</v>
      </c>
      <c r="E4" s="90">
        <f>파주!C6</f>
        <v>792</v>
      </c>
      <c r="F4" s="90">
        <f>광교!C6</f>
        <v>44</v>
      </c>
      <c r="G4" s="90">
        <f>판교!C6</f>
        <v>306</v>
      </c>
      <c r="H4" s="90">
        <f>삼송!C6</f>
        <v>287</v>
      </c>
      <c r="I4" s="90">
        <f>양산!C6</f>
        <v>163</v>
      </c>
      <c r="J4" s="90">
        <f>대구!C6</f>
        <v>3</v>
      </c>
      <c r="K4" s="90">
        <f>청주!C6</f>
        <v>30</v>
      </c>
      <c r="L4" s="91">
        <f>SUM(C4:K4)</f>
        <v>2943</v>
      </c>
      <c r="M4" s="90">
        <f>수원!C6</f>
        <v>224</v>
      </c>
      <c r="N4" s="90">
        <f>광주전남!C6</f>
        <v>239</v>
      </c>
      <c r="O4" s="90">
        <f>강남!C6</f>
        <v>161</v>
      </c>
      <c r="P4" s="91">
        <f t="shared" ref="P4:P24" si="0">SUM(M4:O4)</f>
        <v>624</v>
      </c>
      <c r="Q4" s="90">
        <f>중앙!C6</f>
        <v>207</v>
      </c>
      <c r="R4" s="90">
        <f>고양!C6</f>
        <v>106</v>
      </c>
      <c r="S4" s="90">
        <f>용인!C6</f>
        <v>86</v>
      </c>
      <c r="T4" s="90">
        <f>분당!C6</f>
        <v>40</v>
      </c>
      <c r="U4" s="90">
        <f>세종!C6</f>
        <v>32</v>
      </c>
      <c r="V4" s="90">
        <f>김해!C6</f>
        <v>150</v>
      </c>
      <c r="W4" s="90">
        <f>평택!C6</f>
        <v>0</v>
      </c>
      <c r="X4" s="91">
        <f t="shared" ref="X4:X24" si="1">SUM(Q4:W4)</f>
        <v>621</v>
      </c>
      <c r="Y4" s="92">
        <f t="shared" ref="Y4:Y24" si="2">L4+P4+X4</f>
        <v>4188</v>
      </c>
    </row>
    <row r="5" spans="1:26" s="85" customFormat="1">
      <c r="A5" s="265"/>
      <c r="B5" s="89" t="s">
        <v>95</v>
      </c>
      <c r="C5" s="90">
        <f>동탄!C7</f>
        <v>6867</v>
      </c>
      <c r="D5" s="90">
        <f>화성!C7</f>
        <v>1061</v>
      </c>
      <c r="E5" s="90">
        <f>파주!C7</f>
        <v>4021</v>
      </c>
      <c r="F5" s="90">
        <f>광교!C7</f>
        <v>1391</v>
      </c>
      <c r="G5" s="90">
        <f>판교!C7</f>
        <v>706</v>
      </c>
      <c r="H5" s="90">
        <f>삼송!C7</f>
        <v>1477</v>
      </c>
      <c r="I5" s="90">
        <f>양산!C7</f>
        <v>811</v>
      </c>
      <c r="J5" s="90">
        <f>대구!C7</f>
        <v>2118</v>
      </c>
      <c r="K5" s="90">
        <f>청주!C7</f>
        <v>1763</v>
      </c>
      <c r="L5" s="91">
        <f t="shared" ref="L5:L13" si="3">SUM(C5:K5)</f>
        <v>20215</v>
      </c>
      <c r="M5" s="90">
        <f>수원!C7</f>
        <v>872</v>
      </c>
      <c r="N5" s="90">
        <f>광주전남!C7</f>
        <v>1213</v>
      </c>
      <c r="O5" s="90">
        <f>강남!C7</f>
        <v>1829</v>
      </c>
      <c r="P5" s="91">
        <f t="shared" si="0"/>
        <v>3914</v>
      </c>
      <c r="Q5" s="90">
        <f>중앙!C7</f>
        <v>1344</v>
      </c>
      <c r="R5" s="90">
        <f>고양!C7</f>
        <v>635</v>
      </c>
      <c r="S5" s="90">
        <f>용인!C7</f>
        <v>472</v>
      </c>
      <c r="T5" s="90">
        <f>분당!C7</f>
        <v>611</v>
      </c>
      <c r="U5" s="90">
        <f>세종!C7</f>
        <v>114</v>
      </c>
      <c r="V5" s="90">
        <f>김해!C7</f>
        <v>308</v>
      </c>
      <c r="W5" s="90">
        <f>평택!C7</f>
        <v>165</v>
      </c>
      <c r="X5" s="91">
        <f t="shared" si="1"/>
        <v>3649</v>
      </c>
      <c r="Y5" s="91">
        <f t="shared" si="2"/>
        <v>27778</v>
      </c>
    </row>
    <row r="6" spans="1:26" s="85" customFormat="1">
      <c r="A6" s="265"/>
      <c r="B6" s="89" t="s">
        <v>96</v>
      </c>
      <c r="C6" s="90">
        <f>동탄!C8</f>
        <v>7974</v>
      </c>
      <c r="D6" s="90">
        <f>화성!C8</f>
        <v>6160</v>
      </c>
      <c r="E6" s="90">
        <f>파주!C8</f>
        <v>5757</v>
      </c>
      <c r="F6" s="90">
        <f>광교!C8</f>
        <v>2366</v>
      </c>
      <c r="G6" s="90">
        <f>판교!C8</f>
        <v>2456</v>
      </c>
      <c r="H6" s="90">
        <f>삼송!C8</f>
        <v>1772</v>
      </c>
      <c r="I6" s="90">
        <f>양산!C8</f>
        <v>2208</v>
      </c>
      <c r="J6" s="90">
        <f>대구!C8</f>
        <v>3653</v>
      </c>
      <c r="K6" s="90">
        <f>청주!C8</f>
        <v>3319</v>
      </c>
      <c r="L6" s="91">
        <f>SUM(C6:K6)</f>
        <v>35665</v>
      </c>
      <c r="M6" s="90">
        <f>수원!C8</f>
        <v>703</v>
      </c>
      <c r="N6" s="90">
        <f>광주전남!C8</f>
        <v>1748</v>
      </c>
      <c r="O6" s="90">
        <f>강남!C8</f>
        <v>1227</v>
      </c>
      <c r="P6" s="91">
        <f t="shared" si="0"/>
        <v>3678</v>
      </c>
      <c r="Q6" s="90">
        <f>중앙!C8</f>
        <v>1064</v>
      </c>
      <c r="R6" s="90">
        <f>고양!C8</f>
        <v>699</v>
      </c>
      <c r="S6" s="90">
        <f>용인!C8</f>
        <v>677</v>
      </c>
      <c r="T6" s="90">
        <f>분당!C8</f>
        <v>604</v>
      </c>
      <c r="U6" s="90">
        <f>세종!C8</f>
        <v>273</v>
      </c>
      <c r="V6" s="90">
        <f>김해!C8</f>
        <v>40</v>
      </c>
      <c r="W6" s="90">
        <f>평택!C8</f>
        <v>40</v>
      </c>
      <c r="X6" s="91">
        <f t="shared" si="1"/>
        <v>3397</v>
      </c>
      <c r="Y6" s="91">
        <f t="shared" si="2"/>
        <v>42740</v>
      </c>
    </row>
    <row r="7" spans="1:26" s="85" customFormat="1">
      <c r="A7" s="265"/>
      <c r="B7" s="89" t="s">
        <v>97</v>
      </c>
      <c r="C7" s="90">
        <f>동탄!C9</f>
        <v>5248</v>
      </c>
      <c r="D7" s="90">
        <f>화성!C9</f>
        <v>372</v>
      </c>
      <c r="E7" s="90">
        <f>파주!C9</f>
        <v>647</v>
      </c>
      <c r="F7" s="90">
        <f>광교!C9</f>
        <v>188</v>
      </c>
      <c r="G7" s="90">
        <f>판교!C9</f>
        <v>188</v>
      </c>
      <c r="H7" s="90">
        <f>삼송!C9</f>
        <v>159</v>
      </c>
      <c r="I7" s="90">
        <f>양산!C9</f>
        <v>233</v>
      </c>
      <c r="J7" s="90">
        <f>대구!C9</f>
        <v>266</v>
      </c>
      <c r="K7" s="90">
        <f>청주!C9</f>
        <v>203</v>
      </c>
      <c r="L7" s="91">
        <f t="shared" si="3"/>
        <v>7504</v>
      </c>
      <c r="M7" s="90">
        <f>수원!C9</f>
        <v>150</v>
      </c>
      <c r="N7" s="90">
        <f>광주전남!C9</f>
        <v>208</v>
      </c>
      <c r="O7" s="90">
        <f>강남!C9</f>
        <v>587</v>
      </c>
      <c r="P7" s="91">
        <f t="shared" si="0"/>
        <v>945</v>
      </c>
      <c r="Q7" s="90">
        <f>중앙!C9</f>
        <v>687</v>
      </c>
      <c r="R7" s="90">
        <f>고양!C9</f>
        <v>538</v>
      </c>
      <c r="S7" s="90">
        <f>용인!C9</f>
        <v>119</v>
      </c>
      <c r="T7" s="90">
        <f>분당!C9</f>
        <v>84</v>
      </c>
      <c r="U7" s="90">
        <f>세종!C9</f>
        <v>61</v>
      </c>
      <c r="V7" s="90">
        <f>김해!C9</f>
        <v>53</v>
      </c>
      <c r="W7" s="90">
        <f>평택!C9</f>
        <v>93</v>
      </c>
      <c r="X7" s="91">
        <f t="shared" si="1"/>
        <v>1635</v>
      </c>
      <c r="Y7" s="91">
        <f t="shared" si="2"/>
        <v>10084</v>
      </c>
    </row>
    <row r="8" spans="1:26" s="85" customFormat="1">
      <c r="A8" s="265"/>
      <c r="B8" s="89" t="s">
        <v>281</v>
      </c>
      <c r="C8" s="90">
        <f>동탄!C10</f>
        <v>3214</v>
      </c>
      <c r="D8" s="90">
        <f>화성!C10</f>
        <v>1224</v>
      </c>
      <c r="E8" s="90">
        <f>파주!C10</f>
        <v>1455</v>
      </c>
      <c r="F8" s="90">
        <f>광교!C10</f>
        <v>1242</v>
      </c>
      <c r="G8" s="90">
        <f>판교!C10</f>
        <v>469</v>
      </c>
      <c r="H8" s="90">
        <f>삼송!C10</f>
        <v>392</v>
      </c>
      <c r="I8" s="90">
        <f>양산!C10</f>
        <v>895</v>
      </c>
      <c r="J8" s="90">
        <f>대구!C10</f>
        <v>772</v>
      </c>
      <c r="K8" s="90">
        <f>청주!C10</f>
        <v>372</v>
      </c>
      <c r="L8" s="91">
        <f t="shared" si="3"/>
        <v>10035</v>
      </c>
      <c r="M8" s="90">
        <f>수원!C10</f>
        <v>290</v>
      </c>
      <c r="N8" s="90">
        <f>광주전남!C10</f>
        <v>712</v>
      </c>
      <c r="O8" s="90">
        <f>강남!C10</f>
        <v>637</v>
      </c>
      <c r="P8" s="91">
        <f t="shared" si="0"/>
        <v>1639</v>
      </c>
      <c r="Q8" s="90">
        <f>중앙!C10</f>
        <v>1052</v>
      </c>
      <c r="R8" s="90">
        <f>고양!C10</f>
        <v>1248</v>
      </c>
      <c r="S8" s="90">
        <f>용인!C10</f>
        <v>223</v>
      </c>
      <c r="T8" s="90">
        <f>분당!C10</f>
        <v>444</v>
      </c>
      <c r="U8" s="90">
        <f>세종!C10</f>
        <v>335</v>
      </c>
      <c r="V8" s="90">
        <f>김해!C10</f>
        <v>264</v>
      </c>
      <c r="W8" s="90">
        <f>평택!C10</f>
        <v>28</v>
      </c>
      <c r="X8" s="91">
        <f t="shared" si="1"/>
        <v>3594</v>
      </c>
      <c r="Y8" s="91">
        <f t="shared" si="2"/>
        <v>15268</v>
      </c>
    </row>
    <row r="9" spans="1:26" s="85" customFormat="1">
      <c r="A9" s="265"/>
      <c r="B9" s="220" t="s">
        <v>279</v>
      </c>
      <c r="C9" s="90">
        <f>동탄!C11</f>
        <v>280</v>
      </c>
      <c r="D9" s="90">
        <f>화성!C11</f>
        <v>216</v>
      </c>
      <c r="E9" s="90">
        <f>파주!C11</f>
        <v>202</v>
      </c>
      <c r="F9" s="90">
        <f>광교!C11</f>
        <v>83</v>
      </c>
      <c r="G9" s="90">
        <f>판교!C11</f>
        <v>86</v>
      </c>
      <c r="H9" s="90">
        <f>삼송!C11</f>
        <v>62</v>
      </c>
      <c r="I9" s="90">
        <f>양산!C11</f>
        <v>77</v>
      </c>
      <c r="J9" s="90">
        <f>대구!C11</f>
        <v>128</v>
      </c>
      <c r="K9" s="90">
        <f>청주!C11</f>
        <v>117</v>
      </c>
      <c r="L9" s="91">
        <f t="shared" si="3"/>
        <v>1251</v>
      </c>
      <c r="M9" s="90">
        <f>수원!C11</f>
        <v>25</v>
      </c>
      <c r="N9" s="90">
        <f>광주전남!C11</f>
        <v>61</v>
      </c>
      <c r="O9" s="90">
        <f>강남!C11</f>
        <v>43</v>
      </c>
      <c r="P9" s="91">
        <f t="shared" si="0"/>
        <v>129</v>
      </c>
      <c r="Q9" s="90">
        <f>중앙!C11</f>
        <v>37</v>
      </c>
      <c r="R9" s="90">
        <f>고양!C11</f>
        <v>25</v>
      </c>
      <c r="S9" s="90">
        <f>용인!C11</f>
        <v>24</v>
      </c>
      <c r="T9" s="90">
        <f>분당!C11</f>
        <v>21</v>
      </c>
      <c r="U9" s="90">
        <f>세종!C11</f>
        <v>10</v>
      </c>
      <c r="V9" s="90">
        <f>김해!C11</f>
        <v>1</v>
      </c>
      <c r="W9" s="90">
        <f>평택!C11</f>
        <v>1</v>
      </c>
      <c r="X9" s="91">
        <f t="shared" si="1"/>
        <v>119</v>
      </c>
      <c r="Y9" s="91">
        <f t="shared" si="2"/>
        <v>1499</v>
      </c>
    </row>
    <row r="10" spans="1:26" s="85" customFormat="1">
      <c r="A10" s="265"/>
      <c r="B10" s="220" t="s">
        <v>280</v>
      </c>
      <c r="C10" s="90">
        <f>동탄!C12</f>
        <v>37</v>
      </c>
      <c r="D10" s="90">
        <f>화성!C12</f>
        <v>29</v>
      </c>
      <c r="E10" s="90">
        <f>파주!C12</f>
        <v>27</v>
      </c>
      <c r="F10" s="90">
        <f>광교!C12</f>
        <v>11</v>
      </c>
      <c r="G10" s="90">
        <f>판교!C12</f>
        <v>11</v>
      </c>
      <c r="H10" s="90">
        <f>삼송!C12</f>
        <v>8</v>
      </c>
      <c r="I10" s="90">
        <f>양산!C12</f>
        <v>10</v>
      </c>
      <c r="J10" s="90">
        <f>대구!C12</f>
        <v>17</v>
      </c>
      <c r="K10" s="90">
        <f>청주!C12</f>
        <v>16</v>
      </c>
      <c r="L10" s="91">
        <f t="shared" ref="L10" si="4">SUM(C10:K10)</f>
        <v>166</v>
      </c>
      <c r="M10" s="90">
        <f>수원!C12</f>
        <v>3</v>
      </c>
      <c r="N10" s="90">
        <f>광주전남!C12</f>
        <v>8</v>
      </c>
      <c r="O10" s="90">
        <f>강남!C12</f>
        <v>6</v>
      </c>
      <c r="P10" s="91">
        <f t="shared" ref="P10" si="5">SUM(M10:O10)</f>
        <v>17</v>
      </c>
      <c r="Q10" s="90">
        <f>중앙!C12</f>
        <v>5</v>
      </c>
      <c r="R10" s="90">
        <f>고양!C12</f>
        <v>3</v>
      </c>
      <c r="S10" s="90">
        <f>용인!C12</f>
        <v>3</v>
      </c>
      <c r="T10" s="90">
        <f>분당!C12</f>
        <v>3</v>
      </c>
      <c r="U10" s="90">
        <f>세종!C12</f>
        <v>1</v>
      </c>
      <c r="V10" s="90">
        <f>김해!C12</f>
        <v>0</v>
      </c>
      <c r="W10" s="90">
        <f>평택!C12</f>
        <v>0</v>
      </c>
      <c r="X10" s="91">
        <f t="shared" ref="X10" si="6">SUM(Q10:W10)</f>
        <v>15</v>
      </c>
      <c r="Y10" s="91">
        <f t="shared" ref="Y10" si="7">L10+P10+X10</f>
        <v>198</v>
      </c>
    </row>
    <row r="11" spans="1:26" s="85" customFormat="1">
      <c r="A11" s="265"/>
      <c r="B11" s="93" t="s">
        <v>35</v>
      </c>
      <c r="C11" s="94">
        <f>SUM(C4:C10)</f>
        <v>24571</v>
      </c>
      <c r="D11" s="94">
        <f t="shared" ref="D11:M11" si="8">SUM(D4:D10)</f>
        <v>9429</v>
      </c>
      <c r="E11" s="94">
        <f t="shared" si="8"/>
        <v>12901</v>
      </c>
      <c r="F11" s="94">
        <f t="shared" si="8"/>
        <v>5325</v>
      </c>
      <c r="G11" s="94">
        <f t="shared" si="8"/>
        <v>4222</v>
      </c>
      <c r="H11" s="94">
        <f t="shared" si="8"/>
        <v>4157</v>
      </c>
      <c r="I11" s="94">
        <f t="shared" si="8"/>
        <v>4397</v>
      </c>
      <c r="J11" s="94">
        <f t="shared" si="8"/>
        <v>6957</v>
      </c>
      <c r="K11" s="94">
        <f t="shared" si="8"/>
        <v>5820</v>
      </c>
      <c r="L11" s="94">
        <f>SUM(C11:K11)</f>
        <v>77779</v>
      </c>
      <c r="M11" s="94">
        <f t="shared" si="8"/>
        <v>2267</v>
      </c>
      <c r="N11" s="94">
        <f t="shared" ref="N11" si="9">SUM(N4:N10)</f>
        <v>4189</v>
      </c>
      <c r="O11" s="94">
        <f t="shared" ref="O11" si="10">SUM(O4:O10)</f>
        <v>4490</v>
      </c>
      <c r="P11" s="94">
        <f t="shared" si="0"/>
        <v>10946</v>
      </c>
      <c r="Q11" s="94">
        <f t="shared" ref="Q11" si="11">SUM(Q4:Q10)</f>
        <v>4396</v>
      </c>
      <c r="R11" s="94">
        <f t="shared" ref="R11" si="12">SUM(R4:R10)</f>
        <v>3254</v>
      </c>
      <c r="S11" s="94">
        <f t="shared" ref="S11" si="13">SUM(S4:S10)</f>
        <v>1604</v>
      </c>
      <c r="T11" s="94">
        <f t="shared" ref="T11" si="14">SUM(T4:T10)</f>
        <v>1807</v>
      </c>
      <c r="U11" s="94">
        <f t="shared" ref="U11" si="15">SUM(U4:U10)</f>
        <v>826</v>
      </c>
      <c r="V11" s="94">
        <f t="shared" ref="V11" si="16">SUM(V4:V10)</f>
        <v>816</v>
      </c>
      <c r="W11" s="94">
        <f t="shared" ref="W11" si="17">SUM(W4:W10)</f>
        <v>327</v>
      </c>
      <c r="X11" s="94">
        <f t="shared" si="1"/>
        <v>13030</v>
      </c>
      <c r="Y11" s="94">
        <f t="shared" si="2"/>
        <v>101755</v>
      </c>
    </row>
    <row r="12" spans="1:26" s="85" customFormat="1">
      <c r="A12" s="89" t="s">
        <v>98</v>
      </c>
      <c r="B12" s="89" t="s">
        <v>99</v>
      </c>
      <c r="C12" s="95">
        <f>동탄!C13</f>
        <v>619</v>
      </c>
      <c r="D12" s="95">
        <f>화성!C13</f>
        <v>369</v>
      </c>
      <c r="E12" s="95">
        <f>파주!C13</f>
        <v>561</v>
      </c>
      <c r="F12" s="95">
        <f>광교!C13</f>
        <v>234</v>
      </c>
      <c r="G12" s="95">
        <f>판교!C13</f>
        <v>214</v>
      </c>
      <c r="H12" s="95">
        <f>삼송!C13</f>
        <v>229</v>
      </c>
      <c r="I12" s="95">
        <f>양산!C13</f>
        <v>667</v>
      </c>
      <c r="J12" s="95">
        <f>대구!C13</f>
        <v>422</v>
      </c>
      <c r="K12" s="95">
        <f>청주!C13</f>
        <v>439</v>
      </c>
      <c r="L12" s="92">
        <f>SUM(C12:K12)</f>
        <v>3754</v>
      </c>
      <c r="M12" s="95">
        <f>수원!C13</f>
        <v>105</v>
      </c>
      <c r="N12" s="95">
        <f>광주전남!C13</f>
        <v>777</v>
      </c>
      <c r="O12" s="95">
        <f>강남!C13</f>
        <v>237</v>
      </c>
      <c r="P12" s="92">
        <f t="shared" si="0"/>
        <v>1119</v>
      </c>
      <c r="Q12" s="95">
        <f>중앙!C13</f>
        <v>238</v>
      </c>
      <c r="R12" s="95">
        <f>고양!C13</f>
        <v>100</v>
      </c>
      <c r="S12" s="95">
        <f>용인!C13</f>
        <v>191</v>
      </c>
      <c r="T12" s="95">
        <f>분당!C13</f>
        <v>65</v>
      </c>
      <c r="U12" s="95">
        <f>세종!C13</f>
        <v>78</v>
      </c>
      <c r="V12" s="95">
        <f>김해!C13</f>
        <v>160</v>
      </c>
      <c r="W12" s="95">
        <f>평택!C13</f>
        <v>51</v>
      </c>
      <c r="X12" s="92">
        <f t="shared" si="1"/>
        <v>883</v>
      </c>
      <c r="Y12" s="92">
        <f t="shared" si="2"/>
        <v>5756</v>
      </c>
    </row>
    <row r="13" spans="1:26" s="85" customFormat="1">
      <c r="A13" s="255" t="s">
        <v>110</v>
      </c>
      <c r="B13" s="255"/>
      <c r="C13" s="58">
        <f t="shared" ref="C13:H13" si="18">C12+C11</f>
        <v>25190</v>
      </c>
      <c r="D13" s="58">
        <f t="shared" si="18"/>
        <v>9798</v>
      </c>
      <c r="E13" s="58">
        <f t="shared" si="18"/>
        <v>13462</v>
      </c>
      <c r="F13" s="58">
        <f t="shared" si="18"/>
        <v>5559</v>
      </c>
      <c r="G13" s="58">
        <f t="shared" si="18"/>
        <v>4436</v>
      </c>
      <c r="H13" s="58">
        <f t="shared" si="18"/>
        <v>4386</v>
      </c>
      <c r="I13" s="58">
        <f>I12+I11</f>
        <v>5064</v>
      </c>
      <c r="J13" s="58">
        <f>J12+J11</f>
        <v>7379</v>
      </c>
      <c r="K13" s="58">
        <f>K12+K11</f>
        <v>6259</v>
      </c>
      <c r="L13" s="58">
        <f t="shared" si="3"/>
        <v>81533</v>
      </c>
      <c r="M13" s="58">
        <f>M12+M11</f>
        <v>2372</v>
      </c>
      <c r="N13" s="58">
        <f>N12+N11</f>
        <v>4966</v>
      </c>
      <c r="O13" s="58">
        <f>O12+O11</f>
        <v>4727</v>
      </c>
      <c r="P13" s="58">
        <f t="shared" si="0"/>
        <v>12065</v>
      </c>
      <c r="Q13" s="58">
        <f t="shared" ref="Q13:W13" si="19">Q12+Q11</f>
        <v>4634</v>
      </c>
      <c r="R13" s="58">
        <f t="shared" si="19"/>
        <v>3354</v>
      </c>
      <c r="S13" s="58">
        <f t="shared" si="19"/>
        <v>1795</v>
      </c>
      <c r="T13" s="58">
        <f t="shared" si="19"/>
        <v>1872</v>
      </c>
      <c r="U13" s="58">
        <f t="shared" si="19"/>
        <v>904</v>
      </c>
      <c r="V13" s="58">
        <f t="shared" si="19"/>
        <v>976</v>
      </c>
      <c r="W13" s="58">
        <f t="shared" si="19"/>
        <v>378</v>
      </c>
      <c r="X13" s="58">
        <f t="shared" si="1"/>
        <v>13913</v>
      </c>
      <c r="Y13" s="58">
        <f t="shared" si="2"/>
        <v>107511</v>
      </c>
      <c r="Z13" s="112">
        <f>Y13-'[38]26년'!$Y$11</f>
        <v>9796.776433149862</v>
      </c>
    </row>
    <row r="14" spans="1:26" s="85" customFormat="1">
      <c r="A14" s="263" t="s">
        <v>65</v>
      </c>
      <c r="B14" s="263"/>
      <c r="C14" s="95">
        <f>동탄!C15</f>
        <v>19</v>
      </c>
      <c r="D14" s="95">
        <f>화성!C15</f>
        <v>22</v>
      </c>
      <c r="E14" s="95">
        <f>파주!C15</f>
        <v>1</v>
      </c>
      <c r="F14" s="95">
        <f>광교!C15</f>
        <v>28</v>
      </c>
      <c r="G14" s="95">
        <f>판교!C15</f>
        <v>6</v>
      </c>
      <c r="H14" s="95">
        <f>삼송!C15</f>
        <v>0</v>
      </c>
      <c r="I14" s="95">
        <f>양산!C15</f>
        <v>11</v>
      </c>
      <c r="J14" s="95">
        <f>대구!C15</f>
        <v>1</v>
      </c>
      <c r="K14" s="95">
        <f>청주!C15</f>
        <v>1</v>
      </c>
      <c r="L14" s="92">
        <f>SUM(C14:K14)</f>
        <v>89</v>
      </c>
      <c r="M14" s="95">
        <f>수원!C15</f>
        <v>0</v>
      </c>
      <c r="N14" s="95">
        <f>광주전남!C15</f>
        <v>0</v>
      </c>
      <c r="O14" s="95">
        <f>강남!C15</f>
        <v>0</v>
      </c>
      <c r="P14" s="96">
        <f t="shared" si="0"/>
        <v>0</v>
      </c>
      <c r="Q14" s="95">
        <f>중앙!C15</f>
        <v>0</v>
      </c>
      <c r="R14" s="95">
        <f>고양!C15</f>
        <v>20</v>
      </c>
      <c r="S14" s="95">
        <f>용인!C15</f>
        <v>0</v>
      </c>
      <c r="T14" s="95">
        <f>분당!C15</f>
        <v>11</v>
      </c>
      <c r="U14" s="95">
        <f>세종!C15</f>
        <v>0</v>
      </c>
      <c r="V14" s="95">
        <f>김해!C15</f>
        <v>0</v>
      </c>
      <c r="W14" s="95">
        <f>평택!C15</f>
        <v>0</v>
      </c>
      <c r="X14" s="96">
        <f t="shared" si="1"/>
        <v>31</v>
      </c>
      <c r="Y14" s="96">
        <f t="shared" si="2"/>
        <v>120</v>
      </c>
    </row>
    <row r="15" spans="1:26" s="85" customFormat="1">
      <c r="A15" s="263" t="s">
        <v>66</v>
      </c>
      <c r="B15" s="263"/>
      <c r="C15" s="95">
        <f>동탄!C16</f>
        <v>0</v>
      </c>
      <c r="D15" s="95">
        <f>화성!C16</f>
        <v>0</v>
      </c>
      <c r="E15" s="95">
        <f>파주!C16</f>
        <v>50</v>
      </c>
      <c r="F15" s="95">
        <f>광교!C16</f>
        <v>0</v>
      </c>
      <c r="G15" s="95">
        <f>판교!C16</f>
        <v>0</v>
      </c>
      <c r="H15" s="95">
        <f>삼송!C16</f>
        <v>0</v>
      </c>
      <c r="I15" s="95">
        <f>양산!C16</f>
        <v>0</v>
      </c>
      <c r="J15" s="95">
        <f>대구!C16</f>
        <v>0</v>
      </c>
      <c r="K15" s="95">
        <f>청주!C16</f>
        <v>0</v>
      </c>
      <c r="L15" s="92">
        <f t="shared" ref="L15:L18" si="20">SUM(C15:K15)</f>
        <v>50</v>
      </c>
      <c r="M15" s="95">
        <f>수원!C16</f>
        <v>0</v>
      </c>
      <c r="N15" s="95">
        <f>광주전남!C16</f>
        <v>0</v>
      </c>
      <c r="O15" s="95">
        <f>강남!C16</f>
        <v>0</v>
      </c>
      <c r="P15" s="96">
        <f t="shared" si="0"/>
        <v>0</v>
      </c>
      <c r="Q15" s="95">
        <f>중앙!C16</f>
        <v>0</v>
      </c>
      <c r="R15" s="95">
        <f>고양!C16</f>
        <v>0</v>
      </c>
      <c r="S15" s="95">
        <f>용인!C16</f>
        <v>0</v>
      </c>
      <c r="T15" s="95">
        <f>분당!C16</f>
        <v>0</v>
      </c>
      <c r="U15" s="95">
        <f>세종!C16</f>
        <v>0</v>
      </c>
      <c r="V15" s="95">
        <f>김해!C16</f>
        <v>0</v>
      </c>
      <c r="W15" s="95">
        <f>평택!C16</f>
        <v>0</v>
      </c>
      <c r="X15" s="96">
        <f t="shared" si="1"/>
        <v>0</v>
      </c>
      <c r="Y15" s="96">
        <f t="shared" si="2"/>
        <v>50</v>
      </c>
    </row>
    <row r="16" spans="1:26" s="85" customFormat="1">
      <c r="A16" s="263" t="s">
        <v>34</v>
      </c>
      <c r="B16" s="97" t="s">
        <v>81</v>
      </c>
      <c r="C16" s="95">
        <f>동탄!C17</f>
        <v>12336</v>
      </c>
      <c r="D16" s="95">
        <f>화성!C17</f>
        <v>2162</v>
      </c>
      <c r="E16" s="95">
        <f>파주!C17</f>
        <v>894</v>
      </c>
      <c r="F16" s="95">
        <f>광교!C17</f>
        <v>1327</v>
      </c>
      <c r="G16" s="95">
        <f>판교!C17</f>
        <v>0</v>
      </c>
      <c r="H16" s="95">
        <f>삼송!C17</f>
        <v>0</v>
      </c>
      <c r="I16" s="95">
        <f>양산!C17</f>
        <v>0</v>
      </c>
      <c r="J16" s="95">
        <f>대구!C17</f>
        <v>0</v>
      </c>
      <c r="K16" s="95">
        <f>청주!C17</f>
        <v>0</v>
      </c>
      <c r="L16" s="92">
        <f>SUM(C16:K16)</f>
        <v>16719</v>
      </c>
      <c r="M16" s="95">
        <f>수원!C17</f>
        <v>0</v>
      </c>
      <c r="N16" s="95">
        <f>광주전남!C17</f>
        <v>0</v>
      </c>
      <c r="O16" s="95">
        <f>강남!C17</f>
        <v>0</v>
      </c>
      <c r="P16" s="96">
        <f t="shared" si="0"/>
        <v>0</v>
      </c>
      <c r="Q16" s="95">
        <f>중앙!C17</f>
        <v>0</v>
      </c>
      <c r="R16" s="95">
        <f>고양!C17</f>
        <v>0</v>
      </c>
      <c r="S16" s="95">
        <f>용인!C17</f>
        <v>0</v>
      </c>
      <c r="T16" s="95">
        <f>분당!C17</f>
        <v>0</v>
      </c>
      <c r="U16" s="95">
        <f>세종!C17</f>
        <v>0</v>
      </c>
      <c r="V16" s="95">
        <f>김해!C17</f>
        <v>0</v>
      </c>
      <c r="W16" s="95">
        <f>평택!C17</f>
        <v>0</v>
      </c>
      <c r="X16" s="96">
        <f t="shared" si="1"/>
        <v>0</v>
      </c>
      <c r="Y16" s="96">
        <f t="shared" si="2"/>
        <v>16719</v>
      </c>
    </row>
    <row r="17" spans="1:32" s="85" customFormat="1">
      <c r="A17" s="263"/>
      <c r="B17" s="97" t="s">
        <v>64</v>
      </c>
      <c r="C17" s="95">
        <f>동탄!C18</f>
        <v>5696</v>
      </c>
      <c r="D17" s="95">
        <f>화성!C18</f>
        <v>5727</v>
      </c>
      <c r="E17" s="95">
        <f>파주!C18</f>
        <v>6420</v>
      </c>
      <c r="F17" s="95">
        <f>광교!C18</f>
        <v>7345</v>
      </c>
      <c r="G17" s="95">
        <f>판교!C18</f>
        <v>3678</v>
      </c>
      <c r="H17" s="95">
        <f>삼송!C18</f>
        <v>1196</v>
      </c>
      <c r="I17" s="95">
        <f>양산!C18</f>
        <v>4141</v>
      </c>
      <c r="J17" s="95">
        <f>대구!C18</f>
        <v>4729</v>
      </c>
      <c r="K17" s="95">
        <f>청주!C18</f>
        <v>802</v>
      </c>
      <c r="L17" s="92">
        <f>SUM(C17:K17)</f>
        <v>39734</v>
      </c>
      <c r="M17" s="95">
        <f>수원!C18</f>
        <v>960</v>
      </c>
      <c r="N17" s="95">
        <f>광주전남!C18</f>
        <v>2701</v>
      </c>
      <c r="O17" s="95">
        <f>강남!C18</f>
        <v>1351</v>
      </c>
      <c r="P17" s="96">
        <f t="shared" si="0"/>
        <v>5012</v>
      </c>
      <c r="Q17" s="95">
        <f>중앙!C18</f>
        <v>3447</v>
      </c>
      <c r="R17" s="95">
        <f>고양!C18</f>
        <v>4511</v>
      </c>
      <c r="S17" s="95">
        <f>용인!C18</f>
        <v>1504</v>
      </c>
      <c r="T17" s="95">
        <f>분당!C18</f>
        <v>2098</v>
      </c>
      <c r="U17" s="95">
        <f>세종!C18</f>
        <v>128</v>
      </c>
      <c r="V17" s="95">
        <f>김해!C18</f>
        <v>1</v>
      </c>
      <c r="W17" s="95">
        <f>평택!C18</f>
        <v>6</v>
      </c>
      <c r="X17" s="96">
        <f t="shared" si="1"/>
        <v>11695</v>
      </c>
      <c r="Y17" s="96">
        <f t="shared" si="2"/>
        <v>56441</v>
      </c>
    </row>
    <row r="18" spans="1:32" s="85" customFormat="1">
      <c r="A18" s="263"/>
      <c r="B18" s="93" t="s">
        <v>35</v>
      </c>
      <c r="C18" s="98">
        <f t="shared" ref="C18:H18" si="21">SUM(C16:C17)</f>
        <v>18032</v>
      </c>
      <c r="D18" s="98">
        <f t="shared" si="21"/>
        <v>7889</v>
      </c>
      <c r="E18" s="98">
        <f t="shared" si="21"/>
        <v>7314</v>
      </c>
      <c r="F18" s="98">
        <f t="shared" si="21"/>
        <v>8672</v>
      </c>
      <c r="G18" s="98">
        <f t="shared" si="21"/>
        <v>3678</v>
      </c>
      <c r="H18" s="98">
        <f t="shared" si="21"/>
        <v>1196</v>
      </c>
      <c r="I18" s="98">
        <f>SUM(I16:I17)</f>
        <v>4141</v>
      </c>
      <c r="J18" s="98">
        <f>SUM(J16:J17)</f>
        <v>4729</v>
      </c>
      <c r="K18" s="98">
        <f>SUM(K16:K17)</f>
        <v>802</v>
      </c>
      <c r="L18" s="98">
        <f t="shared" si="20"/>
        <v>56453</v>
      </c>
      <c r="M18" s="98">
        <f>SUM(M16:M17)</f>
        <v>960</v>
      </c>
      <c r="N18" s="98">
        <f>SUM(N16:N17)</f>
        <v>2701</v>
      </c>
      <c r="O18" s="98">
        <f>SUM(O16:O17)</f>
        <v>1351</v>
      </c>
      <c r="P18" s="99">
        <f t="shared" si="0"/>
        <v>5012</v>
      </c>
      <c r="Q18" s="98">
        <f t="shared" ref="Q18:W18" si="22">SUM(Q16:Q17)</f>
        <v>3447</v>
      </c>
      <c r="R18" s="98">
        <f t="shared" si="22"/>
        <v>4511</v>
      </c>
      <c r="S18" s="98">
        <f t="shared" si="22"/>
        <v>1504</v>
      </c>
      <c r="T18" s="98">
        <f t="shared" si="22"/>
        <v>2098</v>
      </c>
      <c r="U18" s="98">
        <f t="shared" si="22"/>
        <v>128</v>
      </c>
      <c r="V18" s="98">
        <f t="shared" si="22"/>
        <v>1</v>
      </c>
      <c r="W18" s="98">
        <f t="shared" si="22"/>
        <v>6</v>
      </c>
      <c r="X18" s="99">
        <f t="shared" si="1"/>
        <v>11695</v>
      </c>
      <c r="Y18" s="99">
        <f t="shared" si="2"/>
        <v>73160</v>
      </c>
    </row>
    <row r="19" spans="1:32" s="85" customFormat="1">
      <c r="A19" s="89" t="s">
        <v>102</v>
      </c>
      <c r="B19" s="89" t="s">
        <v>103</v>
      </c>
      <c r="C19" s="100">
        <f>동탄!C19</f>
        <v>0</v>
      </c>
      <c r="D19" s="100">
        <f>화성!C19</f>
        <v>0</v>
      </c>
      <c r="E19" s="100">
        <f>파주!C19</f>
        <v>600</v>
      </c>
      <c r="F19" s="100">
        <f>광교!C19</f>
        <v>0</v>
      </c>
      <c r="G19" s="100">
        <f>판교!C19</f>
        <v>690</v>
      </c>
      <c r="H19" s="100">
        <f>삼송!C19</f>
        <v>0</v>
      </c>
      <c r="I19" s="100">
        <f>양산!C19</f>
        <v>0</v>
      </c>
      <c r="J19" s="100">
        <f>대구!C19</f>
        <v>0</v>
      </c>
      <c r="K19" s="100">
        <f>청주!C19</f>
        <v>0</v>
      </c>
      <c r="L19" s="92">
        <f>SUM(C19:K19)</f>
        <v>1290</v>
      </c>
      <c r="M19" s="100">
        <f>수원!C19</f>
        <v>0</v>
      </c>
      <c r="N19" s="100">
        <f>광주전남!C19</f>
        <v>702</v>
      </c>
      <c r="O19" s="100">
        <f>강남!C19</f>
        <v>400</v>
      </c>
      <c r="P19" s="96">
        <f t="shared" si="0"/>
        <v>1102</v>
      </c>
      <c r="Q19" s="100">
        <f>중앙!C19</f>
        <v>0</v>
      </c>
      <c r="R19" s="100">
        <f>고양!C19</f>
        <v>0</v>
      </c>
      <c r="S19" s="100">
        <f>용인!C19</f>
        <v>0</v>
      </c>
      <c r="T19" s="100">
        <f>분당!C19</f>
        <v>0</v>
      </c>
      <c r="U19" s="100">
        <f>세종!C19</f>
        <v>0</v>
      </c>
      <c r="V19" s="100">
        <f>김해!C19</f>
        <v>0</v>
      </c>
      <c r="W19" s="100">
        <f>평택!C19</f>
        <v>0</v>
      </c>
      <c r="X19" s="96">
        <f t="shared" si="1"/>
        <v>0</v>
      </c>
      <c r="Y19" s="96">
        <f t="shared" si="2"/>
        <v>2392</v>
      </c>
    </row>
    <row r="20" spans="1:32" s="85" customFormat="1">
      <c r="A20" s="263" t="s">
        <v>63</v>
      </c>
      <c r="B20" s="263"/>
      <c r="C20" s="95">
        <f>동탄!C20</f>
        <v>158</v>
      </c>
      <c r="D20" s="95">
        <f>화성!C20</f>
        <v>77</v>
      </c>
      <c r="E20" s="95">
        <f>파주!C20</f>
        <v>413</v>
      </c>
      <c r="F20" s="95">
        <f>광교!C20</f>
        <v>26</v>
      </c>
      <c r="G20" s="95">
        <f>판교!C20</f>
        <v>4</v>
      </c>
      <c r="H20" s="95">
        <f>삼송!C20</f>
        <v>0</v>
      </c>
      <c r="I20" s="95">
        <f>양산!C20</f>
        <v>452</v>
      </c>
      <c r="J20" s="95">
        <f>대구!C20</f>
        <v>152</v>
      </c>
      <c r="K20" s="95">
        <f>청주!C20</f>
        <v>127</v>
      </c>
      <c r="L20" s="92">
        <f>SUM(C20:K20)</f>
        <v>1409</v>
      </c>
      <c r="M20" s="95">
        <f>수원!C20</f>
        <v>29</v>
      </c>
      <c r="N20" s="95">
        <f>광주전남!C20</f>
        <v>0</v>
      </c>
      <c r="O20" s="95">
        <f>강남!C20</f>
        <v>9</v>
      </c>
      <c r="P20" s="96">
        <f t="shared" si="0"/>
        <v>38</v>
      </c>
      <c r="Q20" s="95">
        <f>중앙!C20</f>
        <v>0</v>
      </c>
      <c r="R20" s="95">
        <f>고양!C20</f>
        <v>21</v>
      </c>
      <c r="S20" s="95">
        <f>용인!C20</f>
        <v>10</v>
      </c>
      <c r="T20" s="95">
        <f>분당!C20</f>
        <v>6</v>
      </c>
      <c r="U20" s="95">
        <f>세종!C20</f>
        <v>0</v>
      </c>
      <c r="V20" s="95">
        <f>김해!C20</f>
        <v>0</v>
      </c>
      <c r="W20" s="95">
        <f>평택!C20</f>
        <v>0</v>
      </c>
      <c r="X20" s="96">
        <f t="shared" si="1"/>
        <v>37</v>
      </c>
      <c r="Y20" s="96">
        <f t="shared" si="2"/>
        <v>1484</v>
      </c>
    </row>
    <row r="21" spans="1:32" s="85" customFormat="1">
      <c r="A21" s="263" t="s">
        <v>36</v>
      </c>
      <c r="B21" s="97" t="s">
        <v>38</v>
      </c>
      <c r="C21" s="95">
        <f>동탄!C21</f>
        <v>0</v>
      </c>
      <c r="D21" s="95">
        <f>화성!C21</f>
        <v>0</v>
      </c>
      <c r="E21" s="95">
        <f>파주!C21</f>
        <v>1304</v>
      </c>
      <c r="F21" s="95">
        <f>광교!C21</f>
        <v>0</v>
      </c>
      <c r="G21" s="95">
        <f>판교!C21</f>
        <v>500</v>
      </c>
      <c r="H21" s="95">
        <f>삼송!C21</f>
        <v>0</v>
      </c>
      <c r="I21" s="95">
        <f>양산!C21</f>
        <v>0</v>
      </c>
      <c r="J21" s="95">
        <f>대구!C21</f>
        <v>0</v>
      </c>
      <c r="K21" s="95">
        <f>청주!C21</f>
        <v>0</v>
      </c>
      <c r="L21" s="92">
        <f>SUM(C21:K21)</f>
        <v>1804</v>
      </c>
      <c r="M21" s="95">
        <f>수원!C21</f>
        <v>0</v>
      </c>
      <c r="N21" s="95">
        <f>광주전남!C21</f>
        <v>0</v>
      </c>
      <c r="O21" s="95">
        <f>강남!C21</f>
        <v>0</v>
      </c>
      <c r="P21" s="96">
        <f t="shared" si="0"/>
        <v>0</v>
      </c>
      <c r="Q21" s="95">
        <f>중앙!C21</f>
        <v>0</v>
      </c>
      <c r="R21" s="95">
        <f>고양!C21</f>
        <v>0</v>
      </c>
      <c r="S21" s="95">
        <f>용인!C21</f>
        <v>0</v>
      </c>
      <c r="T21" s="95">
        <f>분당!C21</f>
        <v>0</v>
      </c>
      <c r="U21" s="95">
        <f>세종!C21</f>
        <v>0</v>
      </c>
      <c r="V21" s="95">
        <f>김해!C21</f>
        <v>0</v>
      </c>
      <c r="W21" s="95">
        <f>평택!C21</f>
        <v>0</v>
      </c>
      <c r="X21" s="96">
        <f t="shared" si="1"/>
        <v>0</v>
      </c>
      <c r="Y21" s="96">
        <f t="shared" si="2"/>
        <v>1804</v>
      </c>
    </row>
    <row r="22" spans="1:32" s="85" customFormat="1">
      <c r="A22" s="263"/>
      <c r="B22" s="97" t="s">
        <v>39</v>
      </c>
      <c r="C22" s="95">
        <f>동탄!C22</f>
        <v>2498</v>
      </c>
      <c r="D22" s="95">
        <f>화성!C22</f>
        <v>536</v>
      </c>
      <c r="E22" s="95">
        <f>파주!C22</f>
        <v>1939</v>
      </c>
      <c r="F22" s="95">
        <f>광교!C22</f>
        <v>824</v>
      </c>
      <c r="G22" s="95">
        <f>판교!C22</f>
        <v>535</v>
      </c>
      <c r="H22" s="95">
        <f>삼송!C22</f>
        <v>1519</v>
      </c>
      <c r="I22" s="95">
        <f>양산!C22</f>
        <v>1467</v>
      </c>
      <c r="J22" s="95">
        <f>대구!C22</f>
        <v>185</v>
      </c>
      <c r="K22" s="95">
        <f>청주!C22</f>
        <v>627</v>
      </c>
      <c r="L22" s="92">
        <f>SUM(C22:K22)</f>
        <v>10130</v>
      </c>
      <c r="M22" s="95">
        <f>수원!C22</f>
        <v>0</v>
      </c>
      <c r="N22" s="95">
        <f>광주전남!C22</f>
        <v>345</v>
      </c>
      <c r="O22" s="95">
        <f>강남!C22</f>
        <v>17</v>
      </c>
      <c r="P22" s="96">
        <f t="shared" si="0"/>
        <v>362</v>
      </c>
      <c r="Q22" s="95">
        <f>중앙!C22</f>
        <v>29</v>
      </c>
      <c r="R22" s="95">
        <f>고양!C22</f>
        <v>0</v>
      </c>
      <c r="S22" s="95">
        <f>용인!C22</f>
        <v>0</v>
      </c>
      <c r="T22" s="95">
        <f>분당!C22</f>
        <v>0</v>
      </c>
      <c r="U22" s="95">
        <f>세종!C22</f>
        <v>135</v>
      </c>
      <c r="V22" s="95">
        <f>김해!C22</f>
        <v>0</v>
      </c>
      <c r="W22" s="95">
        <f>평택!C22</f>
        <v>0</v>
      </c>
      <c r="X22" s="96">
        <f t="shared" si="1"/>
        <v>164</v>
      </c>
      <c r="Y22" s="96">
        <f t="shared" si="2"/>
        <v>10656</v>
      </c>
    </row>
    <row r="23" spans="1:32" s="85" customFormat="1">
      <c r="A23" s="263"/>
      <c r="B23" s="97" t="s">
        <v>37</v>
      </c>
      <c r="C23" s="95">
        <f>동탄!C23</f>
        <v>1</v>
      </c>
      <c r="D23" s="95">
        <f>화성!C23</f>
        <v>71</v>
      </c>
      <c r="E23" s="95">
        <f>파주!C23</f>
        <v>343</v>
      </c>
      <c r="F23" s="95">
        <f>광교!C23</f>
        <v>398</v>
      </c>
      <c r="G23" s="95">
        <f>판교!C23</f>
        <v>175</v>
      </c>
      <c r="H23" s="95">
        <f>삼송!C23</f>
        <v>160</v>
      </c>
      <c r="I23" s="95">
        <f>양산!C23</f>
        <v>91</v>
      </c>
      <c r="J23" s="95">
        <f>대구!C23</f>
        <v>42</v>
      </c>
      <c r="K23" s="95">
        <f>청주!C23</f>
        <v>0</v>
      </c>
      <c r="L23" s="92">
        <f>SUM(C23:K23)</f>
        <v>1281</v>
      </c>
      <c r="M23" s="95">
        <f>수원!C23</f>
        <v>0</v>
      </c>
      <c r="N23" s="95">
        <f>광주전남!C23</f>
        <v>0</v>
      </c>
      <c r="O23" s="95">
        <f>강남!C23</f>
        <v>0</v>
      </c>
      <c r="P23" s="96">
        <f t="shared" si="0"/>
        <v>0</v>
      </c>
      <c r="Q23" s="95">
        <f>중앙!C23</f>
        <v>0</v>
      </c>
      <c r="R23" s="95">
        <f>고양!C23</f>
        <v>10</v>
      </c>
      <c r="S23" s="95">
        <f>용인!C23</f>
        <v>0</v>
      </c>
      <c r="T23" s="95">
        <f>분당!C23</f>
        <v>0</v>
      </c>
      <c r="U23" s="95">
        <f>세종!C23</f>
        <v>0</v>
      </c>
      <c r="V23" s="95">
        <f>김해!C23</f>
        <v>0</v>
      </c>
      <c r="W23" s="95">
        <f>평택!C23</f>
        <v>5</v>
      </c>
      <c r="X23" s="96">
        <f t="shared" si="1"/>
        <v>15</v>
      </c>
      <c r="Y23" s="96">
        <f t="shared" si="2"/>
        <v>1296</v>
      </c>
    </row>
    <row r="24" spans="1:32" s="85" customFormat="1">
      <c r="A24" s="263"/>
      <c r="B24" s="93" t="s">
        <v>35</v>
      </c>
      <c r="C24" s="98">
        <f t="shared" ref="C24:H24" si="23">SUM(C21:C23)</f>
        <v>2499</v>
      </c>
      <c r="D24" s="98">
        <f t="shared" si="23"/>
        <v>607</v>
      </c>
      <c r="E24" s="98">
        <f t="shared" si="23"/>
        <v>3586</v>
      </c>
      <c r="F24" s="98">
        <f t="shared" si="23"/>
        <v>1222</v>
      </c>
      <c r="G24" s="98">
        <f t="shared" si="23"/>
        <v>1210</v>
      </c>
      <c r="H24" s="98">
        <f t="shared" si="23"/>
        <v>1679</v>
      </c>
      <c r="I24" s="98">
        <f>SUM(I21:I23)</f>
        <v>1558</v>
      </c>
      <c r="J24" s="98">
        <f>SUM(J21:J23)</f>
        <v>227</v>
      </c>
      <c r="K24" s="98">
        <f>SUM(K21:K23)</f>
        <v>627</v>
      </c>
      <c r="L24" s="98">
        <f t="shared" ref="L24" si="24">SUM(C24:K24)</f>
        <v>13215</v>
      </c>
      <c r="M24" s="98">
        <f>SUM(M21:M23)</f>
        <v>0</v>
      </c>
      <c r="N24" s="98">
        <f>SUM(N21:N23)</f>
        <v>345</v>
      </c>
      <c r="O24" s="98">
        <f>SUM(O21:O23)</f>
        <v>17</v>
      </c>
      <c r="P24" s="99">
        <f t="shared" si="0"/>
        <v>362</v>
      </c>
      <c r="Q24" s="98">
        <f t="shared" ref="Q24:W24" si="25">SUM(Q21:Q23)</f>
        <v>29</v>
      </c>
      <c r="R24" s="98">
        <f t="shared" si="25"/>
        <v>10</v>
      </c>
      <c r="S24" s="98">
        <f t="shared" si="25"/>
        <v>0</v>
      </c>
      <c r="T24" s="98">
        <f t="shared" si="25"/>
        <v>0</v>
      </c>
      <c r="U24" s="98">
        <f t="shared" si="25"/>
        <v>135</v>
      </c>
      <c r="V24" s="98">
        <f t="shared" si="25"/>
        <v>0</v>
      </c>
      <c r="W24" s="98">
        <f t="shared" si="25"/>
        <v>5</v>
      </c>
      <c r="X24" s="99">
        <f t="shared" si="1"/>
        <v>179</v>
      </c>
      <c r="Y24" s="99">
        <f t="shared" si="2"/>
        <v>13756</v>
      </c>
    </row>
    <row r="25" spans="1:32" s="85" customFormat="1">
      <c r="A25" s="255" t="s">
        <v>115</v>
      </c>
      <c r="B25" s="255"/>
      <c r="C25" s="56">
        <f>C14+C15+C19+C18+C20+C24</f>
        <v>20708</v>
      </c>
      <c r="D25" s="56">
        <f t="shared" ref="D25:Y25" si="26">D14+D15+D19+D18+D20+D24</f>
        <v>8595</v>
      </c>
      <c r="E25" s="56">
        <f t="shared" si="26"/>
        <v>11964</v>
      </c>
      <c r="F25" s="56">
        <f t="shared" si="26"/>
        <v>9948</v>
      </c>
      <c r="G25" s="56">
        <f t="shared" si="26"/>
        <v>5588</v>
      </c>
      <c r="H25" s="56">
        <f t="shared" si="26"/>
        <v>2875</v>
      </c>
      <c r="I25" s="56">
        <f t="shared" si="26"/>
        <v>6162</v>
      </c>
      <c r="J25" s="56">
        <f t="shared" si="26"/>
        <v>5109</v>
      </c>
      <c r="K25" s="56">
        <f t="shared" si="26"/>
        <v>1557</v>
      </c>
      <c r="L25" s="56">
        <f t="shared" si="26"/>
        <v>72506</v>
      </c>
      <c r="M25" s="56">
        <f t="shared" si="26"/>
        <v>989</v>
      </c>
      <c r="N25" s="56">
        <f t="shared" si="26"/>
        <v>3748</v>
      </c>
      <c r="O25" s="56">
        <f t="shared" si="26"/>
        <v>1777</v>
      </c>
      <c r="P25" s="56">
        <f t="shared" si="26"/>
        <v>6514</v>
      </c>
      <c r="Q25" s="56">
        <f t="shared" si="26"/>
        <v>3476</v>
      </c>
      <c r="R25" s="56">
        <f t="shared" si="26"/>
        <v>4562</v>
      </c>
      <c r="S25" s="56">
        <f t="shared" si="26"/>
        <v>1514</v>
      </c>
      <c r="T25" s="56">
        <f t="shared" si="26"/>
        <v>2115</v>
      </c>
      <c r="U25" s="56">
        <f t="shared" si="26"/>
        <v>263</v>
      </c>
      <c r="V25" s="56">
        <f t="shared" si="26"/>
        <v>1</v>
      </c>
      <c r="W25" s="56">
        <f t="shared" si="26"/>
        <v>11</v>
      </c>
      <c r="X25" s="56">
        <f t="shared" si="26"/>
        <v>11942</v>
      </c>
      <c r="Y25" s="56">
        <f t="shared" si="26"/>
        <v>90962</v>
      </c>
      <c r="Z25" s="112">
        <f>Y25-'[38]26년'!$Y$23</f>
        <v>42545.155719657472</v>
      </c>
    </row>
    <row r="26" spans="1:32" s="85" customFormat="1">
      <c r="A26" s="224" t="s">
        <v>282</v>
      </c>
      <c r="B26" s="224" t="s">
        <v>354</v>
      </c>
      <c r="C26" s="95">
        <f>동탄!C25</f>
        <v>3370</v>
      </c>
      <c r="D26" s="95">
        <f>화성!C25</f>
        <v>0</v>
      </c>
      <c r="E26" s="95">
        <f>파주!C25</f>
        <v>0</v>
      </c>
      <c r="F26" s="95">
        <f>광교!C25</f>
        <v>0</v>
      </c>
      <c r="G26" s="95">
        <f>판교!C25</f>
        <v>4194</v>
      </c>
      <c r="H26" s="95">
        <f>삼송!C25</f>
        <v>0</v>
      </c>
      <c r="I26" s="95">
        <f>양산!C25</f>
        <v>0</v>
      </c>
      <c r="J26" s="95">
        <f>대구!C25</f>
        <v>0</v>
      </c>
      <c r="K26" s="95">
        <f>청주!C25</f>
        <v>1696</v>
      </c>
      <c r="L26" s="92">
        <f>SUM(C26:K26)</f>
        <v>9260</v>
      </c>
      <c r="M26" s="95">
        <f>수원!C25</f>
        <v>130</v>
      </c>
      <c r="N26" s="95">
        <f>광주전남!C25</f>
        <v>0</v>
      </c>
      <c r="O26" s="95">
        <f>강남!C25</f>
        <v>3203</v>
      </c>
      <c r="P26" s="96">
        <f t="shared" ref="P26" si="27">SUM(M26:O26)</f>
        <v>3333</v>
      </c>
      <c r="Q26" s="95">
        <f>중앙!C25</f>
        <v>0</v>
      </c>
      <c r="R26" s="95">
        <f>고양!C25</f>
        <v>0</v>
      </c>
      <c r="S26" s="95">
        <f>용인!C25</f>
        <v>0</v>
      </c>
      <c r="T26" s="95">
        <f>분당!C25</f>
        <v>0</v>
      </c>
      <c r="U26" s="95">
        <f>세종!C25</f>
        <v>0</v>
      </c>
      <c r="V26" s="95">
        <f>김해!C25</f>
        <v>0</v>
      </c>
      <c r="W26" s="95">
        <f>평택!C25</f>
        <v>0</v>
      </c>
      <c r="X26" s="96">
        <f t="shared" ref="X26" si="28">SUM(Q26:W26)</f>
        <v>0</v>
      </c>
      <c r="Y26" s="96">
        <f t="shared" ref="Y26" si="29">L26+P26+X26</f>
        <v>12593</v>
      </c>
    </row>
    <row r="28" spans="1:32"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</row>
    <row r="29" spans="1:32">
      <c r="C29" s="262"/>
      <c r="D29" s="262"/>
      <c r="E29" s="262"/>
      <c r="F29" s="262"/>
      <c r="G29" s="262"/>
      <c r="H29" s="262"/>
      <c r="I29" s="262"/>
      <c r="J29" s="262"/>
      <c r="K29" s="262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</row>
    <row r="30" spans="1:32">
      <c r="C30" s="262"/>
      <c r="D30" s="262"/>
      <c r="E30" s="262"/>
      <c r="F30" s="262"/>
      <c r="G30" s="262"/>
      <c r="H30" s="262"/>
      <c r="I30" s="262"/>
      <c r="J30" s="262"/>
      <c r="K30" s="109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</row>
    <row r="31" spans="1:32">
      <c r="B31" s="250" t="s">
        <v>33</v>
      </c>
      <c r="C31">
        <v>661</v>
      </c>
      <c r="D31">
        <v>367</v>
      </c>
      <c r="E31">
        <v>432</v>
      </c>
      <c r="F31">
        <v>44</v>
      </c>
      <c r="G31">
        <v>206</v>
      </c>
      <c r="H31">
        <v>267</v>
      </c>
      <c r="I31">
        <v>163</v>
      </c>
      <c r="J31">
        <v>3</v>
      </c>
      <c r="K31">
        <v>30</v>
      </c>
      <c r="L31">
        <v>2173</v>
      </c>
      <c r="M31">
        <v>224</v>
      </c>
      <c r="N31">
        <v>39</v>
      </c>
      <c r="O31">
        <v>161</v>
      </c>
      <c r="P31">
        <v>424</v>
      </c>
      <c r="Q31">
        <v>207</v>
      </c>
      <c r="R31">
        <v>106</v>
      </c>
      <c r="S31">
        <v>86</v>
      </c>
      <c r="T31" s="108">
        <v>40</v>
      </c>
      <c r="U31" s="108">
        <v>32</v>
      </c>
      <c r="V31" s="108">
        <v>150</v>
      </c>
      <c r="W31" s="108">
        <v>0</v>
      </c>
      <c r="X31" s="108"/>
      <c r="Y31" s="108"/>
      <c r="Z31" s="108"/>
      <c r="AA31" s="108"/>
      <c r="AB31" s="108"/>
      <c r="AC31" s="108"/>
      <c r="AD31" s="108"/>
      <c r="AE31" s="108"/>
      <c r="AF31" s="108"/>
    </row>
    <row r="32" spans="1:32">
      <c r="B32" s="250" t="s">
        <v>95</v>
      </c>
      <c r="C32">
        <v>6647</v>
      </c>
      <c r="D32">
        <v>1061</v>
      </c>
      <c r="E32">
        <v>3970</v>
      </c>
      <c r="F32">
        <v>1391</v>
      </c>
      <c r="G32">
        <v>706</v>
      </c>
      <c r="H32">
        <v>1477</v>
      </c>
      <c r="I32">
        <v>811</v>
      </c>
      <c r="J32">
        <v>2118</v>
      </c>
      <c r="K32">
        <v>1763</v>
      </c>
      <c r="L32">
        <v>19944</v>
      </c>
      <c r="M32">
        <v>872</v>
      </c>
      <c r="N32">
        <v>1213</v>
      </c>
      <c r="O32">
        <v>1829</v>
      </c>
      <c r="P32">
        <v>3914</v>
      </c>
      <c r="Q32">
        <v>1344</v>
      </c>
      <c r="R32">
        <v>635</v>
      </c>
      <c r="S32">
        <v>472</v>
      </c>
      <c r="T32" s="108">
        <v>611</v>
      </c>
      <c r="U32" s="108">
        <v>114</v>
      </c>
      <c r="V32" s="108">
        <v>308</v>
      </c>
      <c r="W32" s="108">
        <v>165</v>
      </c>
      <c r="X32" s="108"/>
      <c r="Y32" s="108"/>
      <c r="Z32" s="108"/>
      <c r="AA32" s="108"/>
      <c r="AB32" s="108"/>
      <c r="AC32" s="108"/>
      <c r="AD32" s="108"/>
      <c r="AE32" s="108"/>
      <c r="AF32" s="108"/>
    </row>
    <row r="33" spans="2:32">
      <c r="B33" s="250" t="s">
        <v>96</v>
      </c>
      <c r="C33">
        <v>7774</v>
      </c>
      <c r="D33">
        <v>5910</v>
      </c>
      <c r="E33">
        <v>5657</v>
      </c>
      <c r="F33">
        <v>2366</v>
      </c>
      <c r="G33">
        <v>2456</v>
      </c>
      <c r="H33">
        <v>1772</v>
      </c>
      <c r="I33">
        <v>2208</v>
      </c>
      <c r="J33">
        <v>3603</v>
      </c>
      <c r="K33">
        <v>3269</v>
      </c>
      <c r="L33">
        <v>35015</v>
      </c>
      <c r="M33">
        <v>703</v>
      </c>
      <c r="N33">
        <v>1748</v>
      </c>
      <c r="O33">
        <v>1227</v>
      </c>
      <c r="P33">
        <v>3678</v>
      </c>
      <c r="Q33">
        <v>1064</v>
      </c>
      <c r="R33">
        <v>699</v>
      </c>
      <c r="S33">
        <v>677</v>
      </c>
      <c r="T33" s="108">
        <v>604</v>
      </c>
      <c r="U33" s="108">
        <v>273</v>
      </c>
      <c r="V33" s="108">
        <v>40</v>
      </c>
      <c r="W33" s="108">
        <v>40</v>
      </c>
      <c r="X33" s="108"/>
      <c r="Y33" s="108"/>
      <c r="Z33" s="108"/>
      <c r="AA33" s="108"/>
      <c r="AB33" s="108"/>
      <c r="AC33" s="108"/>
      <c r="AD33" s="108"/>
      <c r="AE33" s="108"/>
      <c r="AF33" s="108"/>
    </row>
    <row r="34" spans="2:32">
      <c r="B34" s="250" t="s">
        <v>97</v>
      </c>
      <c r="C34">
        <v>4974</v>
      </c>
      <c r="D34">
        <v>372</v>
      </c>
      <c r="E34">
        <v>618</v>
      </c>
      <c r="F34">
        <v>175</v>
      </c>
      <c r="G34">
        <v>188</v>
      </c>
      <c r="H34">
        <v>159</v>
      </c>
      <c r="I34">
        <v>196</v>
      </c>
      <c r="J34">
        <v>266</v>
      </c>
      <c r="K34">
        <v>203</v>
      </c>
      <c r="L34">
        <v>7151</v>
      </c>
      <c r="M34">
        <v>150</v>
      </c>
      <c r="N34">
        <v>208</v>
      </c>
      <c r="O34">
        <v>587</v>
      </c>
      <c r="P34">
        <v>945</v>
      </c>
      <c r="Q34">
        <v>687</v>
      </c>
      <c r="R34">
        <v>538</v>
      </c>
      <c r="S34">
        <v>119</v>
      </c>
      <c r="T34">
        <v>84</v>
      </c>
      <c r="U34">
        <v>61</v>
      </c>
      <c r="V34">
        <v>53</v>
      </c>
      <c r="W34">
        <v>93</v>
      </c>
      <c r="X34" s="108"/>
      <c r="Y34" s="108"/>
      <c r="Z34" s="108"/>
      <c r="AA34" s="108"/>
      <c r="AB34" s="108"/>
      <c r="AC34" s="108"/>
      <c r="AD34" s="108"/>
      <c r="AE34" s="108"/>
      <c r="AF34" s="108"/>
    </row>
    <row r="35" spans="2:32">
      <c r="B35" s="250" t="s">
        <v>281</v>
      </c>
      <c r="C35">
        <v>2940</v>
      </c>
      <c r="D35">
        <v>1137</v>
      </c>
      <c r="E35">
        <v>1447</v>
      </c>
      <c r="F35">
        <v>1208</v>
      </c>
      <c r="G35">
        <v>454</v>
      </c>
      <c r="H35">
        <v>315</v>
      </c>
      <c r="I35">
        <v>775</v>
      </c>
      <c r="J35">
        <v>769</v>
      </c>
      <c r="K35">
        <v>310</v>
      </c>
      <c r="L35">
        <v>9355</v>
      </c>
      <c r="M35">
        <v>246</v>
      </c>
      <c r="N35">
        <v>712</v>
      </c>
      <c r="O35">
        <v>349</v>
      </c>
      <c r="P35">
        <v>1307</v>
      </c>
      <c r="Q35">
        <v>711</v>
      </c>
      <c r="R35">
        <v>1199</v>
      </c>
      <c r="S35">
        <v>219</v>
      </c>
      <c r="T35" s="108">
        <v>442</v>
      </c>
      <c r="U35" s="108">
        <v>282</v>
      </c>
      <c r="V35" s="108">
        <v>264</v>
      </c>
      <c r="W35" s="108">
        <v>28</v>
      </c>
      <c r="X35" s="108"/>
      <c r="Y35" s="108"/>
      <c r="Z35" s="108"/>
      <c r="AA35" s="108"/>
      <c r="AB35" s="108"/>
      <c r="AC35" s="108"/>
      <c r="AD35" s="108"/>
      <c r="AE35" s="108"/>
      <c r="AF35" s="108"/>
    </row>
    <row r="36" spans="2:32">
      <c r="B36" s="250" t="s">
        <v>279</v>
      </c>
      <c r="C36">
        <v>280</v>
      </c>
      <c r="D36">
        <v>216</v>
      </c>
      <c r="E36">
        <v>202</v>
      </c>
      <c r="F36">
        <v>83</v>
      </c>
      <c r="G36">
        <v>86</v>
      </c>
      <c r="H36">
        <v>62</v>
      </c>
      <c r="I36">
        <v>77</v>
      </c>
      <c r="J36">
        <v>128</v>
      </c>
      <c r="K36">
        <v>117</v>
      </c>
      <c r="L36">
        <v>1251</v>
      </c>
      <c r="M36">
        <v>25</v>
      </c>
      <c r="N36">
        <v>61</v>
      </c>
      <c r="O36">
        <v>43</v>
      </c>
      <c r="P36">
        <v>129</v>
      </c>
      <c r="Q36">
        <v>37</v>
      </c>
      <c r="R36">
        <v>25</v>
      </c>
      <c r="S36">
        <v>24</v>
      </c>
      <c r="T36" s="108">
        <v>21</v>
      </c>
      <c r="U36" s="108">
        <v>10</v>
      </c>
      <c r="V36" s="108">
        <v>1</v>
      </c>
      <c r="W36" s="108">
        <v>1</v>
      </c>
      <c r="X36" s="108"/>
      <c r="Y36" s="108"/>
      <c r="Z36" s="108"/>
      <c r="AA36" s="108"/>
      <c r="AB36" s="108"/>
      <c r="AC36" s="108"/>
      <c r="AD36" s="108"/>
      <c r="AE36" s="108"/>
      <c r="AF36" s="108"/>
    </row>
    <row r="37" spans="2:32">
      <c r="B37" s="250" t="s">
        <v>280</v>
      </c>
      <c r="C37" s="251">
        <v>37</v>
      </c>
      <c r="D37" s="251">
        <v>29</v>
      </c>
      <c r="E37" s="251">
        <v>27</v>
      </c>
      <c r="F37" s="251">
        <v>11</v>
      </c>
      <c r="G37" s="251">
        <v>11</v>
      </c>
      <c r="H37" s="251">
        <v>8</v>
      </c>
      <c r="I37" s="251">
        <v>10</v>
      </c>
      <c r="J37" s="251">
        <v>17</v>
      </c>
      <c r="K37" s="251">
        <v>16</v>
      </c>
      <c r="L37">
        <v>166</v>
      </c>
      <c r="M37">
        <v>3</v>
      </c>
      <c r="N37">
        <v>8</v>
      </c>
      <c r="O37">
        <v>6</v>
      </c>
      <c r="P37">
        <v>17</v>
      </c>
      <c r="Q37">
        <v>5</v>
      </c>
      <c r="R37">
        <v>3</v>
      </c>
      <c r="S37">
        <v>3</v>
      </c>
      <c r="T37" s="108">
        <v>3</v>
      </c>
      <c r="U37" s="108">
        <v>1</v>
      </c>
      <c r="V37" s="108">
        <v>0</v>
      </c>
      <c r="W37" s="108">
        <v>0</v>
      </c>
      <c r="X37" s="108"/>
      <c r="Y37" s="108"/>
      <c r="Z37" s="108"/>
      <c r="AA37" s="108"/>
      <c r="AB37" s="108"/>
      <c r="AC37" s="108"/>
      <c r="AD37" s="108"/>
      <c r="AE37" s="108"/>
      <c r="AF37" s="108"/>
    </row>
    <row r="38" spans="2:32"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</row>
    <row r="39" spans="2:32">
      <c r="B39" s="250" t="s">
        <v>99</v>
      </c>
      <c r="C39">
        <v>558</v>
      </c>
      <c r="D39">
        <v>369</v>
      </c>
      <c r="E39">
        <v>492</v>
      </c>
      <c r="F39">
        <v>196</v>
      </c>
      <c r="G39">
        <v>208</v>
      </c>
      <c r="H39">
        <v>227</v>
      </c>
      <c r="I39">
        <v>624</v>
      </c>
      <c r="J39">
        <v>422</v>
      </c>
      <c r="K39">
        <v>439</v>
      </c>
      <c r="L39">
        <v>3535</v>
      </c>
      <c r="M39">
        <v>101</v>
      </c>
      <c r="N39">
        <v>766</v>
      </c>
      <c r="O39">
        <v>237</v>
      </c>
      <c r="P39">
        <v>1104</v>
      </c>
      <c r="Q39">
        <v>238</v>
      </c>
      <c r="R39">
        <v>85</v>
      </c>
      <c r="S39">
        <v>163</v>
      </c>
      <c r="T39" s="108">
        <v>65</v>
      </c>
      <c r="U39" s="108">
        <v>78</v>
      </c>
      <c r="V39" s="108">
        <v>152</v>
      </c>
      <c r="W39" s="108">
        <v>41</v>
      </c>
      <c r="X39" s="108"/>
      <c r="Y39" s="108"/>
      <c r="Z39" s="108"/>
      <c r="AA39" s="108"/>
      <c r="AB39" s="108"/>
      <c r="AC39" s="108"/>
      <c r="AD39" s="108"/>
      <c r="AE39" s="108"/>
      <c r="AF39" s="108"/>
    </row>
    <row r="40" spans="2:32"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</row>
    <row r="41" spans="2:32">
      <c r="C41">
        <v>19</v>
      </c>
      <c r="D41">
        <v>22</v>
      </c>
      <c r="E41">
        <v>1</v>
      </c>
      <c r="F41">
        <v>28</v>
      </c>
      <c r="G41">
        <v>6</v>
      </c>
      <c r="H41">
        <v>0</v>
      </c>
      <c r="I41">
        <v>11</v>
      </c>
      <c r="J41">
        <v>1</v>
      </c>
      <c r="K41">
        <v>1</v>
      </c>
      <c r="L41">
        <v>89</v>
      </c>
      <c r="M41">
        <v>0</v>
      </c>
      <c r="N41">
        <v>0</v>
      </c>
      <c r="O41">
        <v>0</v>
      </c>
      <c r="P41">
        <v>0</v>
      </c>
      <c r="Q41">
        <v>0</v>
      </c>
      <c r="R41">
        <v>20</v>
      </c>
      <c r="S41">
        <v>0</v>
      </c>
      <c r="T41" s="108">
        <v>11</v>
      </c>
      <c r="U41" s="108">
        <v>0</v>
      </c>
      <c r="V41" s="108">
        <v>0</v>
      </c>
      <c r="W41" s="108">
        <v>0</v>
      </c>
      <c r="X41" s="108"/>
      <c r="Y41" s="108"/>
      <c r="Z41" s="108"/>
      <c r="AA41" s="108"/>
      <c r="AB41" s="108"/>
      <c r="AC41" s="108"/>
      <c r="AD41" s="108"/>
      <c r="AE41" s="108"/>
      <c r="AF41" s="108"/>
    </row>
    <row r="42" spans="2:32">
      <c r="C42">
        <v>0</v>
      </c>
      <c r="D42">
        <v>0</v>
      </c>
      <c r="E42">
        <v>50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50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 s="108">
        <v>0</v>
      </c>
      <c r="U42" s="108">
        <v>0</v>
      </c>
      <c r="V42" s="108">
        <v>0</v>
      </c>
      <c r="W42" s="108">
        <v>0</v>
      </c>
      <c r="X42" s="108"/>
      <c r="Y42" s="108"/>
      <c r="Z42" s="108"/>
      <c r="AA42" s="108"/>
      <c r="AB42" s="108"/>
      <c r="AC42" s="108"/>
      <c r="AD42" s="108"/>
      <c r="AE42" s="108"/>
      <c r="AF42" s="108"/>
    </row>
    <row r="43" spans="2:32">
      <c r="C43">
        <v>12336</v>
      </c>
      <c r="D43">
        <v>2162</v>
      </c>
      <c r="E43">
        <v>894</v>
      </c>
      <c r="F43">
        <v>1327</v>
      </c>
      <c r="G43">
        <v>0</v>
      </c>
      <c r="H43">
        <v>0</v>
      </c>
      <c r="I43">
        <v>0</v>
      </c>
      <c r="J43">
        <v>0</v>
      </c>
      <c r="K43">
        <v>0</v>
      </c>
      <c r="L43">
        <v>16719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 s="108">
        <v>0</v>
      </c>
      <c r="U43" s="108">
        <v>0</v>
      </c>
      <c r="V43" s="108">
        <v>0</v>
      </c>
      <c r="W43" s="108">
        <v>0</v>
      </c>
      <c r="X43" s="108"/>
      <c r="Y43" s="108"/>
      <c r="Z43" s="108"/>
      <c r="AA43" s="108"/>
      <c r="AB43" s="108"/>
      <c r="AC43" s="108"/>
      <c r="AD43" s="108"/>
      <c r="AE43" s="108"/>
      <c r="AF43" s="108"/>
    </row>
    <row r="44" spans="2:32">
      <c r="C44">
        <v>5696</v>
      </c>
      <c r="D44">
        <v>5727</v>
      </c>
      <c r="E44">
        <v>6420</v>
      </c>
      <c r="F44">
        <v>7345</v>
      </c>
      <c r="G44">
        <v>3678</v>
      </c>
      <c r="H44">
        <v>1196</v>
      </c>
      <c r="I44">
        <v>4141</v>
      </c>
      <c r="J44">
        <v>4729</v>
      </c>
      <c r="K44">
        <v>802</v>
      </c>
      <c r="L44">
        <v>39734</v>
      </c>
      <c r="M44">
        <v>960</v>
      </c>
      <c r="N44">
        <v>2701</v>
      </c>
      <c r="O44">
        <v>1351</v>
      </c>
      <c r="P44">
        <v>5012</v>
      </c>
      <c r="Q44">
        <v>3447</v>
      </c>
      <c r="R44">
        <v>4511</v>
      </c>
      <c r="S44">
        <v>1504</v>
      </c>
      <c r="T44" s="108">
        <v>2098</v>
      </c>
      <c r="U44" s="108">
        <v>128</v>
      </c>
      <c r="V44" s="108">
        <v>1</v>
      </c>
      <c r="W44" s="108">
        <v>6</v>
      </c>
      <c r="X44" s="108"/>
      <c r="Y44" s="108"/>
      <c r="Z44" s="108"/>
      <c r="AA44" s="108"/>
      <c r="AB44" s="108"/>
      <c r="AC44" s="108"/>
      <c r="AD44" s="108"/>
      <c r="AE44" s="108"/>
      <c r="AF44" s="108"/>
    </row>
    <row r="45" spans="2:32"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</row>
    <row r="46" spans="2:32">
      <c r="C46">
        <v>0</v>
      </c>
      <c r="D46">
        <v>0</v>
      </c>
      <c r="E46">
        <v>600</v>
      </c>
      <c r="F46">
        <v>0</v>
      </c>
      <c r="G46">
        <v>690</v>
      </c>
      <c r="H46">
        <v>0</v>
      </c>
      <c r="I46">
        <v>0</v>
      </c>
      <c r="J46">
        <v>0</v>
      </c>
      <c r="K46">
        <v>0</v>
      </c>
      <c r="L46">
        <v>1290</v>
      </c>
      <c r="M46">
        <v>0</v>
      </c>
      <c r="N46">
        <v>702</v>
      </c>
      <c r="O46">
        <v>400</v>
      </c>
      <c r="P46">
        <v>1102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2:32">
      <c r="C47">
        <v>158</v>
      </c>
      <c r="D47">
        <v>77</v>
      </c>
      <c r="E47">
        <v>413</v>
      </c>
      <c r="F47">
        <v>26</v>
      </c>
      <c r="G47">
        <v>4</v>
      </c>
      <c r="H47">
        <v>0</v>
      </c>
      <c r="I47">
        <v>452</v>
      </c>
      <c r="J47">
        <v>152</v>
      </c>
      <c r="K47">
        <v>127</v>
      </c>
      <c r="L47">
        <v>1409</v>
      </c>
      <c r="M47">
        <v>29</v>
      </c>
      <c r="N47">
        <v>0</v>
      </c>
      <c r="O47">
        <v>9</v>
      </c>
      <c r="P47">
        <v>38</v>
      </c>
      <c r="Q47">
        <v>0</v>
      </c>
      <c r="R47">
        <v>21</v>
      </c>
      <c r="S47">
        <v>10</v>
      </c>
      <c r="T47">
        <v>6</v>
      </c>
      <c r="U47">
        <v>0</v>
      </c>
      <c r="V47">
        <v>0</v>
      </c>
      <c r="W47">
        <v>0</v>
      </c>
    </row>
    <row r="48" spans="2:32">
      <c r="C48">
        <v>0</v>
      </c>
      <c r="D48">
        <v>0</v>
      </c>
      <c r="E48">
        <v>1304</v>
      </c>
      <c r="F48">
        <v>0</v>
      </c>
      <c r="G48">
        <v>500</v>
      </c>
      <c r="H48">
        <v>0</v>
      </c>
      <c r="I48">
        <v>0</v>
      </c>
      <c r="J48">
        <v>0</v>
      </c>
      <c r="K48">
        <v>0</v>
      </c>
      <c r="L48">
        <v>1804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3:25">
      <c r="C49">
        <v>2498</v>
      </c>
      <c r="D49">
        <v>536</v>
      </c>
      <c r="E49">
        <v>1939</v>
      </c>
      <c r="F49">
        <v>824</v>
      </c>
      <c r="G49">
        <v>535</v>
      </c>
      <c r="H49">
        <v>1519</v>
      </c>
      <c r="I49">
        <v>1467</v>
      </c>
      <c r="J49">
        <v>185</v>
      </c>
      <c r="K49">
        <v>627</v>
      </c>
      <c r="L49">
        <v>10130</v>
      </c>
      <c r="M49">
        <v>0</v>
      </c>
      <c r="N49">
        <v>345</v>
      </c>
      <c r="O49">
        <v>17</v>
      </c>
      <c r="P49">
        <v>362</v>
      </c>
      <c r="Q49">
        <v>29</v>
      </c>
      <c r="R49">
        <v>0</v>
      </c>
      <c r="S49">
        <v>0</v>
      </c>
      <c r="T49">
        <v>0</v>
      </c>
      <c r="U49">
        <v>135</v>
      </c>
      <c r="V49">
        <v>0</v>
      </c>
      <c r="W49">
        <v>0</v>
      </c>
    </row>
    <row r="50" spans="3:25">
      <c r="C50">
        <v>1</v>
      </c>
      <c r="D50">
        <v>71</v>
      </c>
      <c r="E50">
        <v>343</v>
      </c>
      <c r="F50">
        <v>398</v>
      </c>
      <c r="G50">
        <v>175</v>
      </c>
      <c r="H50">
        <v>160</v>
      </c>
      <c r="I50">
        <v>91</v>
      </c>
      <c r="J50">
        <v>42</v>
      </c>
      <c r="K50">
        <v>0</v>
      </c>
      <c r="L50">
        <v>1281</v>
      </c>
      <c r="M50">
        <v>0</v>
      </c>
      <c r="N50">
        <v>0</v>
      </c>
      <c r="O50">
        <v>0</v>
      </c>
      <c r="P50">
        <v>0</v>
      </c>
      <c r="Q50">
        <v>0</v>
      </c>
      <c r="R50">
        <v>10</v>
      </c>
      <c r="S50">
        <v>0</v>
      </c>
      <c r="T50">
        <v>0</v>
      </c>
      <c r="U50">
        <v>0</v>
      </c>
      <c r="V50">
        <v>0</v>
      </c>
      <c r="W50">
        <v>5</v>
      </c>
    </row>
    <row r="52" spans="3:25">
      <c r="Y52">
        <f>SUM(C52:X52)</f>
        <v>0</v>
      </c>
    </row>
    <row r="53" spans="3:25">
      <c r="C53">
        <v>3370</v>
      </c>
      <c r="D53">
        <v>0</v>
      </c>
      <c r="E53">
        <v>0</v>
      </c>
      <c r="F53">
        <v>0</v>
      </c>
      <c r="G53">
        <v>4194</v>
      </c>
      <c r="H53">
        <v>0</v>
      </c>
      <c r="I53">
        <v>0</v>
      </c>
      <c r="J53">
        <v>0</v>
      </c>
      <c r="K53">
        <v>1696</v>
      </c>
      <c r="L53">
        <v>9260</v>
      </c>
      <c r="M53">
        <v>130</v>
      </c>
      <c r="N53">
        <v>0</v>
      </c>
      <c r="O53">
        <v>3203</v>
      </c>
      <c r="P53">
        <v>3333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Y53">
        <f>SUM(C53:X53)</f>
        <v>25186</v>
      </c>
    </row>
  </sheetData>
  <mergeCells count="11">
    <mergeCell ref="A16:A18"/>
    <mergeCell ref="A3:B3"/>
    <mergeCell ref="A4:A11"/>
    <mergeCell ref="A13:B13"/>
    <mergeCell ref="A14:B14"/>
    <mergeCell ref="A15:B15"/>
    <mergeCell ref="C29:K29"/>
    <mergeCell ref="C30:J30"/>
    <mergeCell ref="A20:B20"/>
    <mergeCell ref="A21:A24"/>
    <mergeCell ref="A25:B25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2:AD56"/>
  <sheetViews>
    <sheetView zoomScale="85" zoomScaleNormal="85" workbookViewId="0">
      <pane xSplit="2" ySplit="3" topLeftCell="C4" activePane="bottomRight" state="frozen"/>
      <selection activeCell="C36" sqref="C36"/>
      <selection pane="topRight" activeCell="C36" sqref="C36"/>
      <selection pane="bottomLeft" activeCell="C36" sqref="C36"/>
      <selection pane="bottomRight" activeCell="Y26" sqref="Y26"/>
    </sheetView>
  </sheetViews>
  <sheetFormatPr defaultRowHeight="16.899999999999999"/>
  <cols>
    <col min="1" max="1" width="17.375" customWidth="1"/>
    <col min="2" max="2" width="19.25" bestFit="1" customWidth="1"/>
    <col min="3" max="3" width="10.875" customWidth="1"/>
    <col min="4" max="5" width="9.375" bestFit="1" customWidth="1"/>
    <col min="6" max="9" width="9.125" bestFit="1" customWidth="1"/>
    <col min="10" max="10" width="9.375" bestFit="1" customWidth="1"/>
    <col min="11" max="11" width="9.125" bestFit="1" customWidth="1"/>
    <col min="12" max="12" width="9.375" bestFit="1" customWidth="1"/>
    <col min="13" max="15" width="9.125" bestFit="1" customWidth="1"/>
    <col min="16" max="16" width="9.375" bestFit="1" customWidth="1"/>
    <col min="17" max="23" width="9.125" bestFit="1" customWidth="1"/>
    <col min="24" max="24" width="9.375" bestFit="1" customWidth="1"/>
    <col min="25" max="25" width="14.125" bestFit="1" customWidth="1"/>
  </cols>
  <sheetData>
    <row r="2" spans="1:25">
      <c r="Y2" t="s">
        <v>77</v>
      </c>
    </row>
    <row r="3" spans="1:25">
      <c r="A3" s="264" t="s">
        <v>215</v>
      </c>
      <c r="B3" s="264"/>
      <c r="C3" s="88" t="s">
        <v>0</v>
      </c>
      <c r="D3" s="88" t="s">
        <v>18</v>
      </c>
      <c r="E3" s="88" t="s">
        <v>19</v>
      </c>
      <c r="F3" s="88" t="s">
        <v>3</v>
      </c>
      <c r="G3" s="88" t="s">
        <v>5</v>
      </c>
      <c r="H3" s="88" t="s">
        <v>20</v>
      </c>
      <c r="I3" s="88" t="s">
        <v>7</v>
      </c>
      <c r="J3" s="88" t="s">
        <v>22</v>
      </c>
      <c r="K3" s="88" t="s">
        <v>23</v>
      </c>
      <c r="L3" s="88" t="s">
        <v>85</v>
      </c>
      <c r="M3" s="88" t="s">
        <v>21</v>
      </c>
      <c r="N3" s="88" t="s">
        <v>24</v>
      </c>
      <c r="O3" s="88" t="s">
        <v>25</v>
      </c>
      <c r="P3" s="88" t="s">
        <v>85</v>
      </c>
      <c r="Q3" s="88" t="s">
        <v>26</v>
      </c>
      <c r="R3" s="88" t="s">
        <v>27</v>
      </c>
      <c r="S3" s="88" t="s">
        <v>28</v>
      </c>
      <c r="T3" s="88" t="s">
        <v>29</v>
      </c>
      <c r="U3" s="88" t="s">
        <v>30</v>
      </c>
      <c r="V3" s="88" t="s">
        <v>31</v>
      </c>
      <c r="W3" s="88" t="s">
        <v>32</v>
      </c>
      <c r="X3" s="88" t="s">
        <v>17</v>
      </c>
      <c r="Y3" s="88" t="s">
        <v>41</v>
      </c>
    </row>
    <row r="4" spans="1:25">
      <c r="A4" s="265" t="s">
        <v>93</v>
      </c>
      <c r="B4" s="89" t="s">
        <v>33</v>
      </c>
      <c r="C4" s="90">
        <f>동탄!D6</f>
        <v>965.26499999999987</v>
      </c>
      <c r="D4" s="90">
        <f>화성!D6</f>
        <v>372.50499999999994</v>
      </c>
      <c r="E4" s="90">
        <f>파주!D6</f>
        <v>803.87999999999988</v>
      </c>
      <c r="F4" s="90">
        <f>광교!D6</f>
        <v>44.66</v>
      </c>
      <c r="G4" s="90">
        <f>판교!D6</f>
        <v>310.58999999999997</v>
      </c>
      <c r="H4" s="90">
        <f>삼송!D6</f>
        <v>291.30499999999995</v>
      </c>
      <c r="I4" s="90">
        <f>양산!D6</f>
        <v>165.44499999999999</v>
      </c>
      <c r="J4" s="90">
        <f>대구!D6</f>
        <v>3.0449999999999999</v>
      </c>
      <c r="K4" s="90">
        <f>청주!D6</f>
        <v>30.449999999999996</v>
      </c>
      <c r="L4" s="91">
        <f>SUM(C4:K4)</f>
        <v>2987.1449999999995</v>
      </c>
      <c r="M4" s="90">
        <f>수원!D6</f>
        <v>227.35999999999999</v>
      </c>
      <c r="N4" s="90">
        <f>광주전남!D6</f>
        <v>242.58499999999998</v>
      </c>
      <c r="O4" s="90">
        <f>강남!D6</f>
        <v>163.41499999999999</v>
      </c>
      <c r="P4" s="91">
        <f t="shared" ref="P4:P24" si="0">SUM(M4:O4)</f>
        <v>633.3599999999999</v>
      </c>
      <c r="Q4" s="90">
        <f>중앙!D6</f>
        <v>210.10499999999999</v>
      </c>
      <c r="R4" s="90">
        <f>고양!D6</f>
        <v>107.58999999999999</v>
      </c>
      <c r="S4" s="90">
        <f>용인!D6</f>
        <v>87.289999999999992</v>
      </c>
      <c r="T4" s="90">
        <f>분당!D6</f>
        <v>40.599999999999994</v>
      </c>
      <c r="U4" s="90">
        <f>세종!D6</f>
        <v>32.479999999999997</v>
      </c>
      <c r="V4" s="90">
        <f>김해!D6</f>
        <v>152.24999999999997</v>
      </c>
      <c r="W4" s="90">
        <f>평택!D6</f>
        <v>0</v>
      </c>
      <c r="X4" s="91">
        <f t="shared" ref="X4:X24" si="1">SUM(Q4:W4)</f>
        <v>630.31500000000005</v>
      </c>
      <c r="Y4" s="92">
        <f>L4+P4+X4</f>
        <v>4250.82</v>
      </c>
    </row>
    <row r="5" spans="1:25">
      <c r="A5" s="265"/>
      <c r="B5" s="89" t="s">
        <v>95</v>
      </c>
      <c r="C5" s="90">
        <f>동탄!D7</f>
        <v>3355.5819053749988</v>
      </c>
      <c r="D5" s="90">
        <f>화성!D7</f>
        <v>3898.1252359555106</v>
      </c>
      <c r="E5" s="90">
        <f>파주!D7</f>
        <v>2118.4816470474989</v>
      </c>
      <c r="F5" s="90">
        <f>광교!D7</f>
        <v>965.84083106874948</v>
      </c>
      <c r="G5" s="90">
        <f>판교!D7</f>
        <v>864.77601612499973</v>
      </c>
      <c r="H5" s="90">
        <f>삼송!D7</f>
        <v>640.79994999999985</v>
      </c>
      <c r="I5" s="90">
        <f>양산!D7</f>
        <v>1733.3499622499583</v>
      </c>
      <c r="J5" s="90">
        <f>대구!D7</f>
        <v>2506.6448175507435</v>
      </c>
      <c r="K5" s="90">
        <f>청주!D7</f>
        <v>1108.5220999999997</v>
      </c>
      <c r="L5" s="91">
        <f t="shared" ref="L5:L13" si="2">SUM(C5:K5)</f>
        <v>17192.122465372457</v>
      </c>
      <c r="M5" s="90">
        <f>수원!D7</f>
        <v>885.07999999999993</v>
      </c>
      <c r="N5" s="90">
        <f>광주전남!D7</f>
        <v>1231.1949999999999</v>
      </c>
      <c r="O5" s="90">
        <f>강남!D7</f>
        <v>1856.4349999999997</v>
      </c>
      <c r="P5" s="91">
        <f t="shared" si="0"/>
        <v>3972.7099999999991</v>
      </c>
      <c r="Q5" s="90">
        <f>중앙!D7</f>
        <v>1364.1599999999999</v>
      </c>
      <c r="R5" s="90">
        <f>고양!D7</f>
        <v>644.52499999999998</v>
      </c>
      <c r="S5" s="90">
        <f>용인!D7</f>
        <v>479.07999999999993</v>
      </c>
      <c r="T5" s="90">
        <f>분당!D7</f>
        <v>620.16499999999996</v>
      </c>
      <c r="U5" s="90">
        <f>세종!D7</f>
        <v>115.71</v>
      </c>
      <c r="V5" s="90">
        <f>김해!D7</f>
        <v>312.61999999999995</v>
      </c>
      <c r="W5" s="90">
        <f>평택!D7</f>
        <v>167.47499999999999</v>
      </c>
      <c r="X5" s="91">
        <f t="shared" si="1"/>
        <v>3703.7349999999997</v>
      </c>
      <c r="Y5" s="91">
        <f t="shared" ref="Y5:Y24" si="3">L5+P5+X5</f>
        <v>24868.567465372456</v>
      </c>
    </row>
    <row r="6" spans="1:25">
      <c r="A6" s="265"/>
      <c r="B6" s="89" t="s">
        <v>96</v>
      </c>
      <c r="C6" s="90">
        <f>동탄!D8</f>
        <v>8215.0141499999972</v>
      </c>
      <c r="D6" s="90">
        <f>화성!D8</f>
        <v>6346.1859999999979</v>
      </c>
      <c r="E6" s="90">
        <f>파주!D8</f>
        <v>5931.0053249999983</v>
      </c>
      <c r="F6" s="90">
        <f>광교!D8</f>
        <v>2437.5123499999995</v>
      </c>
      <c r="G6" s="90">
        <f>판교!D8</f>
        <v>2530.2325999999994</v>
      </c>
      <c r="H6" s="90">
        <f>삼송!D8</f>
        <v>1825.5586999999996</v>
      </c>
      <c r="I6" s="90">
        <f>양산!D8</f>
        <v>2274.7367999999992</v>
      </c>
      <c r="J6" s="90">
        <f>대구!D8</f>
        <v>3763.411924999999</v>
      </c>
      <c r="K6" s="90">
        <f>청주!D8</f>
        <v>3419.3167749999989</v>
      </c>
      <c r="L6" s="91">
        <f>SUM(C6:K6)</f>
        <v>36742.974624999995</v>
      </c>
      <c r="M6" s="90">
        <f>수원!D8</f>
        <v>724.24817499999983</v>
      </c>
      <c r="N6" s="90">
        <f>광주전남!D8</f>
        <v>1800.8332999999996</v>
      </c>
      <c r="O6" s="90">
        <f>강남!D8</f>
        <v>1264.0860749999997</v>
      </c>
      <c r="P6" s="91">
        <f t="shared" si="0"/>
        <v>3789.1675499999992</v>
      </c>
      <c r="Q6" s="90">
        <f>중앙!D8</f>
        <v>1096.1593999999998</v>
      </c>
      <c r="R6" s="90">
        <f>고양!D8</f>
        <v>720.12727499999983</v>
      </c>
      <c r="S6" s="90">
        <f>용인!D8</f>
        <v>697.46232499999985</v>
      </c>
      <c r="T6" s="90">
        <f>분당!D8</f>
        <v>622.25589999999988</v>
      </c>
      <c r="U6" s="90">
        <f>세종!D8</f>
        <v>281.25142499999993</v>
      </c>
      <c r="V6" s="90">
        <f>김해!D8</f>
        <v>41.208999999999989</v>
      </c>
      <c r="W6" s="90">
        <f>평택!D8</f>
        <v>41.208999999999989</v>
      </c>
      <c r="X6" s="91">
        <f t="shared" si="1"/>
        <v>3499.6743249999986</v>
      </c>
      <c r="Y6" s="91">
        <f t="shared" si="3"/>
        <v>44031.816499999994</v>
      </c>
    </row>
    <row r="7" spans="1:25">
      <c r="A7" s="265"/>
      <c r="B7" s="89" t="s">
        <v>97</v>
      </c>
      <c r="C7" s="90">
        <f>동탄!D9</f>
        <v>5254.0747651618731</v>
      </c>
      <c r="D7" s="90">
        <f>화성!D9</f>
        <v>377.58</v>
      </c>
      <c r="E7" s="90">
        <f>파주!D9</f>
        <v>656.70499999999993</v>
      </c>
      <c r="F7" s="90">
        <f>광교!D9</f>
        <v>990.81999999999994</v>
      </c>
      <c r="G7" s="90">
        <f>판교!D9</f>
        <v>190.82</v>
      </c>
      <c r="H7" s="90">
        <f>삼송!D9</f>
        <v>161.38499999999999</v>
      </c>
      <c r="I7" s="90">
        <f>양산!D9</f>
        <v>236.49499999999998</v>
      </c>
      <c r="J7" s="90">
        <f>대구!D9</f>
        <v>269.98999999999995</v>
      </c>
      <c r="K7" s="90">
        <f>청주!D9</f>
        <v>206.04499999999999</v>
      </c>
      <c r="L7" s="91">
        <f t="shared" si="2"/>
        <v>8343.9147651618714</v>
      </c>
      <c r="M7" s="90">
        <f>수원!D9</f>
        <v>152.24999999999997</v>
      </c>
      <c r="N7" s="90">
        <f>광주전남!D9</f>
        <v>211.11999999999998</v>
      </c>
      <c r="O7" s="90">
        <f>강남!D9</f>
        <v>595.80499999999995</v>
      </c>
      <c r="P7" s="91">
        <f t="shared" si="0"/>
        <v>959.17499999999995</v>
      </c>
      <c r="Q7" s="90">
        <f>중앙!D9</f>
        <v>697.30499999999995</v>
      </c>
      <c r="R7" s="90">
        <f>고양!D9</f>
        <v>546.06999999999994</v>
      </c>
      <c r="S7" s="90">
        <f>용인!D9</f>
        <v>120.78499999999998</v>
      </c>
      <c r="T7" s="90">
        <f>분당!D9</f>
        <v>85.259999999999991</v>
      </c>
      <c r="U7" s="90">
        <f>세종!D9</f>
        <v>61.914999999999992</v>
      </c>
      <c r="V7" s="90">
        <f>김해!D9</f>
        <v>53.794999999999995</v>
      </c>
      <c r="W7" s="90">
        <f>평택!D9</f>
        <v>94.394999999999996</v>
      </c>
      <c r="X7" s="91">
        <f t="shared" si="1"/>
        <v>1659.5250000000001</v>
      </c>
      <c r="Y7" s="91">
        <f t="shared" si="3"/>
        <v>10962.61476516187</v>
      </c>
    </row>
    <row r="8" spans="1:25">
      <c r="A8" s="265"/>
      <c r="B8" s="89" t="s">
        <v>281</v>
      </c>
      <c r="C8" s="90">
        <f>동탄!D10</f>
        <v>2343.6967118749994</v>
      </c>
      <c r="D8" s="90">
        <f>화성!D10</f>
        <v>1242.3599999999999</v>
      </c>
      <c r="E8" s="90">
        <f>파주!D10</f>
        <v>729.15675927937457</v>
      </c>
      <c r="F8" s="90">
        <f>광교!D10</f>
        <v>1260.6299999999999</v>
      </c>
      <c r="G8" s="90">
        <f>판교!D10</f>
        <v>476.03499999999997</v>
      </c>
      <c r="H8" s="90">
        <f>삼송!D10</f>
        <v>397.87999999999994</v>
      </c>
      <c r="I8" s="90">
        <f>양산!D10</f>
        <v>908.42499999999995</v>
      </c>
      <c r="J8" s="90">
        <f>대구!D10</f>
        <v>783.57999999999993</v>
      </c>
      <c r="K8" s="90">
        <f>청주!D10</f>
        <v>377.58</v>
      </c>
      <c r="L8" s="91">
        <f t="shared" si="2"/>
        <v>8519.3434711543741</v>
      </c>
      <c r="M8" s="90">
        <f>수원!D10</f>
        <v>294.34999999999997</v>
      </c>
      <c r="N8" s="90">
        <f>광주전남!D10</f>
        <v>722.68</v>
      </c>
      <c r="O8" s="90">
        <f>강남!D10</f>
        <v>646.55499999999995</v>
      </c>
      <c r="P8" s="91">
        <f t="shared" si="0"/>
        <v>1663.585</v>
      </c>
      <c r="Q8" s="90">
        <f>중앙!D10</f>
        <v>1067.78</v>
      </c>
      <c r="R8" s="90">
        <f>고양!D10</f>
        <v>1266.7199999999998</v>
      </c>
      <c r="S8" s="90">
        <f>용인!D10</f>
        <v>226.34499999999997</v>
      </c>
      <c r="T8" s="90">
        <f>분당!D10</f>
        <v>450.65999999999997</v>
      </c>
      <c r="U8" s="90">
        <f>세종!D10</f>
        <v>340.02499999999998</v>
      </c>
      <c r="V8" s="90">
        <f>김해!D10</f>
        <v>267.95999999999998</v>
      </c>
      <c r="W8" s="90">
        <f>평택!D10</f>
        <v>28.419999999999998</v>
      </c>
      <c r="X8" s="91">
        <f t="shared" si="1"/>
        <v>3647.91</v>
      </c>
      <c r="Y8" s="91">
        <f t="shared" si="3"/>
        <v>13830.838471154373</v>
      </c>
    </row>
    <row r="9" spans="1:25">
      <c r="A9" s="265"/>
      <c r="B9" s="220" t="s">
        <v>279</v>
      </c>
      <c r="C9" s="90">
        <f>동탄!D11</f>
        <v>754.14499999999998</v>
      </c>
      <c r="D9" s="90">
        <f>화성!D11</f>
        <v>582.6099999999999</v>
      </c>
      <c r="E9" s="90">
        <f>파주!D11</f>
        <v>544.04</v>
      </c>
      <c r="F9" s="90">
        <f>광교!D11</f>
        <v>223.29999999999998</v>
      </c>
      <c r="G9" s="90">
        <f>판교!D11</f>
        <v>232.43499999999997</v>
      </c>
      <c r="H9" s="90">
        <f>삼송!D11</f>
        <v>50.749999999999993</v>
      </c>
      <c r="I9" s="90">
        <f>양산!D11</f>
        <v>208.07499999999999</v>
      </c>
      <c r="J9" s="90">
        <f>대구!D11</f>
        <v>345.09999999999997</v>
      </c>
      <c r="K9" s="90">
        <f>청주!D11</f>
        <v>313.63499999999999</v>
      </c>
      <c r="L9" s="91">
        <f t="shared" si="2"/>
        <v>3254.0899999999992</v>
      </c>
      <c r="M9" s="90">
        <f>수원!D11</f>
        <v>63.944999999999993</v>
      </c>
      <c r="N9" s="90">
        <f>광주전남!D11</f>
        <v>159.35499999999999</v>
      </c>
      <c r="O9" s="90">
        <f>강남!D11</f>
        <v>111.64999999999999</v>
      </c>
      <c r="P9" s="91">
        <f t="shared" si="0"/>
        <v>334.95</v>
      </c>
      <c r="Q9" s="90">
        <f>중앙!D11</f>
        <v>97.44</v>
      </c>
      <c r="R9" s="90">
        <f>고양!D11</f>
        <v>63.944999999999993</v>
      </c>
      <c r="S9" s="90">
        <f>용인!D11</f>
        <v>61.914999999999992</v>
      </c>
      <c r="T9" s="90">
        <f>분당!D11</f>
        <v>54.809999999999995</v>
      </c>
      <c r="U9" s="90">
        <f>세종!D11</f>
        <v>25.374999999999996</v>
      </c>
      <c r="V9" s="90">
        <f>김해!D11</f>
        <v>4.0599999999999996</v>
      </c>
      <c r="W9" s="90">
        <f>평택!D11</f>
        <v>4.0599999999999996</v>
      </c>
      <c r="X9" s="91">
        <f t="shared" si="1"/>
        <v>311.60499999999996</v>
      </c>
      <c r="Y9" s="91">
        <f t="shared" si="3"/>
        <v>3900.6449999999991</v>
      </c>
    </row>
    <row r="10" spans="1:25">
      <c r="A10" s="265"/>
      <c r="B10" s="220" t="s">
        <v>280</v>
      </c>
      <c r="C10" s="90">
        <f>동탄!D12</f>
        <v>84.24499999999999</v>
      </c>
      <c r="D10" s="90">
        <f>화성!D12</f>
        <v>64.959999999999994</v>
      </c>
      <c r="E10" s="90">
        <f>파주!D12</f>
        <v>60.899999999999991</v>
      </c>
      <c r="F10" s="90">
        <f>광교!D12</f>
        <v>24.36</v>
      </c>
      <c r="G10" s="90">
        <f>판교!D12</f>
        <v>25.374999999999996</v>
      </c>
      <c r="H10" s="90">
        <f>삼송!D12</f>
        <v>6.09</v>
      </c>
      <c r="I10" s="90">
        <f>양산!D12</f>
        <v>23.344999999999999</v>
      </c>
      <c r="J10" s="90">
        <f>대구!D12</f>
        <v>38.569999999999993</v>
      </c>
      <c r="K10" s="90">
        <f>청주!D12</f>
        <v>34.51</v>
      </c>
      <c r="L10" s="91">
        <f t="shared" ref="L10" si="4">SUM(C10:K10)</f>
        <v>362.35499999999996</v>
      </c>
      <c r="M10" s="90">
        <f>수원!D12</f>
        <v>7.1049999999999995</v>
      </c>
      <c r="N10" s="90">
        <f>광주전남!D12</f>
        <v>17.254999999999999</v>
      </c>
      <c r="O10" s="90">
        <f>강남!D12</f>
        <v>12.18</v>
      </c>
      <c r="P10" s="91">
        <f t="shared" ref="P10" si="5">SUM(M10:O10)</f>
        <v>36.54</v>
      </c>
      <c r="Q10" s="90">
        <f>중앙!D12</f>
        <v>11.164999999999999</v>
      </c>
      <c r="R10" s="90">
        <f>고양!D12</f>
        <v>7.1049999999999995</v>
      </c>
      <c r="S10" s="90">
        <f>용인!D12</f>
        <v>7.1049999999999995</v>
      </c>
      <c r="T10" s="90">
        <f>분당!D12</f>
        <v>6.09</v>
      </c>
      <c r="U10" s="90">
        <f>세종!D12</f>
        <v>3.0449999999999999</v>
      </c>
      <c r="V10" s="90">
        <f>김해!D12</f>
        <v>1.0149999999999999</v>
      </c>
      <c r="W10" s="90">
        <f>평택!D12</f>
        <v>1.0149999999999999</v>
      </c>
      <c r="X10" s="91">
        <f t="shared" ref="X10" si="6">SUM(Q10:W10)</f>
        <v>36.54</v>
      </c>
      <c r="Y10" s="91">
        <f t="shared" ref="Y10" si="7">L10+P10+X10</f>
        <v>435.435</v>
      </c>
    </row>
    <row r="11" spans="1:25">
      <c r="A11" s="265"/>
      <c r="B11" s="93" t="s">
        <v>35</v>
      </c>
      <c r="C11" s="94">
        <f>SUM(C4:C10)</f>
        <v>20972.022532411869</v>
      </c>
      <c r="D11" s="94">
        <f t="shared" ref="D11:M11" si="8">SUM(D4:D10)</f>
        <v>12884.326235955508</v>
      </c>
      <c r="E11" s="94">
        <f t="shared" si="8"/>
        <v>10844.168731326872</v>
      </c>
      <c r="F11" s="94">
        <f t="shared" si="8"/>
        <v>5947.1231810687486</v>
      </c>
      <c r="G11" s="94">
        <f t="shared" si="8"/>
        <v>4630.2636161250002</v>
      </c>
      <c r="H11" s="94">
        <f t="shared" si="8"/>
        <v>3373.76865</v>
      </c>
      <c r="I11" s="94">
        <f t="shared" si="8"/>
        <v>5549.8717622499571</v>
      </c>
      <c r="J11" s="94">
        <f t="shared" si="8"/>
        <v>7710.3417425507423</v>
      </c>
      <c r="K11" s="94">
        <f t="shared" si="8"/>
        <v>5490.0588749999988</v>
      </c>
      <c r="L11" s="94">
        <f>SUM(C11:K11)</f>
        <v>77401.945326688685</v>
      </c>
      <c r="M11" s="94">
        <f t="shared" si="8"/>
        <v>2354.3381749999999</v>
      </c>
      <c r="N11" s="94">
        <f t="shared" ref="N11" si="9">SUM(N4:N10)</f>
        <v>4385.0232999999989</v>
      </c>
      <c r="O11" s="94">
        <f t="shared" ref="O11" si="10">SUM(O4:O10)</f>
        <v>4650.1260749999992</v>
      </c>
      <c r="P11" s="94">
        <f t="shared" si="0"/>
        <v>11389.487549999998</v>
      </c>
      <c r="Q11" s="94">
        <f t="shared" ref="Q11" si="11">SUM(Q4:Q10)</f>
        <v>4544.1143999999995</v>
      </c>
      <c r="R11" s="94">
        <f t="shared" ref="R11" si="12">SUM(R4:R10)</f>
        <v>3356.0822749999998</v>
      </c>
      <c r="S11" s="94">
        <f t="shared" ref="S11" si="13">SUM(S4:S10)</f>
        <v>1679.9823249999999</v>
      </c>
      <c r="T11" s="94">
        <f t="shared" ref="T11" si="14">SUM(T4:T10)</f>
        <v>1879.8408999999999</v>
      </c>
      <c r="U11" s="94">
        <f t="shared" ref="U11" si="15">SUM(U4:U10)</f>
        <v>859.80142499999988</v>
      </c>
      <c r="V11" s="94">
        <f t="shared" ref="V11" si="16">SUM(V4:V10)</f>
        <v>832.90899999999976</v>
      </c>
      <c r="W11" s="94">
        <f t="shared" ref="W11" si="17">SUM(W4:W10)</f>
        <v>336.57399999999996</v>
      </c>
      <c r="X11" s="94">
        <f t="shared" si="1"/>
        <v>13489.304324999999</v>
      </c>
      <c r="Y11" s="94">
        <f t="shared" si="3"/>
        <v>102280.73720168869</v>
      </c>
    </row>
    <row r="12" spans="1:25">
      <c r="A12" s="89" t="s">
        <v>98</v>
      </c>
      <c r="B12" s="89" t="s">
        <v>99</v>
      </c>
      <c r="C12" s="95">
        <f>동탄!D13</f>
        <v>445.77269126249973</v>
      </c>
      <c r="D12" s="95">
        <f>화성!D13</f>
        <v>374.53499999999997</v>
      </c>
      <c r="E12" s="95">
        <f>파주!D13</f>
        <v>569.41499999999996</v>
      </c>
      <c r="F12" s="95">
        <f>광교!D13</f>
        <v>237.51</v>
      </c>
      <c r="G12" s="95">
        <f>판교!D13</f>
        <v>217.20999999999998</v>
      </c>
      <c r="H12" s="95">
        <f>삼송!D13</f>
        <v>232.43499999999997</v>
      </c>
      <c r="I12" s="95">
        <f>양산!D13</f>
        <v>677.00499999999988</v>
      </c>
      <c r="J12" s="95">
        <f>대구!D13</f>
        <v>428.33</v>
      </c>
      <c r="K12" s="95">
        <f>청주!D13</f>
        <v>445.58499999999998</v>
      </c>
      <c r="L12" s="92">
        <f>SUM(C12:K12)</f>
        <v>3627.7976912624999</v>
      </c>
      <c r="M12" s="95">
        <f>수원!D13</f>
        <v>106.57499999999999</v>
      </c>
      <c r="N12" s="95">
        <f>광주전남!D13</f>
        <v>788.65499999999997</v>
      </c>
      <c r="O12" s="95">
        <f>강남!D13</f>
        <v>240.55499999999998</v>
      </c>
      <c r="P12" s="92">
        <f t="shared" si="0"/>
        <v>1135.7850000000001</v>
      </c>
      <c r="Q12" s="95">
        <f>중앙!D13</f>
        <v>241.56999999999996</v>
      </c>
      <c r="R12" s="95">
        <f>고양!D13</f>
        <v>101.49999999999999</v>
      </c>
      <c r="S12" s="95">
        <f>용인!D13</f>
        <v>193.86499999999998</v>
      </c>
      <c r="T12" s="95">
        <f>분당!D13</f>
        <v>65.974999999999994</v>
      </c>
      <c r="U12" s="95">
        <f>세종!D13</f>
        <v>79.169999999999987</v>
      </c>
      <c r="V12" s="95">
        <f>김해!D13</f>
        <v>162.39999999999998</v>
      </c>
      <c r="W12" s="95">
        <f>평택!D13</f>
        <v>51.764999999999993</v>
      </c>
      <c r="X12" s="92">
        <f t="shared" si="1"/>
        <v>896.24499999999989</v>
      </c>
      <c r="Y12" s="92">
        <f t="shared" si="3"/>
        <v>5659.8276912624997</v>
      </c>
    </row>
    <row r="13" spans="1:25">
      <c r="A13" s="255" t="s">
        <v>110</v>
      </c>
      <c r="B13" s="255"/>
      <c r="C13" s="58">
        <f t="shared" ref="C13:H13" si="18">C12+C11</f>
        <v>21417.795223674369</v>
      </c>
      <c r="D13" s="58">
        <f t="shared" si="18"/>
        <v>13258.861235955508</v>
      </c>
      <c r="E13" s="58">
        <f t="shared" si="18"/>
        <v>11413.583731326871</v>
      </c>
      <c r="F13" s="58">
        <f t="shared" si="18"/>
        <v>6184.6331810687489</v>
      </c>
      <c r="G13" s="58">
        <f t="shared" si="18"/>
        <v>4847.4736161250003</v>
      </c>
      <c r="H13" s="58">
        <f t="shared" si="18"/>
        <v>3606.2036499999999</v>
      </c>
      <c r="I13" s="58">
        <f>I12+I11</f>
        <v>6226.8767622499572</v>
      </c>
      <c r="J13" s="58">
        <f>J12+J11</f>
        <v>8138.6717425507422</v>
      </c>
      <c r="K13" s="58">
        <f>K12+K11</f>
        <v>5935.6438749999988</v>
      </c>
      <c r="L13" s="58">
        <f t="shared" si="2"/>
        <v>81029.743017951187</v>
      </c>
      <c r="M13" s="58">
        <f>M12+M11</f>
        <v>2460.9131749999997</v>
      </c>
      <c r="N13" s="58">
        <f>N12+N11</f>
        <v>5173.6782999999987</v>
      </c>
      <c r="O13" s="58">
        <f>O12+O11</f>
        <v>4890.6810749999995</v>
      </c>
      <c r="P13" s="58">
        <f t="shared" si="0"/>
        <v>12525.272549999998</v>
      </c>
      <c r="Q13" s="58">
        <f t="shared" ref="Q13:W13" si="19">Q12+Q11</f>
        <v>4785.6843999999992</v>
      </c>
      <c r="R13" s="58">
        <f t="shared" si="19"/>
        <v>3457.5822749999998</v>
      </c>
      <c r="S13" s="58">
        <f t="shared" si="19"/>
        <v>1873.847325</v>
      </c>
      <c r="T13" s="58">
        <f t="shared" si="19"/>
        <v>1945.8158999999998</v>
      </c>
      <c r="U13" s="58">
        <f t="shared" si="19"/>
        <v>938.97142499999984</v>
      </c>
      <c r="V13" s="58">
        <f t="shared" si="19"/>
        <v>995.30899999999974</v>
      </c>
      <c r="W13" s="58">
        <f t="shared" si="19"/>
        <v>388.33899999999994</v>
      </c>
      <c r="X13" s="58">
        <f t="shared" si="1"/>
        <v>14385.549324999998</v>
      </c>
      <c r="Y13" s="58">
        <f>L13+P13+X13</f>
        <v>107940.56489295118</v>
      </c>
    </row>
    <row r="14" spans="1:25">
      <c r="A14" s="263" t="s">
        <v>65</v>
      </c>
      <c r="B14" s="263"/>
      <c r="C14" s="95">
        <f>동탄!D15</f>
        <v>19</v>
      </c>
      <c r="D14" s="95">
        <f>화성!D15</f>
        <v>0</v>
      </c>
      <c r="E14" s="95">
        <f>파주!D15</f>
        <v>0</v>
      </c>
      <c r="F14" s="95">
        <f>광교!D15</f>
        <v>28</v>
      </c>
      <c r="G14" s="95">
        <f>판교!D15</f>
        <v>6</v>
      </c>
      <c r="H14" s="95">
        <f>삼송!D15</f>
        <v>0</v>
      </c>
      <c r="I14" s="95">
        <f>양산!D15</f>
        <v>11</v>
      </c>
      <c r="J14" s="95">
        <f>대구!D15</f>
        <v>0</v>
      </c>
      <c r="K14" s="95">
        <f>청주!D15</f>
        <v>0</v>
      </c>
      <c r="L14" s="92">
        <f>SUM(C14:K14)</f>
        <v>64</v>
      </c>
      <c r="M14" s="95">
        <f>수원!D15</f>
        <v>0</v>
      </c>
      <c r="N14" s="95">
        <f>광주전남!D15</f>
        <v>0</v>
      </c>
      <c r="O14" s="95">
        <f>강남!D15</f>
        <v>0</v>
      </c>
      <c r="P14" s="96">
        <f t="shared" si="0"/>
        <v>0</v>
      </c>
      <c r="Q14" s="95">
        <f>중앙!D15</f>
        <v>0</v>
      </c>
      <c r="R14" s="95">
        <f>고양!D15</f>
        <v>0</v>
      </c>
      <c r="S14" s="95">
        <f>용인!D15</f>
        <v>0</v>
      </c>
      <c r="T14" s="95">
        <f>분당!D15</f>
        <v>0</v>
      </c>
      <c r="U14" s="95">
        <f>세종!D15</f>
        <v>0</v>
      </c>
      <c r="V14" s="95">
        <f>김해!D15</f>
        <v>0</v>
      </c>
      <c r="W14" s="95">
        <f>평택!D15</f>
        <v>0</v>
      </c>
      <c r="X14" s="96">
        <f t="shared" si="1"/>
        <v>0</v>
      </c>
      <c r="Y14" s="96">
        <f t="shared" si="3"/>
        <v>64</v>
      </c>
    </row>
    <row r="15" spans="1:25">
      <c r="A15" s="263" t="s">
        <v>66</v>
      </c>
      <c r="B15" s="263"/>
      <c r="C15" s="95">
        <f>동탄!D16</f>
        <v>0</v>
      </c>
      <c r="D15" s="95">
        <f>화성!D16</f>
        <v>15</v>
      </c>
      <c r="E15" s="95">
        <f>파주!D16</f>
        <v>0</v>
      </c>
      <c r="F15" s="95">
        <f>광교!D16</f>
        <v>0</v>
      </c>
      <c r="G15" s="95">
        <f>판교!D16</f>
        <v>0</v>
      </c>
      <c r="H15" s="95">
        <f>삼송!D16</f>
        <v>0</v>
      </c>
      <c r="I15" s="95">
        <f>양산!D16</f>
        <v>0</v>
      </c>
      <c r="J15" s="95">
        <f>대구!D16</f>
        <v>0</v>
      </c>
      <c r="K15" s="95">
        <f>청주!D16</f>
        <v>0</v>
      </c>
      <c r="L15" s="92">
        <f t="shared" ref="L15:L18" si="20">SUM(C15:K15)</f>
        <v>15</v>
      </c>
      <c r="M15" s="95">
        <f>수원!D16</f>
        <v>0</v>
      </c>
      <c r="N15" s="95">
        <f>광주전남!D16</f>
        <v>0</v>
      </c>
      <c r="O15" s="95">
        <f>강남!D16</f>
        <v>0</v>
      </c>
      <c r="P15" s="96">
        <f t="shared" si="0"/>
        <v>0</v>
      </c>
      <c r="Q15" s="95">
        <f>중앙!D16</f>
        <v>0</v>
      </c>
      <c r="R15" s="95">
        <f>고양!D16</f>
        <v>0</v>
      </c>
      <c r="S15" s="95">
        <f>용인!D16</f>
        <v>0</v>
      </c>
      <c r="T15" s="95">
        <f>분당!D16</f>
        <v>0</v>
      </c>
      <c r="U15" s="95">
        <f>세종!D16</f>
        <v>0</v>
      </c>
      <c r="V15" s="95">
        <f>김해!D16</f>
        <v>0</v>
      </c>
      <c r="W15" s="95">
        <f>평택!D16</f>
        <v>0</v>
      </c>
      <c r="X15" s="96">
        <f t="shared" si="1"/>
        <v>0</v>
      </c>
      <c r="Y15" s="96">
        <f t="shared" si="3"/>
        <v>15</v>
      </c>
    </row>
    <row r="16" spans="1:25">
      <c r="A16" s="263" t="s">
        <v>34</v>
      </c>
      <c r="B16" s="97" t="s">
        <v>81</v>
      </c>
      <c r="C16" s="95">
        <f>동탄!D17</f>
        <v>0</v>
      </c>
      <c r="D16" s="95">
        <f>화성!D17</f>
        <v>3000</v>
      </c>
      <c r="E16" s="95">
        <f>파주!D17</f>
        <v>2344</v>
      </c>
      <c r="F16" s="95">
        <f>광교!D17</f>
        <v>63</v>
      </c>
      <c r="G16" s="95">
        <f>판교!D17</f>
        <v>0</v>
      </c>
      <c r="H16" s="95">
        <f>삼송!D17</f>
        <v>713</v>
      </c>
      <c r="I16" s="95">
        <f>양산!D17</f>
        <v>0</v>
      </c>
      <c r="J16" s="176">
        <f>대구!D17</f>
        <v>0</v>
      </c>
      <c r="K16" s="95">
        <f>청주!D17</f>
        <v>0</v>
      </c>
      <c r="L16" s="92">
        <f>SUM(C16:K16)</f>
        <v>6120</v>
      </c>
      <c r="M16" s="95">
        <f>수원!D17</f>
        <v>0</v>
      </c>
      <c r="N16" s="95">
        <f>광주전남!D17</f>
        <v>0</v>
      </c>
      <c r="O16" s="95">
        <f>강남!D17</f>
        <v>0</v>
      </c>
      <c r="P16" s="96">
        <f t="shared" si="0"/>
        <v>0</v>
      </c>
      <c r="Q16" s="95">
        <f>중앙!D17</f>
        <v>0</v>
      </c>
      <c r="R16" s="95">
        <f>고양!D17</f>
        <v>0</v>
      </c>
      <c r="S16" s="95">
        <f>용인!D17</f>
        <v>0</v>
      </c>
      <c r="T16" s="95">
        <f>분당!D17</f>
        <v>0</v>
      </c>
      <c r="U16" s="95">
        <f>세종!D17</f>
        <v>0</v>
      </c>
      <c r="V16" s="95">
        <f>김해!D17</f>
        <v>0</v>
      </c>
      <c r="W16" s="95">
        <f>평택!D17</f>
        <v>0</v>
      </c>
      <c r="X16" s="96">
        <f t="shared" si="1"/>
        <v>0</v>
      </c>
      <c r="Y16" s="96">
        <f t="shared" si="3"/>
        <v>6120</v>
      </c>
    </row>
    <row r="17" spans="1:30">
      <c r="A17" s="263"/>
      <c r="B17" s="97" t="s">
        <v>64</v>
      </c>
      <c r="C17" s="95">
        <f>동탄!D18</f>
        <v>328.03297918279191</v>
      </c>
      <c r="D17" s="95">
        <f>화성!D18</f>
        <v>2074.0999132324996</v>
      </c>
      <c r="E17" s="95">
        <f>파주!D18</f>
        <v>2092.1430935931244</v>
      </c>
      <c r="F17" s="95">
        <f>광교!D18</f>
        <v>725.97266862749962</v>
      </c>
      <c r="G17" s="95">
        <f>판교!D18</f>
        <v>2112</v>
      </c>
      <c r="H17" s="95">
        <f>삼송!D18</f>
        <v>844.86943994647925</v>
      </c>
      <c r="I17" s="95">
        <f>양산!D18</f>
        <v>913.80957499999977</v>
      </c>
      <c r="J17" s="95">
        <f>대구!D18</f>
        <v>2500</v>
      </c>
      <c r="K17" s="95">
        <f>청주!D18</f>
        <v>706</v>
      </c>
      <c r="L17" s="92">
        <f>SUM(C17:K17)</f>
        <v>12296.927669582394</v>
      </c>
      <c r="M17" s="95">
        <f>수원!D18</f>
        <v>356.58100528572788</v>
      </c>
      <c r="N17" s="95">
        <f>광주전남!D18</f>
        <v>1522.6725499999995</v>
      </c>
      <c r="O17" s="95">
        <f>강남!D18</f>
        <v>1371.2649999999999</v>
      </c>
      <c r="P17" s="96">
        <f t="shared" si="0"/>
        <v>3250.5185552857274</v>
      </c>
      <c r="Q17" s="95">
        <f>중앙!D18</f>
        <v>941.62564999999972</v>
      </c>
      <c r="R17" s="95">
        <f>고양!D18</f>
        <v>1168.2751499999997</v>
      </c>
      <c r="S17" s="95">
        <f>용인!D18</f>
        <v>571.77487499999984</v>
      </c>
      <c r="T17" s="95">
        <f>분당!D18</f>
        <v>950.89767499999971</v>
      </c>
      <c r="U17" s="95">
        <f>세종!D18</f>
        <v>77.266874999999985</v>
      </c>
      <c r="V17" s="95">
        <f>김해!D18</f>
        <v>81.387774999999976</v>
      </c>
      <c r="W17" s="95">
        <f>평택!D18</f>
        <v>9.2720249999999975</v>
      </c>
      <c r="X17" s="96">
        <f t="shared" si="1"/>
        <v>3800.5000249999994</v>
      </c>
      <c r="Y17" s="96">
        <f t="shared" si="3"/>
        <v>19347.946249868121</v>
      </c>
    </row>
    <row r="18" spans="1:30">
      <c r="A18" s="263"/>
      <c r="B18" s="93" t="s">
        <v>35</v>
      </c>
      <c r="C18" s="98">
        <f t="shared" ref="C18:H18" si="21">SUM(C16:C17)</f>
        <v>328.03297918279191</v>
      </c>
      <c r="D18" s="98">
        <f t="shared" si="21"/>
        <v>5074.0999132324996</v>
      </c>
      <c r="E18" s="98">
        <f t="shared" si="21"/>
        <v>4436.1430935931239</v>
      </c>
      <c r="F18" s="98">
        <f t="shared" si="21"/>
        <v>788.97266862749962</v>
      </c>
      <c r="G18" s="98">
        <f t="shared" si="21"/>
        <v>2112</v>
      </c>
      <c r="H18" s="98">
        <f t="shared" si="21"/>
        <v>1557.8694399464794</v>
      </c>
      <c r="I18" s="98">
        <f>SUM(I16:I17)</f>
        <v>913.80957499999977</v>
      </c>
      <c r="J18" s="98">
        <f>SUM(J16:J17)</f>
        <v>2500</v>
      </c>
      <c r="K18" s="98">
        <f>SUM(K16:K17)</f>
        <v>706</v>
      </c>
      <c r="L18" s="98">
        <f t="shared" si="20"/>
        <v>18416.927669582394</v>
      </c>
      <c r="M18" s="98">
        <f>SUM(M16:M17)</f>
        <v>356.58100528572788</v>
      </c>
      <c r="N18" s="98">
        <f>SUM(N16:N17)</f>
        <v>1522.6725499999995</v>
      </c>
      <c r="O18" s="98">
        <f>SUM(O16:O17)</f>
        <v>1371.2649999999999</v>
      </c>
      <c r="P18" s="99">
        <f t="shared" si="0"/>
        <v>3250.5185552857274</v>
      </c>
      <c r="Q18" s="98">
        <f t="shared" ref="Q18:W18" si="22">SUM(Q16:Q17)</f>
        <v>941.62564999999972</v>
      </c>
      <c r="R18" s="98">
        <f t="shared" si="22"/>
        <v>1168.2751499999997</v>
      </c>
      <c r="S18" s="98">
        <f t="shared" si="22"/>
        <v>571.77487499999984</v>
      </c>
      <c r="T18" s="98">
        <f t="shared" si="22"/>
        <v>950.89767499999971</v>
      </c>
      <c r="U18" s="98">
        <f t="shared" si="22"/>
        <v>77.266874999999985</v>
      </c>
      <c r="V18" s="98">
        <f t="shared" si="22"/>
        <v>81.387774999999976</v>
      </c>
      <c r="W18" s="98">
        <f t="shared" si="22"/>
        <v>9.2720249999999975</v>
      </c>
      <c r="X18" s="99">
        <f t="shared" si="1"/>
        <v>3800.5000249999994</v>
      </c>
      <c r="Y18" s="99">
        <f t="shared" si="3"/>
        <v>25467.946249868124</v>
      </c>
    </row>
    <row r="19" spans="1:30">
      <c r="A19" s="89" t="s">
        <v>102</v>
      </c>
      <c r="B19" s="89" t="s">
        <v>103</v>
      </c>
      <c r="C19" s="100">
        <f>동탄!D19</f>
        <v>0</v>
      </c>
      <c r="D19" s="100">
        <f>화성!D19</f>
        <v>0</v>
      </c>
      <c r="E19" s="100">
        <f>파주!D19</f>
        <v>0</v>
      </c>
      <c r="F19" s="100">
        <f>광교!D19</f>
        <v>0</v>
      </c>
      <c r="G19" s="100">
        <f>판교!D19</f>
        <v>0</v>
      </c>
      <c r="H19" s="100">
        <f>삼송!D19</f>
        <v>0</v>
      </c>
      <c r="I19" s="100">
        <f>양산!D19</f>
        <v>0</v>
      </c>
      <c r="J19" s="100">
        <f>대구!D19</f>
        <v>0</v>
      </c>
      <c r="K19" s="100">
        <f>청주!D19</f>
        <v>0</v>
      </c>
      <c r="L19" s="92">
        <f>SUM(C19:K19)</f>
        <v>0</v>
      </c>
      <c r="M19" s="100">
        <f>수원!D19</f>
        <v>0</v>
      </c>
      <c r="N19" s="100">
        <f>광주전남!D19</f>
        <v>0</v>
      </c>
      <c r="O19" s="100">
        <f>강남!D19</f>
        <v>0</v>
      </c>
      <c r="P19" s="96">
        <f t="shared" si="0"/>
        <v>0</v>
      </c>
      <c r="Q19" s="100">
        <f>중앙!D19</f>
        <v>0</v>
      </c>
      <c r="R19" s="100">
        <f>고양!D19</f>
        <v>0</v>
      </c>
      <c r="S19" s="100">
        <f>용인!D19</f>
        <v>0</v>
      </c>
      <c r="T19" s="100">
        <f>분당!D19</f>
        <v>0</v>
      </c>
      <c r="U19" s="100">
        <f>세종!D19</f>
        <v>0</v>
      </c>
      <c r="V19" s="100">
        <f>김해!D19</f>
        <v>0</v>
      </c>
      <c r="W19" s="100">
        <f>평택!D19</f>
        <v>0</v>
      </c>
      <c r="X19" s="96">
        <f t="shared" si="1"/>
        <v>0</v>
      </c>
      <c r="Y19" s="96">
        <f t="shared" si="3"/>
        <v>0</v>
      </c>
    </row>
    <row r="20" spans="1:30">
      <c r="A20" s="263" t="s">
        <v>63</v>
      </c>
      <c r="B20" s="263"/>
      <c r="C20" s="95">
        <f>동탄!D20</f>
        <v>56.602090557990735</v>
      </c>
      <c r="D20" s="95">
        <f>화성!D20</f>
        <v>76</v>
      </c>
      <c r="E20" s="95">
        <f>파주!D20</f>
        <v>419.19499999999994</v>
      </c>
      <c r="F20" s="95">
        <f>광교!D20</f>
        <v>11.850124042728117</v>
      </c>
      <c r="G20" s="95">
        <f>판교!D20</f>
        <v>34.473088124299977</v>
      </c>
      <c r="H20" s="95">
        <f>삼송!D20</f>
        <v>19</v>
      </c>
      <c r="I20" s="95">
        <f>양산!D20</f>
        <v>28.725560958180296</v>
      </c>
      <c r="J20" s="95">
        <f>대구!D20</f>
        <v>102</v>
      </c>
      <c r="K20" s="95">
        <f>청주!D20</f>
        <v>62.520338556039469</v>
      </c>
      <c r="L20" s="92">
        <f>SUM(C20:K20)</f>
        <v>810.36620223923853</v>
      </c>
      <c r="M20" s="95">
        <f>수원!D20</f>
        <v>0</v>
      </c>
      <c r="N20" s="95">
        <f>광주전남!D20</f>
        <v>75.409880271906204</v>
      </c>
      <c r="O20" s="95">
        <f>강남!D20</f>
        <v>30</v>
      </c>
      <c r="P20" s="96">
        <f t="shared" si="0"/>
        <v>105.4098802719062</v>
      </c>
      <c r="Q20" s="95">
        <f>중앙!D20</f>
        <v>0</v>
      </c>
      <c r="R20" s="95">
        <f>고양!D20</f>
        <v>21</v>
      </c>
      <c r="S20" s="95">
        <f>용인!D20</f>
        <v>0</v>
      </c>
      <c r="T20" s="95">
        <f>분당!D20</f>
        <v>0</v>
      </c>
      <c r="U20" s="95">
        <f>세종!D20</f>
        <v>0</v>
      </c>
      <c r="V20" s="95">
        <f>김해!D20</f>
        <v>0</v>
      </c>
      <c r="W20" s="95">
        <f>평택!D20</f>
        <v>0</v>
      </c>
      <c r="X20" s="96">
        <f t="shared" si="1"/>
        <v>21</v>
      </c>
      <c r="Y20" s="96">
        <f t="shared" si="3"/>
        <v>936.77608251114475</v>
      </c>
    </row>
    <row r="21" spans="1:30">
      <c r="A21" s="263" t="s">
        <v>36</v>
      </c>
      <c r="B21" s="97" t="s">
        <v>38</v>
      </c>
      <c r="C21" s="95">
        <f>동탄!D21</f>
        <v>0</v>
      </c>
      <c r="D21" s="95">
        <f>화성!D21</f>
        <v>8166</v>
      </c>
      <c r="E21" s="95">
        <f>파주!D21</f>
        <v>0</v>
      </c>
      <c r="F21" s="95">
        <f>광교!D21</f>
        <v>8182</v>
      </c>
      <c r="G21" s="95">
        <f>판교!D21</f>
        <v>591</v>
      </c>
      <c r="H21" s="95">
        <f>삼송!D21</f>
        <v>0</v>
      </c>
      <c r="I21" s="95">
        <f>양산!D21</f>
        <v>0</v>
      </c>
      <c r="J21" s="95">
        <f>대구!D21</f>
        <v>0</v>
      </c>
      <c r="K21" s="95">
        <f>청주!D21</f>
        <v>0</v>
      </c>
      <c r="L21" s="92">
        <f>SUM(C21:K21)</f>
        <v>16939</v>
      </c>
      <c r="M21" s="95">
        <f>수원!D21</f>
        <v>0</v>
      </c>
      <c r="N21" s="95">
        <f>광주전남!D21</f>
        <v>0</v>
      </c>
      <c r="O21" s="176">
        <f>강남!D21</f>
        <v>0</v>
      </c>
      <c r="P21" s="96">
        <f t="shared" si="0"/>
        <v>0</v>
      </c>
      <c r="Q21" s="95">
        <f>중앙!D21</f>
        <v>0</v>
      </c>
      <c r="R21" s="95">
        <f>고양!D21</f>
        <v>0</v>
      </c>
      <c r="S21" s="95">
        <f>용인!D21</f>
        <v>0</v>
      </c>
      <c r="T21" s="95">
        <f>분당!D21</f>
        <v>0</v>
      </c>
      <c r="U21" s="95">
        <f>세종!D21</f>
        <v>0</v>
      </c>
      <c r="V21" s="95">
        <f>김해!D21</f>
        <v>0</v>
      </c>
      <c r="W21" s="95">
        <f>평택!D21</f>
        <v>0</v>
      </c>
      <c r="X21" s="96">
        <f t="shared" si="1"/>
        <v>0</v>
      </c>
      <c r="Y21" s="96">
        <f t="shared" si="3"/>
        <v>16939</v>
      </c>
    </row>
    <row r="22" spans="1:30">
      <c r="A22" s="263"/>
      <c r="B22" s="97" t="s">
        <v>39</v>
      </c>
      <c r="C22" s="95">
        <f>동탄!D22</f>
        <v>363</v>
      </c>
      <c r="D22" s="95">
        <f>화성!D22</f>
        <v>1052.8726422199995</v>
      </c>
      <c r="E22" s="95">
        <f>파주!D22</f>
        <v>18</v>
      </c>
      <c r="F22" s="95">
        <f>광교!D22</f>
        <v>157.59797763205265</v>
      </c>
      <c r="G22" s="95">
        <f>판교!D22</f>
        <v>180</v>
      </c>
      <c r="H22" s="95">
        <f>삼송!D22</f>
        <v>100</v>
      </c>
      <c r="I22" s="95">
        <f>양산!D22</f>
        <v>145.43334052439053</v>
      </c>
      <c r="J22" s="95">
        <f>대구!D22</f>
        <v>369</v>
      </c>
      <c r="K22" s="95">
        <f>청주!D22</f>
        <v>358.2246425373072</v>
      </c>
      <c r="L22" s="92">
        <f>SUM(C22:K22)</f>
        <v>2744.12860291375</v>
      </c>
      <c r="M22" s="95">
        <f>수원!D22</f>
        <v>0</v>
      </c>
      <c r="N22" s="95">
        <f>광주전남!D22</f>
        <v>386</v>
      </c>
      <c r="O22" s="95">
        <f>강남!D22</f>
        <v>107</v>
      </c>
      <c r="P22" s="96">
        <f t="shared" si="0"/>
        <v>493</v>
      </c>
      <c r="Q22" s="95">
        <f>중앙!D22</f>
        <v>29</v>
      </c>
      <c r="R22" s="95">
        <f>고양!D22</f>
        <v>0</v>
      </c>
      <c r="S22" s="95">
        <f>용인!D22</f>
        <v>0</v>
      </c>
      <c r="T22" s="95">
        <f>분당!D22</f>
        <v>0</v>
      </c>
      <c r="U22" s="95">
        <f>세종!D22</f>
        <v>0</v>
      </c>
      <c r="V22" s="95">
        <f>김해!D22</f>
        <v>0</v>
      </c>
      <c r="W22" s="95">
        <f>평택!D22</f>
        <v>0</v>
      </c>
      <c r="X22" s="96">
        <f t="shared" si="1"/>
        <v>29</v>
      </c>
      <c r="Y22" s="96">
        <f t="shared" si="3"/>
        <v>3266.12860291375</v>
      </c>
    </row>
    <row r="23" spans="1:30">
      <c r="A23" s="263"/>
      <c r="B23" s="97" t="s">
        <v>37</v>
      </c>
      <c r="C23" s="95">
        <f>동탄!D23</f>
        <v>2</v>
      </c>
      <c r="D23" s="95">
        <f>화성!D23</f>
        <v>107</v>
      </c>
      <c r="E23" s="95">
        <f>파주!D23</f>
        <v>126</v>
      </c>
      <c r="F23" s="95">
        <f>광교!D23</f>
        <v>13</v>
      </c>
      <c r="G23" s="95">
        <f>판교!D23</f>
        <v>54</v>
      </c>
      <c r="H23" s="95">
        <f>삼송!D23</f>
        <v>104</v>
      </c>
      <c r="I23" s="95">
        <f>양산!D23</f>
        <v>91</v>
      </c>
      <c r="J23" s="95">
        <f>대구!D23</f>
        <v>6</v>
      </c>
      <c r="K23" s="95">
        <f>청주!D23</f>
        <v>84</v>
      </c>
      <c r="L23" s="92">
        <f>SUM(C23:K23)</f>
        <v>587</v>
      </c>
      <c r="M23" s="95">
        <f>수원!D23</f>
        <v>0</v>
      </c>
      <c r="N23" s="95">
        <f>광주전남!D23</f>
        <v>84</v>
      </c>
      <c r="O23" s="95">
        <f>강남!D23</f>
        <v>43.091360155374971</v>
      </c>
      <c r="P23" s="96">
        <f t="shared" si="0"/>
        <v>127.09136015537497</v>
      </c>
      <c r="Q23" s="95">
        <f>중앙!D23</f>
        <v>0</v>
      </c>
      <c r="R23" s="95">
        <f>고양!D23</f>
        <v>10</v>
      </c>
      <c r="S23" s="95">
        <f>용인!D23</f>
        <v>0</v>
      </c>
      <c r="T23" s="95">
        <f>분당!D23</f>
        <v>0</v>
      </c>
      <c r="U23" s="95">
        <f>세종!D23</f>
        <v>0</v>
      </c>
      <c r="V23" s="95">
        <f>김해!D23</f>
        <v>0</v>
      </c>
      <c r="W23" s="95">
        <f>평택!D23</f>
        <v>0</v>
      </c>
      <c r="X23" s="96">
        <f t="shared" si="1"/>
        <v>10</v>
      </c>
      <c r="Y23" s="96">
        <f t="shared" si="3"/>
        <v>724.09136015537501</v>
      </c>
    </row>
    <row r="24" spans="1:30">
      <c r="A24" s="263"/>
      <c r="B24" s="93" t="s">
        <v>35</v>
      </c>
      <c r="C24" s="98">
        <f t="shared" ref="C24:H24" si="23">SUM(C21:C23)</f>
        <v>365</v>
      </c>
      <c r="D24" s="98">
        <f t="shared" si="23"/>
        <v>9325.8726422199998</v>
      </c>
      <c r="E24" s="98">
        <f t="shared" si="23"/>
        <v>144</v>
      </c>
      <c r="F24" s="98">
        <f t="shared" si="23"/>
        <v>8352.5979776320528</v>
      </c>
      <c r="G24" s="98">
        <f t="shared" si="23"/>
        <v>825</v>
      </c>
      <c r="H24" s="98">
        <f t="shared" si="23"/>
        <v>204</v>
      </c>
      <c r="I24" s="98">
        <f>SUM(I21:I23)</f>
        <v>236.43334052439053</v>
      </c>
      <c r="J24" s="98">
        <f>SUM(J21:J23)</f>
        <v>375</v>
      </c>
      <c r="K24" s="98">
        <f>SUM(K21:K23)</f>
        <v>442.2246425373072</v>
      </c>
      <c r="L24" s="98">
        <f t="shared" ref="L24" si="24">SUM(C24:K24)</f>
        <v>20270.128602913748</v>
      </c>
      <c r="M24" s="98">
        <f>SUM(M21:M23)</f>
        <v>0</v>
      </c>
      <c r="N24" s="98">
        <f>SUM(N21:N23)</f>
        <v>470</v>
      </c>
      <c r="O24" s="98">
        <f>SUM(O21:O23)</f>
        <v>150.09136015537496</v>
      </c>
      <c r="P24" s="99">
        <f t="shared" si="0"/>
        <v>620.09136015537501</v>
      </c>
      <c r="Q24" s="98">
        <f t="shared" ref="Q24:W24" si="25">SUM(Q21:Q23)</f>
        <v>29</v>
      </c>
      <c r="R24" s="98">
        <f t="shared" si="25"/>
        <v>10</v>
      </c>
      <c r="S24" s="98">
        <f t="shared" si="25"/>
        <v>0</v>
      </c>
      <c r="T24" s="98">
        <f t="shared" si="25"/>
        <v>0</v>
      </c>
      <c r="U24" s="98">
        <f t="shared" si="25"/>
        <v>0</v>
      </c>
      <c r="V24" s="98">
        <f t="shared" si="25"/>
        <v>0</v>
      </c>
      <c r="W24" s="98">
        <f t="shared" si="25"/>
        <v>0</v>
      </c>
      <c r="X24" s="99">
        <f t="shared" si="1"/>
        <v>39</v>
      </c>
      <c r="Y24" s="99">
        <f t="shared" si="3"/>
        <v>20929.219963069125</v>
      </c>
    </row>
    <row r="25" spans="1:30">
      <c r="A25" s="255" t="s">
        <v>115</v>
      </c>
      <c r="B25" s="255"/>
      <c r="C25" s="56">
        <f>C14+C15+C19+C18+C20+C24</f>
        <v>768.63506974078268</v>
      </c>
      <c r="D25" s="56">
        <f t="shared" ref="D25:Y25" si="26">D14+D15+D19+D18+D20+D24</f>
        <v>14490.972555452499</v>
      </c>
      <c r="E25" s="56">
        <f t="shared" si="26"/>
        <v>4999.3380935931236</v>
      </c>
      <c r="F25" s="56">
        <f t="shared" si="26"/>
        <v>9181.4207703022803</v>
      </c>
      <c r="G25" s="56">
        <f t="shared" si="26"/>
        <v>2977.4730881242999</v>
      </c>
      <c r="H25" s="56">
        <f t="shared" si="26"/>
        <v>1780.8694399464794</v>
      </c>
      <c r="I25" s="56">
        <f t="shared" si="26"/>
        <v>1189.9684764825706</v>
      </c>
      <c r="J25" s="56">
        <f t="shared" si="26"/>
        <v>2977</v>
      </c>
      <c r="K25" s="56">
        <f t="shared" si="26"/>
        <v>1210.7449810933467</v>
      </c>
      <c r="L25" s="56">
        <f t="shared" si="26"/>
        <v>39576.42247473538</v>
      </c>
      <c r="M25" s="56">
        <f t="shared" si="26"/>
        <v>356.58100528572788</v>
      </c>
      <c r="N25" s="56">
        <f t="shared" si="26"/>
        <v>2068.0824302719057</v>
      </c>
      <c r="O25" s="56">
        <f t="shared" si="26"/>
        <v>1551.3563601553749</v>
      </c>
      <c r="P25" s="56">
        <f t="shared" si="26"/>
        <v>3976.0197957130085</v>
      </c>
      <c r="Q25" s="56">
        <f t="shared" si="26"/>
        <v>970.62564999999972</v>
      </c>
      <c r="R25" s="56">
        <f t="shared" si="26"/>
        <v>1199.2751499999997</v>
      </c>
      <c r="S25" s="56">
        <f t="shared" si="26"/>
        <v>571.77487499999984</v>
      </c>
      <c r="T25" s="56">
        <f t="shared" si="26"/>
        <v>950.89767499999971</v>
      </c>
      <c r="U25" s="56">
        <f t="shared" si="26"/>
        <v>77.266874999999985</v>
      </c>
      <c r="V25" s="56">
        <f t="shared" si="26"/>
        <v>81.387774999999976</v>
      </c>
      <c r="W25" s="56">
        <f t="shared" si="26"/>
        <v>9.2720249999999975</v>
      </c>
      <c r="X25" s="56">
        <f t="shared" si="26"/>
        <v>3860.5000249999994</v>
      </c>
      <c r="Y25" s="56">
        <f t="shared" si="26"/>
        <v>47412.942295448389</v>
      </c>
    </row>
    <row r="26" spans="1:30">
      <c r="A26" s="224" t="s">
        <v>282</v>
      </c>
      <c r="B26" s="224" t="s">
        <v>354</v>
      </c>
      <c r="C26" s="95">
        <f>동탄!D25</f>
        <v>1173.0354999999997</v>
      </c>
      <c r="D26" s="95">
        <f>화성!D25</f>
        <v>343.17149999999992</v>
      </c>
      <c r="E26" s="95">
        <f>파주!D25</f>
        <v>20000</v>
      </c>
      <c r="F26" s="95">
        <f>광교!D25</f>
        <v>140.07</v>
      </c>
      <c r="G26" s="95">
        <f>판교!D25</f>
        <v>1418.9699999999998</v>
      </c>
      <c r="H26" s="95">
        <f>삼송!D25</f>
        <v>719.63499999999988</v>
      </c>
      <c r="I26" s="95">
        <f>양산!D25</f>
        <v>2.0299999999999998</v>
      </c>
      <c r="J26" s="95">
        <f>대구!D25</f>
        <v>648.58499999999992</v>
      </c>
      <c r="K26" s="95">
        <f>청주!D25</f>
        <v>3011.5049999999997</v>
      </c>
      <c r="L26" s="92">
        <f>SUM(C26:K26)</f>
        <v>27457.001999999997</v>
      </c>
      <c r="M26" s="95">
        <f>수원!D25</f>
        <v>43.644999999999996</v>
      </c>
      <c r="N26" s="95">
        <f>광주전남!D25</f>
        <v>538.96499999999992</v>
      </c>
      <c r="O26" s="95">
        <f>강남!D25</f>
        <v>7000</v>
      </c>
      <c r="P26" s="96">
        <f t="shared" ref="P26" si="27">SUM(M26:O26)</f>
        <v>7582.61</v>
      </c>
      <c r="Q26" s="95">
        <f>중앙!D25</f>
        <v>1058</v>
      </c>
      <c r="R26" s="95">
        <f>고양!D25</f>
        <v>702</v>
      </c>
      <c r="S26" s="95">
        <f>용인!D25</f>
        <v>547</v>
      </c>
      <c r="T26" s="95">
        <f>분당!D25</f>
        <v>0</v>
      </c>
      <c r="U26" s="95">
        <f>세종!D25</f>
        <v>0</v>
      </c>
      <c r="V26" s="95">
        <f>김해!D25</f>
        <v>262</v>
      </c>
      <c r="W26" s="95">
        <f>평택!D25</f>
        <v>0</v>
      </c>
      <c r="X26" s="96">
        <f t="shared" ref="X26" si="28">SUM(Q26:W26)</f>
        <v>2569</v>
      </c>
      <c r="Y26" s="96">
        <f t="shared" ref="Y26" si="29">L26+P26+X26</f>
        <v>37608.611999999994</v>
      </c>
    </row>
    <row r="28" spans="1:30"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</row>
    <row r="29" spans="1:30">
      <c r="C29" s="262"/>
      <c r="D29" s="262"/>
      <c r="E29" s="262"/>
      <c r="F29" s="262"/>
      <c r="G29" s="262"/>
      <c r="H29" s="262"/>
      <c r="I29" s="262"/>
      <c r="J29" s="262"/>
      <c r="K29" s="262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</row>
    <row r="30" spans="1:30">
      <c r="C30" s="262"/>
      <c r="D30" s="262"/>
      <c r="E30" s="262"/>
      <c r="F30" s="262"/>
      <c r="G30" s="262"/>
      <c r="H30" s="262"/>
      <c r="I30" s="262"/>
      <c r="J30" s="262"/>
      <c r="K30" s="109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</row>
    <row r="31" spans="1:30">
      <c r="B31" s="247" t="s">
        <v>33</v>
      </c>
      <c r="C31" s="21">
        <f>INT(C4*0.8)-200</f>
        <v>572</v>
      </c>
      <c r="D31" s="21">
        <f t="shared" ref="D31:W31" si="30">INT(D4*0.8)</f>
        <v>298</v>
      </c>
      <c r="E31" s="21">
        <f>INT(E4*0.8)-300</f>
        <v>343</v>
      </c>
      <c r="F31" s="21">
        <f t="shared" si="30"/>
        <v>35</v>
      </c>
      <c r="G31" s="21">
        <f t="shared" si="30"/>
        <v>248</v>
      </c>
      <c r="H31" s="21">
        <f>INT(H4*0.8)-50</f>
        <v>183</v>
      </c>
      <c r="I31" s="21">
        <f t="shared" si="30"/>
        <v>132</v>
      </c>
      <c r="J31" s="21">
        <f t="shared" si="30"/>
        <v>2</v>
      </c>
      <c r="K31" s="21">
        <f t="shared" si="30"/>
        <v>24</v>
      </c>
      <c r="L31" s="21"/>
      <c r="M31" s="21">
        <f t="shared" si="30"/>
        <v>181</v>
      </c>
      <c r="N31" s="21">
        <f t="shared" si="30"/>
        <v>194</v>
      </c>
      <c r="O31" s="21">
        <f t="shared" si="30"/>
        <v>130</v>
      </c>
      <c r="P31" s="21"/>
      <c r="Q31" s="21">
        <f t="shared" si="30"/>
        <v>168</v>
      </c>
      <c r="R31" s="21">
        <f t="shared" si="30"/>
        <v>86</v>
      </c>
      <c r="S31" s="21">
        <f t="shared" si="30"/>
        <v>69</v>
      </c>
      <c r="T31" s="21">
        <f t="shared" si="30"/>
        <v>32</v>
      </c>
      <c r="U31" s="21">
        <f t="shared" si="30"/>
        <v>25</v>
      </c>
      <c r="V31" s="21">
        <f t="shared" si="30"/>
        <v>121</v>
      </c>
      <c r="W31" s="21">
        <f t="shared" si="30"/>
        <v>0</v>
      </c>
      <c r="Y31" s="21">
        <f>SUM(C31:X31)</f>
        <v>2843</v>
      </c>
      <c r="AA31" s="108"/>
      <c r="AB31" s="108"/>
      <c r="AC31" s="108"/>
      <c r="AD31" s="108"/>
    </row>
    <row r="32" spans="1:30">
      <c r="B32" s="247" t="s">
        <v>95</v>
      </c>
      <c r="C32" s="21">
        <f>INT(C5*0.95)</f>
        <v>3187</v>
      </c>
      <c r="D32" s="21">
        <f t="shared" ref="D32:W32" si="31">INT(D5*0.95)</f>
        <v>3703</v>
      </c>
      <c r="E32" s="21">
        <f t="shared" si="31"/>
        <v>2012</v>
      </c>
      <c r="F32" s="21">
        <f t="shared" si="31"/>
        <v>917</v>
      </c>
      <c r="G32" s="21">
        <f t="shared" si="31"/>
        <v>821</v>
      </c>
      <c r="H32" s="21">
        <f t="shared" si="31"/>
        <v>608</v>
      </c>
      <c r="I32" s="21">
        <f t="shared" si="31"/>
        <v>1646</v>
      </c>
      <c r="J32" s="21">
        <f t="shared" si="31"/>
        <v>2381</v>
      </c>
      <c r="K32" s="21">
        <f t="shared" si="31"/>
        <v>1053</v>
      </c>
      <c r="L32" s="21"/>
      <c r="M32" s="21">
        <f t="shared" si="31"/>
        <v>840</v>
      </c>
      <c r="N32" s="21">
        <f t="shared" si="31"/>
        <v>1169</v>
      </c>
      <c r="O32" s="21">
        <f t="shared" si="31"/>
        <v>1763</v>
      </c>
      <c r="P32" s="21"/>
      <c r="Q32" s="21">
        <f t="shared" si="31"/>
        <v>1295</v>
      </c>
      <c r="R32" s="21">
        <f t="shared" si="31"/>
        <v>612</v>
      </c>
      <c r="S32" s="21">
        <f t="shared" si="31"/>
        <v>455</v>
      </c>
      <c r="T32" s="21">
        <f t="shared" si="31"/>
        <v>589</v>
      </c>
      <c r="U32" s="21">
        <f t="shared" si="31"/>
        <v>109</v>
      </c>
      <c r="V32" s="21">
        <f t="shared" si="31"/>
        <v>296</v>
      </c>
      <c r="W32" s="21">
        <f t="shared" si="31"/>
        <v>159</v>
      </c>
      <c r="Y32" s="21">
        <f t="shared" ref="Y32:Y39" si="32">SUM(C32:X32)</f>
        <v>23615</v>
      </c>
      <c r="AA32" s="108"/>
      <c r="AB32" s="108"/>
      <c r="AC32" s="108"/>
      <c r="AD32" s="108"/>
    </row>
    <row r="33" spans="2:30">
      <c r="B33" s="247" t="s">
        <v>96</v>
      </c>
      <c r="C33" s="21">
        <f>C6</f>
        <v>8215.0141499999972</v>
      </c>
      <c r="D33" s="21">
        <f t="shared" ref="D33:Y34" si="33">D6</f>
        <v>6346.1859999999979</v>
      </c>
      <c r="E33" s="21">
        <f t="shared" si="33"/>
        <v>5931.0053249999983</v>
      </c>
      <c r="F33" s="21">
        <f t="shared" si="33"/>
        <v>2437.5123499999995</v>
      </c>
      <c r="G33" s="21">
        <f t="shared" si="33"/>
        <v>2530.2325999999994</v>
      </c>
      <c r="H33" s="21">
        <f t="shared" si="33"/>
        <v>1825.5586999999996</v>
      </c>
      <c r="I33" s="21">
        <f t="shared" si="33"/>
        <v>2274.7367999999992</v>
      </c>
      <c r="J33" s="21">
        <f t="shared" si="33"/>
        <v>3763.411924999999</v>
      </c>
      <c r="K33" s="21">
        <f t="shared" si="33"/>
        <v>3419.3167749999989</v>
      </c>
      <c r="L33" s="21"/>
      <c r="M33" s="21">
        <f t="shared" si="33"/>
        <v>724.24817499999983</v>
      </c>
      <c r="N33" s="21">
        <f t="shared" si="33"/>
        <v>1800.8332999999996</v>
      </c>
      <c r="O33" s="21">
        <f t="shared" si="33"/>
        <v>1264.0860749999997</v>
      </c>
      <c r="P33" s="21"/>
      <c r="Q33" s="21">
        <f t="shared" si="33"/>
        <v>1096.1593999999998</v>
      </c>
      <c r="R33" s="21">
        <f t="shared" si="33"/>
        <v>720.12727499999983</v>
      </c>
      <c r="S33" s="21">
        <f t="shared" si="33"/>
        <v>697.46232499999985</v>
      </c>
      <c r="T33" s="21">
        <f t="shared" si="33"/>
        <v>622.25589999999988</v>
      </c>
      <c r="U33" s="21">
        <f t="shared" si="33"/>
        <v>281.25142499999993</v>
      </c>
      <c r="V33" s="21">
        <f t="shared" si="33"/>
        <v>41.208999999999989</v>
      </c>
      <c r="W33" s="21">
        <f t="shared" si="33"/>
        <v>41.208999999999989</v>
      </c>
      <c r="X33" s="21"/>
      <c r="Y33" s="21">
        <f t="shared" si="33"/>
        <v>44031.816499999994</v>
      </c>
      <c r="AA33" s="108"/>
      <c r="AB33" s="108"/>
      <c r="AC33" s="108"/>
      <c r="AD33" s="108"/>
    </row>
    <row r="34" spans="2:30">
      <c r="B34" s="247" t="s">
        <v>97</v>
      </c>
      <c r="C34" s="21">
        <f>C7</f>
        <v>5254.0747651618731</v>
      </c>
      <c r="D34" s="21">
        <f t="shared" si="33"/>
        <v>377.58</v>
      </c>
      <c r="E34" s="21">
        <f t="shared" si="33"/>
        <v>656.70499999999993</v>
      </c>
      <c r="F34" s="21">
        <f t="shared" si="33"/>
        <v>990.81999999999994</v>
      </c>
      <c r="G34" s="21">
        <f t="shared" si="33"/>
        <v>190.82</v>
      </c>
      <c r="H34" s="21">
        <f t="shared" si="33"/>
        <v>161.38499999999999</v>
      </c>
      <c r="I34" s="21">
        <f t="shared" si="33"/>
        <v>236.49499999999998</v>
      </c>
      <c r="J34" s="21">
        <f t="shared" si="33"/>
        <v>269.98999999999995</v>
      </c>
      <c r="K34" s="21">
        <f t="shared" si="33"/>
        <v>206.04499999999999</v>
      </c>
      <c r="L34" s="21"/>
      <c r="M34" s="21">
        <f t="shared" si="33"/>
        <v>152.24999999999997</v>
      </c>
      <c r="N34" s="21">
        <f t="shared" si="33"/>
        <v>211.11999999999998</v>
      </c>
      <c r="O34" s="21">
        <f t="shared" si="33"/>
        <v>595.80499999999995</v>
      </c>
      <c r="P34" s="21"/>
      <c r="Q34" s="21">
        <f t="shared" si="33"/>
        <v>697.30499999999995</v>
      </c>
      <c r="R34" s="21">
        <f t="shared" si="33"/>
        <v>546.06999999999994</v>
      </c>
      <c r="S34" s="21">
        <f t="shared" si="33"/>
        <v>120.78499999999998</v>
      </c>
      <c r="T34" s="21">
        <f t="shared" si="33"/>
        <v>85.259999999999991</v>
      </c>
      <c r="U34" s="21">
        <f t="shared" si="33"/>
        <v>61.914999999999992</v>
      </c>
      <c r="V34" s="21">
        <f t="shared" si="33"/>
        <v>53.794999999999995</v>
      </c>
      <c r="W34" s="21">
        <f t="shared" si="33"/>
        <v>94.394999999999996</v>
      </c>
      <c r="Y34" s="21">
        <f t="shared" si="32"/>
        <v>10962.614765161874</v>
      </c>
      <c r="AA34" s="108"/>
      <c r="AB34" s="108"/>
      <c r="AC34" s="108"/>
      <c r="AD34" s="108"/>
    </row>
    <row r="35" spans="2:30">
      <c r="B35" s="247" t="s">
        <v>281</v>
      </c>
      <c r="C35" s="21">
        <f>INT(C8*0.8)</f>
        <v>1874</v>
      </c>
      <c r="D35" s="21">
        <f t="shared" ref="D35:W35" si="34">INT(D8*0.8)</f>
        <v>993</v>
      </c>
      <c r="E35" s="21">
        <f t="shared" si="34"/>
        <v>583</v>
      </c>
      <c r="F35" s="21">
        <f t="shared" si="34"/>
        <v>1008</v>
      </c>
      <c r="G35" s="21">
        <f t="shared" si="34"/>
        <v>380</v>
      </c>
      <c r="H35" s="21">
        <f t="shared" si="34"/>
        <v>318</v>
      </c>
      <c r="I35" s="21">
        <f t="shared" si="34"/>
        <v>726</v>
      </c>
      <c r="J35" s="21">
        <f t="shared" si="34"/>
        <v>626</v>
      </c>
      <c r="K35" s="21">
        <f t="shared" si="34"/>
        <v>302</v>
      </c>
      <c r="L35" s="21"/>
      <c r="M35" s="21">
        <f t="shared" si="34"/>
        <v>235</v>
      </c>
      <c r="N35" s="21">
        <f t="shared" si="34"/>
        <v>578</v>
      </c>
      <c r="O35" s="21">
        <f t="shared" si="34"/>
        <v>517</v>
      </c>
      <c r="P35" s="21"/>
      <c r="Q35" s="21">
        <f t="shared" si="34"/>
        <v>854</v>
      </c>
      <c r="R35" s="21">
        <f t="shared" si="34"/>
        <v>1013</v>
      </c>
      <c r="S35" s="21">
        <f t="shared" si="34"/>
        <v>181</v>
      </c>
      <c r="T35" s="21">
        <f t="shared" si="34"/>
        <v>360</v>
      </c>
      <c r="U35" s="21">
        <f t="shared" si="34"/>
        <v>272</v>
      </c>
      <c r="V35" s="21">
        <f t="shared" si="34"/>
        <v>214</v>
      </c>
      <c r="W35" s="21">
        <f t="shared" si="34"/>
        <v>22</v>
      </c>
      <c r="Y35" s="21">
        <f t="shared" si="32"/>
        <v>11056</v>
      </c>
      <c r="AA35" s="108"/>
      <c r="AB35" s="108"/>
      <c r="AC35" s="108"/>
      <c r="AD35" s="108"/>
    </row>
    <row r="36" spans="2:30">
      <c r="B36" s="247" t="s">
        <v>279</v>
      </c>
      <c r="C36" s="21">
        <f>C9</f>
        <v>754.14499999999998</v>
      </c>
      <c r="D36" s="21">
        <f t="shared" ref="D36:K37" si="35">D9</f>
        <v>582.6099999999999</v>
      </c>
      <c r="E36" s="21">
        <f t="shared" si="35"/>
        <v>544.04</v>
      </c>
      <c r="F36" s="21">
        <f t="shared" si="35"/>
        <v>223.29999999999998</v>
      </c>
      <c r="G36" s="21">
        <f t="shared" si="35"/>
        <v>232.43499999999997</v>
      </c>
      <c r="H36" s="21">
        <f t="shared" si="35"/>
        <v>50.749999999999993</v>
      </c>
      <c r="I36" s="21">
        <f t="shared" si="35"/>
        <v>208.07499999999999</v>
      </c>
      <c r="J36" s="21">
        <f t="shared" si="35"/>
        <v>345.09999999999997</v>
      </c>
      <c r="K36" s="21">
        <f t="shared" si="35"/>
        <v>313.63499999999999</v>
      </c>
      <c r="L36" s="21"/>
      <c r="M36" s="21">
        <f t="shared" ref="M36:W37" si="36">M9</f>
        <v>63.944999999999993</v>
      </c>
      <c r="N36" s="21">
        <f t="shared" si="36"/>
        <v>159.35499999999999</v>
      </c>
      <c r="O36" s="21">
        <f t="shared" si="36"/>
        <v>111.64999999999999</v>
      </c>
      <c r="P36" s="21"/>
      <c r="Q36" s="21">
        <f t="shared" si="36"/>
        <v>97.44</v>
      </c>
      <c r="R36" s="21">
        <f t="shared" si="36"/>
        <v>63.944999999999993</v>
      </c>
      <c r="S36" s="21">
        <f t="shared" si="36"/>
        <v>61.914999999999992</v>
      </c>
      <c r="T36" s="21">
        <f t="shared" si="36"/>
        <v>54.809999999999995</v>
      </c>
      <c r="U36" s="21">
        <f t="shared" si="36"/>
        <v>25.374999999999996</v>
      </c>
      <c r="V36" s="21">
        <f t="shared" si="36"/>
        <v>4.0599999999999996</v>
      </c>
      <c r="W36" s="21">
        <f t="shared" si="36"/>
        <v>4.0599999999999996</v>
      </c>
      <c r="Y36" s="21">
        <f t="shared" si="32"/>
        <v>3900.6449999999995</v>
      </c>
      <c r="AA36" s="108"/>
      <c r="AB36" s="108"/>
      <c r="AC36" s="108"/>
      <c r="AD36" s="108"/>
    </row>
    <row r="37" spans="2:30">
      <c r="B37" s="247" t="s">
        <v>280</v>
      </c>
      <c r="C37" s="21">
        <f>C10</f>
        <v>84.24499999999999</v>
      </c>
      <c r="D37" s="21">
        <f t="shared" si="35"/>
        <v>64.959999999999994</v>
      </c>
      <c r="E37" s="21">
        <f t="shared" si="35"/>
        <v>60.899999999999991</v>
      </c>
      <c r="F37" s="21">
        <f t="shared" si="35"/>
        <v>24.36</v>
      </c>
      <c r="G37" s="21">
        <f t="shared" si="35"/>
        <v>25.374999999999996</v>
      </c>
      <c r="H37" s="21">
        <f t="shared" si="35"/>
        <v>6.09</v>
      </c>
      <c r="I37" s="21">
        <f t="shared" si="35"/>
        <v>23.344999999999999</v>
      </c>
      <c r="J37" s="21">
        <f t="shared" si="35"/>
        <v>38.569999999999993</v>
      </c>
      <c r="K37" s="21">
        <f t="shared" si="35"/>
        <v>34.51</v>
      </c>
      <c r="L37" s="21"/>
      <c r="M37" s="21">
        <f t="shared" si="36"/>
        <v>7.1049999999999995</v>
      </c>
      <c r="N37" s="21">
        <f t="shared" si="36"/>
        <v>17.254999999999999</v>
      </c>
      <c r="O37" s="21">
        <f t="shared" si="36"/>
        <v>12.18</v>
      </c>
      <c r="P37" s="21"/>
      <c r="Q37" s="21">
        <f t="shared" si="36"/>
        <v>11.164999999999999</v>
      </c>
      <c r="R37" s="21">
        <f t="shared" si="36"/>
        <v>7.1049999999999995</v>
      </c>
      <c r="S37" s="21">
        <f t="shared" si="36"/>
        <v>7.1049999999999995</v>
      </c>
      <c r="T37" s="21">
        <f t="shared" si="36"/>
        <v>6.09</v>
      </c>
      <c r="U37" s="21">
        <f t="shared" si="36"/>
        <v>3.0449999999999999</v>
      </c>
      <c r="V37" s="21">
        <f t="shared" si="36"/>
        <v>1.0149999999999999</v>
      </c>
      <c r="W37" s="21">
        <f t="shared" si="36"/>
        <v>1.0149999999999999</v>
      </c>
      <c r="Y37" s="21">
        <f t="shared" si="32"/>
        <v>435.435</v>
      </c>
      <c r="AA37" s="108"/>
      <c r="AB37" s="108"/>
      <c r="AC37" s="108"/>
      <c r="AD37" s="108"/>
    </row>
    <row r="38" spans="2:30">
      <c r="C38" s="21"/>
      <c r="D38" s="21"/>
      <c r="E38" s="21"/>
      <c r="F38" s="21"/>
      <c r="G38" s="21"/>
      <c r="H38" s="21"/>
      <c r="I38" s="21"/>
      <c r="J38" s="21"/>
      <c r="K38" s="21"/>
      <c r="L38" s="246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Y38" s="21"/>
      <c r="AA38" s="108"/>
      <c r="AB38" s="108"/>
      <c r="AC38" s="108"/>
      <c r="AD38" s="108"/>
    </row>
    <row r="39" spans="2:30">
      <c r="B39" s="247" t="s">
        <v>99</v>
      </c>
      <c r="C39" s="21">
        <f t="shared" ref="C39:K39" si="37">INT(C12*0.9)</f>
        <v>401</v>
      </c>
      <c r="D39" s="21">
        <f t="shared" si="37"/>
        <v>337</v>
      </c>
      <c r="E39" s="21">
        <f t="shared" si="37"/>
        <v>512</v>
      </c>
      <c r="F39" s="21">
        <f t="shared" si="37"/>
        <v>213</v>
      </c>
      <c r="G39" s="21">
        <f t="shared" si="37"/>
        <v>195</v>
      </c>
      <c r="H39" s="21">
        <f t="shared" si="37"/>
        <v>209</v>
      </c>
      <c r="I39" s="21">
        <f t="shared" si="37"/>
        <v>609</v>
      </c>
      <c r="J39" s="21">
        <f t="shared" si="37"/>
        <v>385</v>
      </c>
      <c r="K39" s="21">
        <f t="shared" si="37"/>
        <v>401</v>
      </c>
      <c r="L39" s="21"/>
      <c r="M39" s="21">
        <f t="shared" ref="M39:O39" si="38">INT(M12*0.9)</f>
        <v>95</v>
      </c>
      <c r="N39" s="21">
        <f t="shared" si="38"/>
        <v>709</v>
      </c>
      <c r="O39" s="21">
        <f t="shared" si="38"/>
        <v>216</v>
      </c>
      <c r="P39" s="21"/>
      <c r="Q39" s="21">
        <f t="shared" ref="Q39:W39" si="39">INT(Q12*0.9)</f>
        <v>217</v>
      </c>
      <c r="R39" s="21">
        <f t="shared" si="39"/>
        <v>91</v>
      </c>
      <c r="S39" s="21">
        <f t="shared" si="39"/>
        <v>174</v>
      </c>
      <c r="T39" s="21">
        <f t="shared" si="39"/>
        <v>59</v>
      </c>
      <c r="U39" s="21">
        <f t="shared" si="39"/>
        <v>71</v>
      </c>
      <c r="V39" s="21">
        <f t="shared" si="39"/>
        <v>146</v>
      </c>
      <c r="W39" s="21">
        <f t="shared" si="39"/>
        <v>46</v>
      </c>
      <c r="Y39" s="21">
        <f t="shared" si="32"/>
        <v>5086</v>
      </c>
      <c r="AA39" s="108"/>
      <c r="AB39" s="108"/>
      <c r="AC39" s="108"/>
      <c r="AD39" s="108"/>
    </row>
    <row r="40" spans="2:30"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Y40" s="21">
        <f>SUM(Y31:Y39)</f>
        <v>101930.51126516187</v>
      </c>
      <c r="Z40" s="21">
        <f>Y13-Y40</f>
        <v>6010.0536277893116</v>
      </c>
      <c r="AA40" s="108"/>
      <c r="AB40" s="108"/>
      <c r="AC40" s="108"/>
      <c r="AD40" s="108"/>
    </row>
    <row r="41" spans="2:30">
      <c r="C41" s="21">
        <f>C14</f>
        <v>19</v>
      </c>
      <c r="D41" s="21">
        <f t="shared" ref="D41:W41" si="40">D14</f>
        <v>0</v>
      </c>
      <c r="E41" s="21">
        <f t="shared" si="40"/>
        <v>0</v>
      </c>
      <c r="F41" s="21">
        <f t="shared" si="40"/>
        <v>28</v>
      </c>
      <c r="G41" s="21">
        <f t="shared" si="40"/>
        <v>6</v>
      </c>
      <c r="H41" s="21">
        <f t="shared" si="40"/>
        <v>0</v>
      </c>
      <c r="I41" s="21">
        <f t="shared" si="40"/>
        <v>11</v>
      </c>
      <c r="J41" s="21">
        <f t="shared" si="40"/>
        <v>0</v>
      </c>
      <c r="K41" s="21">
        <f t="shared" si="40"/>
        <v>0</v>
      </c>
      <c r="L41" s="21"/>
      <c r="M41" s="21">
        <f t="shared" si="40"/>
        <v>0</v>
      </c>
      <c r="N41" s="21">
        <f t="shared" si="40"/>
        <v>0</v>
      </c>
      <c r="O41" s="21">
        <f t="shared" si="40"/>
        <v>0</v>
      </c>
      <c r="P41" s="21"/>
      <c r="Q41" s="21">
        <f t="shared" si="40"/>
        <v>0</v>
      </c>
      <c r="R41" s="21">
        <f t="shared" si="40"/>
        <v>0</v>
      </c>
      <c r="S41" s="21">
        <f t="shared" si="40"/>
        <v>0</v>
      </c>
      <c r="T41" s="21">
        <f t="shared" si="40"/>
        <v>0</v>
      </c>
      <c r="U41" s="21">
        <f t="shared" si="40"/>
        <v>0</v>
      </c>
      <c r="V41" s="21">
        <f t="shared" si="40"/>
        <v>0</v>
      </c>
      <c r="W41" s="21">
        <f t="shared" si="40"/>
        <v>0</v>
      </c>
      <c r="X41" s="108"/>
      <c r="Y41" s="108"/>
      <c r="Z41" s="108"/>
      <c r="AA41" s="108"/>
      <c r="AB41" s="108"/>
      <c r="AC41" s="108"/>
      <c r="AD41" s="108"/>
    </row>
    <row r="42" spans="2:30">
      <c r="C42" s="21">
        <f t="shared" ref="C42:W42" si="41">C15</f>
        <v>0</v>
      </c>
      <c r="D42" s="21">
        <f t="shared" si="41"/>
        <v>15</v>
      </c>
      <c r="E42" s="21">
        <f t="shared" si="41"/>
        <v>0</v>
      </c>
      <c r="F42" s="21">
        <f t="shared" si="41"/>
        <v>0</v>
      </c>
      <c r="G42" s="21">
        <f t="shared" si="41"/>
        <v>0</v>
      </c>
      <c r="H42" s="21">
        <f t="shared" si="41"/>
        <v>0</v>
      </c>
      <c r="I42" s="21">
        <f t="shared" si="41"/>
        <v>0</v>
      </c>
      <c r="J42" s="21">
        <f t="shared" si="41"/>
        <v>0</v>
      </c>
      <c r="K42" s="21">
        <f t="shared" si="41"/>
        <v>0</v>
      </c>
      <c r="L42" s="21"/>
      <c r="M42" s="21">
        <f t="shared" si="41"/>
        <v>0</v>
      </c>
      <c r="N42" s="21">
        <f t="shared" si="41"/>
        <v>0</v>
      </c>
      <c r="O42" s="21">
        <f t="shared" si="41"/>
        <v>0</v>
      </c>
      <c r="P42" s="21"/>
      <c r="Q42" s="21">
        <f t="shared" si="41"/>
        <v>0</v>
      </c>
      <c r="R42" s="21">
        <f t="shared" si="41"/>
        <v>0</v>
      </c>
      <c r="S42" s="21">
        <f t="shared" si="41"/>
        <v>0</v>
      </c>
      <c r="T42" s="21">
        <f t="shared" si="41"/>
        <v>0</v>
      </c>
      <c r="U42" s="21">
        <f t="shared" si="41"/>
        <v>0</v>
      </c>
      <c r="V42" s="21">
        <f t="shared" si="41"/>
        <v>0</v>
      </c>
      <c r="W42" s="21">
        <f t="shared" si="41"/>
        <v>0</v>
      </c>
      <c r="X42" s="108"/>
      <c r="Y42" s="108"/>
      <c r="Z42" s="108"/>
      <c r="AA42" s="108"/>
      <c r="AB42" s="108"/>
      <c r="AC42" s="108"/>
      <c r="AD42" s="108"/>
    </row>
    <row r="43" spans="2:30">
      <c r="C43" s="21">
        <f t="shared" ref="C43:W43" si="42">C16</f>
        <v>0</v>
      </c>
      <c r="D43" s="21">
        <f t="shared" si="42"/>
        <v>3000</v>
      </c>
      <c r="E43" s="21">
        <f t="shared" si="42"/>
        <v>2344</v>
      </c>
      <c r="F43" s="21">
        <f t="shared" si="42"/>
        <v>63</v>
      </c>
      <c r="G43" s="21">
        <f t="shared" si="42"/>
        <v>0</v>
      </c>
      <c r="H43" s="21">
        <f t="shared" si="42"/>
        <v>713</v>
      </c>
      <c r="I43" s="21">
        <f t="shared" si="42"/>
        <v>0</v>
      </c>
      <c r="J43" s="21">
        <f t="shared" si="42"/>
        <v>0</v>
      </c>
      <c r="K43" s="21">
        <f t="shared" si="42"/>
        <v>0</v>
      </c>
      <c r="L43" s="21"/>
      <c r="M43" s="21">
        <f t="shared" si="42"/>
        <v>0</v>
      </c>
      <c r="N43" s="21">
        <f t="shared" si="42"/>
        <v>0</v>
      </c>
      <c r="O43" s="21">
        <f t="shared" si="42"/>
        <v>0</v>
      </c>
      <c r="P43" s="21"/>
      <c r="Q43" s="21">
        <f t="shared" si="42"/>
        <v>0</v>
      </c>
      <c r="R43" s="21">
        <f t="shared" si="42"/>
        <v>0</v>
      </c>
      <c r="S43" s="21">
        <f t="shared" si="42"/>
        <v>0</v>
      </c>
      <c r="T43" s="21">
        <f t="shared" si="42"/>
        <v>0</v>
      </c>
      <c r="U43" s="21">
        <f t="shared" si="42"/>
        <v>0</v>
      </c>
      <c r="V43" s="21">
        <f t="shared" si="42"/>
        <v>0</v>
      </c>
      <c r="W43" s="21">
        <f t="shared" si="42"/>
        <v>0</v>
      </c>
      <c r="X43" s="108"/>
      <c r="Y43" s="108"/>
      <c r="Z43" s="108"/>
      <c r="AA43" s="108"/>
      <c r="AB43" s="108"/>
      <c r="AC43" s="108"/>
      <c r="AD43" s="108"/>
    </row>
    <row r="44" spans="2:30">
      <c r="C44" s="21">
        <f t="shared" ref="C44:W44" si="43">C17</f>
        <v>328.03297918279191</v>
      </c>
      <c r="D44" s="21">
        <f t="shared" si="43"/>
        <v>2074.0999132324996</v>
      </c>
      <c r="E44" s="21">
        <f t="shared" si="43"/>
        <v>2092.1430935931244</v>
      </c>
      <c r="F44" s="21">
        <f t="shared" si="43"/>
        <v>725.97266862749962</v>
      </c>
      <c r="G44" s="21">
        <f t="shared" si="43"/>
        <v>2112</v>
      </c>
      <c r="H44" s="21">
        <f t="shared" si="43"/>
        <v>844.86943994647925</v>
      </c>
      <c r="I44" s="21">
        <f t="shared" si="43"/>
        <v>913.80957499999977</v>
      </c>
      <c r="J44" s="21">
        <f t="shared" si="43"/>
        <v>2500</v>
      </c>
      <c r="K44" s="21">
        <f t="shared" si="43"/>
        <v>706</v>
      </c>
      <c r="L44" s="21"/>
      <c r="M44" s="21">
        <f t="shared" si="43"/>
        <v>356.58100528572788</v>
      </c>
      <c r="N44" s="21">
        <f t="shared" si="43"/>
        <v>1522.6725499999995</v>
      </c>
      <c r="O44" s="21">
        <f t="shared" si="43"/>
        <v>1371.2649999999999</v>
      </c>
      <c r="P44" s="21"/>
      <c r="Q44" s="21">
        <f t="shared" si="43"/>
        <v>941.62564999999972</v>
      </c>
      <c r="R44" s="21">
        <f t="shared" si="43"/>
        <v>1168.2751499999997</v>
      </c>
      <c r="S44" s="21">
        <f t="shared" si="43"/>
        <v>571.77487499999984</v>
      </c>
      <c r="T44" s="21">
        <f t="shared" si="43"/>
        <v>950.89767499999971</v>
      </c>
      <c r="U44" s="21">
        <f t="shared" si="43"/>
        <v>77.266874999999985</v>
      </c>
      <c r="V44" s="21">
        <f t="shared" si="43"/>
        <v>81.387774999999976</v>
      </c>
      <c r="W44" s="21">
        <f t="shared" si="43"/>
        <v>9.2720249999999975</v>
      </c>
      <c r="X44" s="108"/>
      <c r="Y44" s="108"/>
      <c r="Z44" s="108"/>
      <c r="AA44" s="108"/>
      <c r="AB44" s="108"/>
      <c r="AC44" s="108"/>
      <c r="AD44" s="108"/>
    </row>
    <row r="45" spans="2:30">
      <c r="C45" s="21">
        <f t="shared" ref="C45:W45" si="44">C18</f>
        <v>328.03297918279191</v>
      </c>
      <c r="D45" s="21">
        <f t="shared" si="44"/>
        <v>5074.0999132324996</v>
      </c>
      <c r="E45" s="21">
        <f t="shared" si="44"/>
        <v>4436.1430935931239</v>
      </c>
      <c r="F45" s="21">
        <f t="shared" si="44"/>
        <v>788.97266862749962</v>
      </c>
      <c r="G45" s="21">
        <f t="shared" si="44"/>
        <v>2112</v>
      </c>
      <c r="H45" s="21">
        <f t="shared" si="44"/>
        <v>1557.8694399464794</v>
      </c>
      <c r="I45" s="21">
        <f t="shared" si="44"/>
        <v>913.80957499999977</v>
      </c>
      <c r="J45" s="21">
        <f t="shared" si="44"/>
        <v>2500</v>
      </c>
      <c r="K45" s="21">
        <f t="shared" si="44"/>
        <v>706</v>
      </c>
      <c r="L45" s="21"/>
      <c r="M45" s="21">
        <f t="shared" si="44"/>
        <v>356.58100528572788</v>
      </c>
      <c r="N45" s="21">
        <f t="shared" si="44"/>
        <v>1522.6725499999995</v>
      </c>
      <c r="O45" s="21">
        <f t="shared" si="44"/>
        <v>1371.2649999999999</v>
      </c>
      <c r="P45" s="21"/>
      <c r="Q45" s="21">
        <f t="shared" si="44"/>
        <v>941.62564999999972</v>
      </c>
      <c r="R45" s="21">
        <f t="shared" si="44"/>
        <v>1168.2751499999997</v>
      </c>
      <c r="S45" s="21">
        <f t="shared" si="44"/>
        <v>571.77487499999984</v>
      </c>
      <c r="T45" s="21">
        <f t="shared" si="44"/>
        <v>950.89767499999971</v>
      </c>
      <c r="U45" s="21">
        <f t="shared" si="44"/>
        <v>77.266874999999985</v>
      </c>
      <c r="V45" s="21">
        <f t="shared" si="44"/>
        <v>81.387774999999976</v>
      </c>
      <c r="W45" s="21">
        <f t="shared" si="44"/>
        <v>9.2720249999999975</v>
      </c>
      <c r="X45" s="108"/>
      <c r="Y45" s="108"/>
      <c r="Z45" s="108"/>
      <c r="AA45" s="108"/>
      <c r="AB45" s="108"/>
      <c r="AC45" s="108"/>
      <c r="AD45" s="108"/>
    </row>
    <row r="46" spans="2:30">
      <c r="C46" s="21">
        <f t="shared" ref="C46:W46" si="45">C19</f>
        <v>0</v>
      </c>
      <c r="D46" s="21">
        <f t="shared" si="45"/>
        <v>0</v>
      </c>
      <c r="E46" s="21">
        <f t="shared" si="45"/>
        <v>0</v>
      </c>
      <c r="F46" s="21">
        <f t="shared" si="45"/>
        <v>0</v>
      </c>
      <c r="G46" s="21">
        <f t="shared" si="45"/>
        <v>0</v>
      </c>
      <c r="H46" s="21">
        <f t="shared" si="45"/>
        <v>0</v>
      </c>
      <c r="I46" s="21">
        <f t="shared" si="45"/>
        <v>0</v>
      </c>
      <c r="J46" s="21">
        <f t="shared" si="45"/>
        <v>0</v>
      </c>
      <c r="K46" s="21">
        <f t="shared" si="45"/>
        <v>0</v>
      </c>
      <c r="L46" s="21"/>
      <c r="M46" s="21">
        <f t="shared" si="45"/>
        <v>0</v>
      </c>
      <c r="N46" s="21">
        <f t="shared" si="45"/>
        <v>0</v>
      </c>
      <c r="O46" s="21">
        <f t="shared" si="45"/>
        <v>0</v>
      </c>
      <c r="P46" s="21"/>
      <c r="Q46" s="21">
        <f t="shared" si="45"/>
        <v>0</v>
      </c>
      <c r="R46" s="21">
        <f t="shared" si="45"/>
        <v>0</v>
      </c>
      <c r="S46" s="21">
        <f t="shared" si="45"/>
        <v>0</v>
      </c>
      <c r="T46" s="21">
        <f t="shared" si="45"/>
        <v>0</v>
      </c>
      <c r="U46" s="21">
        <f t="shared" si="45"/>
        <v>0</v>
      </c>
      <c r="V46" s="21">
        <f t="shared" si="45"/>
        <v>0</v>
      </c>
      <c r="W46" s="21">
        <f t="shared" si="45"/>
        <v>0</v>
      </c>
      <c r="X46" s="108"/>
      <c r="Y46" s="108"/>
      <c r="Z46" s="108"/>
      <c r="AA46" s="108"/>
      <c r="AB46" s="108"/>
      <c r="AC46" s="108"/>
      <c r="AD46" s="108"/>
    </row>
    <row r="47" spans="2:30">
      <c r="C47" s="21">
        <f t="shared" ref="C47:W47" si="46">C20</f>
        <v>56.602090557990735</v>
      </c>
      <c r="D47" s="21">
        <f t="shared" si="46"/>
        <v>76</v>
      </c>
      <c r="E47" s="21">
        <f t="shared" si="46"/>
        <v>419.19499999999994</v>
      </c>
      <c r="F47" s="21">
        <f t="shared" si="46"/>
        <v>11.850124042728117</v>
      </c>
      <c r="G47" s="21">
        <f t="shared" si="46"/>
        <v>34.473088124299977</v>
      </c>
      <c r="H47" s="21">
        <f t="shared" si="46"/>
        <v>19</v>
      </c>
      <c r="I47" s="21">
        <f t="shared" si="46"/>
        <v>28.725560958180296</v>
      </c>
      <c r="J47" s="21">
        <f t="shared" si="46"/>
        <v>102</v>
      </c>
      <c r="K47" s="21">
        <f t="shared" si="46"/>
        <v>62.520338556039469</v>
      </c>
      <c r="L47" s="21"/>
      <c r="M47" s="21">
        <f t="shared" si="46"/>
        <v>0</v>
      </c>
      <c r="N47" s="21">
        <f t="shared" si="46"/>
        <v>75.409880271906204</v>
      </c>
      <c r="O47" s="21">
        <f t="shared" si="46"/>
        <v>30</v>
      </c>
      <c r="P47" s="21"/>
      <c r="Q47" s="21">
        <f t="shared" si="46"/>
        <v>0</v>
      </c>
      <c r="R47" s="21">
        <f t="shared" si="46"/>
        <v>21</v>
      </c>
      <c r="S47" s="21">
        <f t="shared" si="46"/>
        <v>0</v>
      </c>
      <c r="T47" s="21">
        <f t="shared" si="46"/>
        <v>0</v>
      </c>
      <c r="U47" s="21">
        <f t="shared" si="46"/>
        <v>0</v>
      </c>
      <c r="V47" s="21">
        <f t="shared" si="46"/>
        <v>0</v>
      </c>
      <c r="W47" s="21">
        <f t="shared" si="46"/>
        <v>0</v>
      </c>
    </row>
    <row r="48" spans="2:30">
      <c r="C48" s="21">
        <f t="shared" ref="C48:W48" si="47">C21</f>
        <v>0</v>
      </c>
      <c r="D48" s="21">
        <f t="shared" si="47"/>
        <v>8166</v>
      </c>
      <c r="E48" s="21">
        <f t="shared" si="47"/>
        <v>0</v>
      </c>
      <c r="F48" s="21">
        <f t="shared" si="47"/>
        <v>8182</v>
      </c>
      <c r="G48" s="21">
        <f t="shared" si="47"/>
        <v>591</v>
      </c>
      <c r="H48" s="21">
        <f t="shared" si="47"/>
        <v>0</v>
      </c>
      <c r="I48" s="21">
        <f t="shared" si="47"/>
        <v>0</v>
      </c>
      <c r="J48" s="21">
        <f t="shared" si="47"/>
        <v>0</v>
      </c>
      <c r="K48" s="21">
        <f t="shared" si="47"/>
        <v>0</v>
      </c>
      <c r="L48" s="21"/>
      <c r="M48" s="21">
        <f t="shared" si="47"/>
        <v>0</v>
      </c>
      <c r="N48" s="21">
        <f t="shared" si="47"/>
        <v>0</v>
      </c>
      <c r="O48" s="21">
        <f t="shared" si="47"/>
        <v>0</v>
      </c>
      <c r="P48" s="21"/>
      <c r="Q48" s="21">
        <f t="shared" si="47"/>
        <v>0</v>
      </c>
      <c r="R48" s="21">
        <f t="shared" si="47"/>
        <v>0</v>
      </c>
      <c r="S48" s="21">
        <f t="shared" si="47"/>
        <v>0</v>
      </c>
      <c r="T48" s="21">
        <f t="shared" si="47"/>
        <v>0</v>
      </c>
      <c r="U48" s="21">
        <f t="shared" si="47"/>
        <v>0</v>
      </c>
      <c r="V48" s="21">
        <f t="shared" si="47"/>
        <v>0</v>
      </c>
      <c r="W48" s="21">
        <f t="shared" si="47"/>
        <v>0</v>
      </c>
    </row>
    <row r="49" spans="3:25">
      <c r="C49" s="21">
        <f t="shared" ref="C49:W49" si="48">C22</f>
        <v>363</v>
      </c>
      <c r="D49" s="21">
        <f t="shared" si="48"/>
        <v>1052.8726422199995</v>
      </c>
      <c r="E49" s="21">
        <f t="shared" si="48"/>
        <v>18</v>
      </c>
      <c r="F49" s="21">
        <f t="shared" si="48"/>
        <v>157.59797763205265</v>
      </c>
      <c r="G49" s="21">
        <f t="shared" si="48"/>
        <v>180</v>
      </c>
      <c r="H49" s="21">
        <f t="shared" si="48"/>
        <v>100</v>
      </c>
      <c r="I49" s="21">
        <f t="shared" si="48"/>
        <v>145.43334052439053</v>
      </c>
      <c r="J49" s="21">
        <f t="shared" si="48"/>
        <v>369</v>
      </c>
      <c r="K49" s="21">
        <f t="shared" si="48"/>
        <v>358.2246425373072</v>
      </c>
      <c r="L49" s="21"/>
      <c r="M49" s="21">
        <f t="shared" si="48"/>
        <v>0</v>
      </c>
      <c r="N49" s="21">
        <f t="shared" si="48"/>
        <v>386</v>
      </c>
      <c r="O49" s="21">
        <f t="shared" si="48"/>
        <v>107</v>
      </c>
      <c r="P49" s="21"/>
      <c r="Q49" s="21">
        <f t="shared" si="48"/>
        <v>29</v>
      </c>
      <c r="R49" s="21">
        <f t="shared" si="48"/>
        <v>0</v>
      </c>
      <c r="S49" s="21">
        <f t="shared" si="48"/>
        <v>0</v>
      </c>
      <c r="T49" s="21">
        <f t="shared" si="48"/>
        <v>0</v>
      </c>
      <c r="U49" s="21">
        <f t="shared" si="48"/>
        <v>0</v>
      </c>
      <c r="V49" s="21">
        <f t="shared" si="48"/>
        <v>0</v>
      </c>
      <c r="W49" s="21">
        <f t="shared" si="48"/>
        <v>0</v>
      </c>
    </row>
    <row r="50" spans="3:25">
      <c r="C50" s="21">
        <f t="shared" ref="C50:W50" si="49">C23</f>
        <v>2</v>
      </c>
      <c r="D50" s="21">
        <f t="shared" si="49"/>
        <v>107</v>
      </c>
      <c r="E50" s="21">
        <f t="shared" si="49"/>
        <v>126</v>
      </c>
      <c r="F50" s="21">
        <f t="shared" si="49"/>
        <v>13</v>
      </c>
      <c r="G50" s="21">
        <f t="shared" si="49"/>
        <v>54</v>
      </c>
      <c r="H50" s="21">
        <f t="shared" si="49"/>
        <v>104</v>
      </c>
      <c r="I50" s="21">
        <f t="shared" si="49"/>
        <v>91</v>
      </c>
      <c r="J50" s="21">
        <f t="shared" si="49"/>
        <v>6</v>
      </c>
      <c r="K50" s="21">
        <f t="shared" si="49"/>
        <v>84</v>
      </c>
      <c r="L50" s="21"/>
      <c r="M50" s="21">
        <f t="shared" si="49"/>
        <v>0</v>
      </c>
      <c r="N50" s="21">
        <f t="shared" si="49"/>
        <v>84</v>
      </c>
      <c r="O50" s="21">
        <f t="shared" si="49"/>
        <v>43.091360155374971</v>
      </c>
      <c r="P50" s="21"/>
      <c r="Q50" s="21">
        <f t="shared" si="49"/>
        <v>0</v>
      </c>
      <c r="R50" s="21">
        <f t="shared" si="49"/>
        <v>10</v>
      </c>
      <c r="S50" s="21">
        <f t="shared" si="49"/>
        <v>0</v>
      </c>
      <c r="T50" s="21">
        <f t="shared" si="49"/>
        <v>0</v>
      </c>
      <c r="U50" s="21">
        <f t="shared" si="49"/>
        <v>0</v>
      </c>
      <c r="V50" s="21">
        <f t="shared" si="49"/>
        <v>0</v>
      </c>
      <c r="W50" s="21">
        <f t="shared" si="49"/>
        <v>0</v>
      </c>
    </row>
    <row r="51" spans="3:25">
      <c r="C51" s="21">
        <f t="shared" ref="C51:W51" si="50">C24</f>
        <v>365</v>
      </c>
      <c r="D51" s="21">
        <f t="shared" si="50"/>
        <v>9325.8726422199998</v>
      </c>
      <c r="E51" s="21">
        <f t="shared" si="50"/>
        <v>144</v>
      </c>
      <c r="F51" s="21">
        <f t="shared" si="50"/>
        <v>8352.5979776320528</v>
      </c>
      <c r="G51" s="21">
        <f t="shared" si="50"/>
        <v>825</v>
      </c>
      <c r="H51" s="21">
        <f t="shared" si="50"/>
        <v>204</v>
      </c>
      <c r="I51" s="21">
        <f t="shared" si="50"/>
        <v>236.43334052439053</v>
      </c>
      <c r="J51" s="21">
        <f t="shared" si="50"/>
        <v>375</v>
      </c>
      <c r="K51" s="21">
        <f t="shared" si="50"/>
        <v>442.2246425373072</v>
      </c>
      <c r="L51" s="21"/>
      <c r="M51" s="21">
        <f t="shared" si="50"/>
        <v>0</v>
      </c>
      <c r="N51" s="21">
        <f t="shared" si="50"/>
        <v>470</v>
      </c>
      <c r="O51" s="21">
        <f t="shared" si="50"/>
        <v>150.09136015537496</v>
      </c>
      <c r="P51" s="21"/>
      <c r="Q51" s="21">
        <f t="shared" si="50"/>
        <v>29</v>
      </c>
      <c r="R51" s="21">
        <f t="shared" si="50"/>
        <v>10</v>
      </c>
      <c r="S51" s="21">
        <f t="shared" si="50"/>
        <v>0</v>
      </c>
      <c r="T51" s="21">
        <f t="shared" si="50"/>
        <v>0</v>
      </c>
      <c r="U51" s="21">
        <f t="shared" si="50"/>
        <v>0</v>
      </c>
      <c r="V51" s="21">
        <f t="shared" si="50"/>
        <v>0</v>
      </c>
      <c r="W51" s="21">
        <f t="shared" si="50"/>
        <v>0</v>
      </c>
    </row>
    <row r="52" spans="3:25">
      <c r="C52" s="56">
        <f>C41+C42+C46+C45+C47+C51</f>
        <v>768.63506974078268</v>
      </c>
      <c r="D52" s="56">
        <f t="shared" ref="D52:W52" si="51">D41+D42+D46+D45+D47+D51</f>
        <v>14490.972555452499</v>
      </c>
      <c r="E52" s="56">
        <f t="shared" si="51"/>
        <v>4999.3380935931236</v>
      </c>
      <c r="F52" s="56">
        <f t="shared" si="51"/>
        <v>9181.4207703022803</v>
      </c>
      <c r="G52" s="56">
        <f t="shared" si="51"/>
        <v>2977.4730881242999</v>
      </c>
      <c r="H52" s="56">
        <f t="shared" si="51"/>
        <v>1780.8694399464794</v>
      </c>
      <c r="I52" s="56">
        <f t="shared" si="51"/>
        <v>1189.9684764825706</v>
      </c>
      <c r="J52" s="56">
        <f t="shared" si="51"/>
        <v>2977</v>
      </c>
      <c r="K52" s="56">
        <f t="shared" si="51"/>
        <v>1210.7449810933467</v>
      </c>
      <c r="L52" s="56">
        <f t="shared" si="51"/>
        <v>0</v>
      </c>
      <c r="M52" s="56">
        <f t="shared" si="51"/>
        <v>356.58100528572788</v>
      </c>
      <c r="N52" s="56">
        <f t="shared" si="51"/>
        <v>2068.0824302719057</v>
      </c>
      <c r="O52" s="56">
        <f t="shared" si="51"/>
        <v>1551.3563601553749</v>
      </c>
      <c r="P52" s="56">
        <f t="shared" si="51"/>
        <v>0</v>
      </c>
      <c r="Q52" s="56">
        <f t="shared" si="51"/>
        <v>970.62564999999972</v>
      </c>
      <c r="R52" s="56">
        <f t="shared" si="51"/>
        <v>1199.2751499999997</v>
      </c>
      <c r="S52" s="56">
        <f t="shared" si="51"/>
        <v>571.77487499999984</v>
      </c>
      <c r="T52" s="56">
        <f t="shared" si="51"/>
        <v>950.89767499999971</v>
      </c>
      <c r="U52" s="56">
        <f t="shared" si="51"/>
        <v>77.266874999999985</v>
      </c>
      <c r="V52" s="56">
        <f t="shared" si="51"/>
        <v>81.387774999999976</v>
      </c>
      <c r="W52" s="56">
        <f t="shared" si="51"/>
        <v>9.2720249999999975</v>
      </c>
      <c r="Y52" s="21">
        <f>SUM(C52:X52)</f>
        <v>47412.942295448403</v>
      </c>
    </row>
    <row r="53" spans="3:25">
      <c r="C53" s="21">
        <f t="shared" ref="C53:W53" si="52">C26</f>
        <v>1173.0354999999997</v>
      </c>
      <c r="D53" s="21">
        <f t="shared" si="52"/>
        <v>343.17149999999992</v>
      </c>
      <c r="E53" s="21">
        <f t="shared" si="52"/>
        <v>20000</v>
      </c>
      <c r="F53" s="21">
        <f t="shared" si="52"/>
        <v>140.07</v>
      </c>
      <c r="G53" s="21">
        <f t="shared" si="52"/>
        <v>1418.9699999999998</v>
      </c>
      <c r="H53" s="21">
        <f t="shared" si="52"/>
        <v>719.63499999999988</v>
      </c>
      <c r="I53" s="21">
        <f t="shared" si="52"/>
        <v>2.0299999999999998</v>
      </c>
      <c r="J53" s="21">
        <f t="shared" si="52"/>
        <v>648.58499999999992</v>
      </c>
      <c r="K53" s="21">
        <f t="shared" si="52"/>
        <v>3011.5049999999997</v>
      </c>
      <c r="L53" s="21"/>
      <c r="M53" s="21">
        <f t="shared" si="52"/>
        <v>43.644999999999996</v>
      </c>
      <c r="N53" s="21">
        <f t="shared" si="52"/>
        <v>538.96499999999992</v>
      </c>
      <c r="O53" s="21">
        <f>O26-3500</f>
        <v>3500</v>
      </c>
      <c r="P53" s="21"/>
      <c r="Q53" s="21">
        <f t="shared" si="52"/>
        <v>1058</v>
      </c>
      <c r="R53" s="21">
        <f t="shared" si="52"/>
        <v>702</v>
      </c>
      <c r="S53" s="21">
        <f t="shared" si="52"/>
        <v>547</v>
      </c>
      <c r="T53" s="21">
        <f t="shared" si="52"/>
        <v>0</v>
      </c>
      <c r="U53" s="21">
        <f t="shared" si="52"/>
        <v>0</v>
      </c>
      <c r="V53" s="21">
        <f t="shared" si="52"/>
        <v>262</v>
      </c>
      <c r="W53" s="21">
        <f t="shared" si="52"/>
        <v>0</v>
      </c>
      <c r="Y53" s="21">
        <f>SUM(C53:X53)</f>
        <v>34108.611999999994</v>
      </c>
    </row>
    <row r="54" spans="3:25">
      <c r="C54" s="21">
        <f t="shared" ref="C54:W54" si="53">C27</f>
        <v>0</v>
      </c>
      <c r="D54" s="21">
        <f t="shared" si="53"/>
        <v>0</v>
      </c>
      <c r="E54" s="21">
        <f t="shared" si="53"/>
        <v>0</v>
      </c>
      <c r="F54" s="21">
        <f t="shared" si="53"/>
        <v>0</v>
      </c>
      <c r="G54" s="21">
        <f t="shared" si="53"/>
        <v>0</v>
      </c>
      <c r="H54" s="21">
        <f t="shared" si="53"/>
        <v>0</v>
      </c>
      <c r="I54" s="21">
        <f t="shared" si="53"/>
        <v>0</v>
      </c>
      <c r="J54" s="21">
        <f t="shared" si="53"/>
        <v>0</v>
      </c>
      <c r="K54" s="21">
        <f t="shared" si="53"/>
        <v>0</v>
      </c>
      <c r="L54" s="21"/>
      <c r="M54" s="21">
        <f t="shared" si="53"/>
        <v>0</v>
      </c>
      <c r="N54" s="21">
        <f t="shared" si="53"/>
        <v>0</v>
      </c>
      <c r="O54" s="21">
        <f t="shared" si="53"/>
        <v>0</v>
      </c>
      <c r="P54" s="21"/>
      <c r="Q54" s="21">
        <f t="shared" si="53"/>
        <v>0</v>
      </c>
      <c r="R54" s="21">
        <f t="shared" si="53"/>
        <v>0</v>
      </c>
      <c r="S54" s="21">
        <f t="shared" si="53"/>
        <v>0</v>
      </c>
      <c r="T54" s="21">
        <f t="shared" si="53"/>
        <v>0</v>
      </c>
      <c r="U54" s="21">
        <f t="shared" si="53"/>
        <v>0</v>
      </c>
      <c r="V54" s="21">
        <f t="shared" si="53"/>
        <v>0</v>
      </c>
      <c r="W54" s="21">
        <f t="shared" si="53"/>
        <v>0</v>
      </c>
    </row>
    <row r="55" spans="3:25">
      <c r="C55" s="21">
        <f t="shared" ref="C55:W55" si="54">C28</f>
        <v>0</v>
      </c>
      <c r="D55" s="21">
        <f t="shared" si="54"/>
        <v>0</v>
      </c>
      <c r="E55" s="21">
        <f t="shared" si="54"/>
        <v>0</v>
      </c>
      <c r="F55" s="21">
        <f t="shared" si="54"/>
        <v>0</v>
      </c>
      <c r="G55" s="21">
        <f t="shared" si="54"/>
        <v>0</v>
      </c>
      <c r="H55" s="21">
        <f t="shared" si="54"/>
        <v>0</v>
      </c>
      <c r="I55" s="21">
        <f t="shared" si="54"/>
        <v>0</v>
      </c>
      <c r="J55" s="21">
        <f t="shared" si="54"/>
        <v>0</v>
      </c>
      <c r="K55" s="21">
        <f t="shared" si="54"/>
        <v>0</v>
      </c>
      <c r="L55" s="21"/>
      <c r="M55" s="21">
        <f t="shared" si="54"/>
        <v>0</v>
      </c>
      <c r="N55" s="21">
        <f t="shared" si="54"/>
        <v>0</v>
      </c>
      <c r="O55" s="21">
        <f t="shared" si="54"/>
        <v>0</v>
      </c>
      <c r="P55" s="21"/>
      <c r="Q55" s="21">
        <f t="shared" si="54"/>
        <v>0</v>
      </c>
      <c r="R55" s="21">
        <f t="shared" si="54"/>
        <v>0</v>
      </c>
      <c r="S55" s="21">
        <f t="shared" si="54"/>
        <v>0</v>
      </c>
      <c r="T55" s="21">
        <f t="shared" si="54"/>
        <v>0</v>
      </c>
      <c r="U55" s="21">
        <f t="shared" si="54"/>
        <v>0</v>
      </c>
      <c r="V55" s="21">
        <f t="shared" si="54"/>
        <v>0</v>
      </c>
      <c r="W55" s="21">
        <f t="shared" si="54"/>
        <v>0</v>
      </c>
    </row>
    <row r="56" spans="3:25">
      <c r="C56" s="21">
        <f t="shared" ref="C56:W56" si="55">C29</f>
        <v>0</v>
      </c>
      <c r="D56" s="21">
        <f t="shared" si="55"/>
        <v>0</v>
      </c>
      <c r="E56" s="21">
        <f t="shared" si="55"/>
        <v>0</v>
      </c>
      <c r="F56" s="21">
        <f t="shared" si="55"/>
        <v>0</v>
      </c>
      <c r="G56" s="21">
        <f t="shared" si="55"/>
        <v>0</v>
      </c>
      <c r="H56" s="21">
        <f t="shared" si="55"/>
        <v>0</v>
      </c>
      <c r="I56" s="21">
        <f t="shared" si="55"/>
        <v>0</v>
      </c>
      <c r="J56" s="21">
        <f t="shared" si="55"/>
        <v>0</v>
      </c>
      <c r="K56" s="21">
        <f t="shared" si="55"/>
        <v>0</v>
      </c>
      <c r="L56" s="21"/>
      <c r="M56" s="21">
        <f t="shared" si="55"/>
        <v>0</v>
      </c>
      <c r="N56" s="21">
        <f t="shared" si="55"/>
        <v>0</v>
      </c>
      <c r="O56" s="21">
        <f t="shared" si="55"/>
        <v>0</v>
      </c>
      <c r="P56" s="21"/>
      <c r="Q56" s="21">
        <f t="shared" si="55"/>
        <v>0</v>
      </c>
      <c r="R56" s="21">
        <f t="shared" si="55"/>
        <v>0</v>
      </c>
      <c r="S56" s="21">
        <f t="shared" si="55"/>
        <v>0</v>
      </c>
      <c r="T56" s="21">
        <f t="shared" si="55"/>
        <v>0</v>
      </c>
      <c r="U56" s="21">
        <f t="shared" si="55"/>
        <v>0</v>
      </c>
      <c r="V56" s="21">
        <f t="shared" si="55"/>
        <v>0</v>
      </c>
      <c r="W56" s="21">
        <f t="shared" si="55"/>
        <v>0</v>
      </c>
    </row>
  </sheetData>
  <mergeCells count="11">
    <mergeCell ref="A16:A18"/>
    <mergeCell ref="A3:B3"/>
    <mergeCell ref="A4:A11"/>
    <mergeCell ref="A13:B13"/>
    <mergeCell ref="A14:B14"/>
    <mergeCell ref="A15:B15"/>
    <mergeCell ref="C29:K29"/>
    <mergeCell ref="C30:J30"/>
    <mergeCell ref="A20:B20"/>
    <mergeCell ref="A21:A24"/>
    <mergeCell ref="A25:B25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2:AF56"/>
  <sheetViews>
    <sheetView zoomScale="85" zoomScaleNormal="85" workbookViewId="0">
      <pane xSplit="2" ySplit="3" topLeftCell="C13" activePane="bottomRight" state="frozen"/>
      <selection activeCell="Q56" sqref="Q56"/>
      <selection pane="topRight" activeCell="Q56" sqref="Q56"/>
      <selection pane="bottomLeft" activeCell="Q56" sqref="Q56"/>
      <selection pane="bottomRight" activeCell="Q28" sqref="Q28"/>
    </sheetView>
  </sheetViews>
  <sheetFormatPr defaultRowHeight="16.899999999999999"/>
  <cols>
    <col min="1" max="1" width="17.375" customWidth="1"/>
    <col min="2" max="2" width="19.25" bestFit="1" customWidth="1"/>
  </cols>
  <sheetData>
    <row r="2" spans="1:25">
      <c r="Y2" t="s">
        <v>77</v>
      </c>
    </row>
    <row r="3" spans="1:25">
      <c r="A3" s="264" t="s">
        <v>216</v>
      </c>
      <c r="B3" s="264"/>
      <c r="C3" s="88" t="s">
        <v>0</v>
      </c>
      <c r="D3" s="88" t="s">
        <v>18</v>
      </c>
      <c r="E3" s="88" t="s">
        <v>19</v>
      </c>
      <c r="F3" s="88" t="s">
        <v>3</v>
      </c>
      <c r="G3" s="88" t="s">
        <v>5</v>
      </c>
      <c r="H3" s="88" t="s">
        <v>20</v>
      </c>
      <c r="I3" s="88" t="s">
        <v>7</v>
      </c>
      <c r="J3" s="88" t="s">
        <v>22</v>
      </c>
      <c r="K3" s="88" t="s">
        <v>23</v>
      </c>
      <c r="L3" s="88" t="s">
        <v>85</v>
      </c>
      <c r="M3" s="88" t="s">
        <v>21</v>
      </c>
      <c r="N3" s="88" t="s">
        <v>24</v>
      </c>
      <c r="O3" s="88" t="s">
        <v>25</v>
      </c>
      <c r="P3" s="88" t="s">
        <v>85</v>
      </c>
      <c r="Q3" s="88" t="s">
        <v>26</v>
      </c>
      <c r="R3" s="88" t="s">
        <v>27</v>
      </c>
      <c r="S3" s="88" t="s">
        <v>28</v>
      </c>
      <c r="T3" s="88" t="s">
        <v>29</v>
      </c>
      <c r="U3" s="88" t="s">
        <v>30</v>
      </c>
      <c r="V3" s="88" t="s">
        <v>31</v>
      </c>
      <c r="W3" s="88" t="s">
        <v>32</v>
      </c>
      <c r="X3" s="88" t="s">
        <v>17</v>
      </c>
      <c r="Y3" s="88" t="s">
        <v>41</v>
      </c>
    </row>
    <row r="4" spans="1:25">
      <c r="A4" s="265" t="s">
        <v>93</v>
      </c>
      <c r="B4" s="89" t="s">
        <v>33</v>
      </c>
      <c r="C4" s="90">
        <f>동탄!E6</f>
        <v>979.74397499999975</v>
      </c>
      <c r="D4" s="90">
        <f>화성!E6</f>
        <v>378.0925749999999</v>
      </c>
      <c r="E4" s="90">
        <f>파주!E6</f>
        <v>815.93819999999982</v>
      </c>
      <c r="F4" s="90">
        <f>광교!E6</f>
        <v>45.329899999999988</v>
      </c>
      <c r="G4" s="90">
        <f>판교!E6</f>
        <v>315.24884999999989</v>
      </c>
      <c r="H4" s="90">
        <f>삼송!E6</f>
        <v>295.67457499999995</v>
      </c>
      <c r="I4" s="90">
        <f>양산!E6</f>
        <v>167.92667499999996</v>
      </c>
      <c r="J4" s="90">
        <f>대구!E6</f>
        <v>3.0906749999999992</v>
      </c>
      <c r="K4" s="90">
        <f>청주!E6</f>
        <v>30.906749999999992</v>
      </c>
      <c r="L4" s="91">
        <f>SUM(C4:K4)</f>
        <v>3031.9521749999999</v>
      </c>
      <c r="M4" s="90">
        <f>수원!E6</f>
        <v>230.77039999999994</v>
      </c>
      <c r="N4" s="90">
        <f>광주전남!E6</f>
        <v>246.22377499999993</v>
      </c>
      <c r="O4" s="90">
        <f>강남!E6</f>
        <v>165.86622499999996</v>
      </c>
      <c r="P4" s="91">
        <f t="shared" ref="P4:P24" si="0">SUM(M4:O4)</f>
        <v>642.8603999999998</v>
      </c>
      <c r="Q4" s="90">
        <f>중앙!E6</f>
        <v>213.25657499999994</v>
      </c>
      <c r="R4" s="90">
        <f>고양!E6</f>
        <v>109.20384999999997</v>
      </c>
      <c r="S4" s="90">
        <f>용인!E6</f>
        <v>88.599349999999973</v>
      </c>
      <c r="T4" s="90">
        <f>분당!E6</f>
        <v>41.208999999999989</v>
      </c>
      <c r="U4" s="90">
        <f>세종!E6</f>
        <v>32.967199999999991</v>
      </c>
      <c r="V4" s="90">
        <f>김해!E6</f>
        <v>154.53374999999997</v>
      </c>
      <c r="W4" s="90">
        <f>평택!E6</f>
        <v>0</v>
      </c>
      <c r="X4" s="91">
        <f t="shared" ref="X4:X24" si="1">SUM(Q4:W4)</f>
        <v>639.76972499999988</v>
      </c>
      <c r="Y4" s="92">
        <f>L4+P4+X4</f>
        <v>4314.5823</v>
      </c>
    </row>
    <row r="5" spans="1:25">
      <c r="A5" s="265"/>
      <c r="B5" s="89" t="s">
        <v>95</v>
      </c>
      <c r="C5" s="90">
        <f>동탄!E7</f>
        <v>7292.4851688115723</v>
      </c>
      <c r="D5" s="90">
        <f>화성!E7</f>
        <v>1362.4303068725289</v>
      </c>
      <c r="E5" s="90">
        <f>파주!E7</f>
        <v>4142.5347249999986</v>
      </c>
      <c r="F5" s="90">
        <f>광교!E7</f>
        <v>1775.5618807499993</v>
      </c>
      <c r="G5" s="90">
        <f>판교!E7</f>
        <v>877.74765636687448</v>
      </c>
      <c r="H5" s="90">
        <f>삼송!E7</f>
        <v>650.41194924999979</v>
      </c>
      <c r="I5" s="90">
        <f>양산!E7</f>
        <v>835.51247499999977</v>
      </c>
      <c r="J5" s="90">
        <f>대구!E7</f>
        <v>1125.1499314999996</v>
      </c>
      <c r="K5" s="90">
        <f>청주!E7</f>
        <v>2544.2444898140043</v>
      </c>
      <c r="L5" s="91">
        <f t="shared" ref="L5:L13" si="2">SUM(C5:K5)</f>
        <v>20606.078583364979</v>
      </c>
      <c r="M5" s="90">
        <f>수원!E7</f>
        <v>898.35619999999972</v>
      </c>
      <c r="N5" s="90">
        <f>광주전남!E7</f>
        <v>1249.6629249999996</v>
      </c>
      <c r="O5" s="90">
        <f>강남!E7</f>
        <v>1884.2815249999994</v>
      </c>
      <c r="P5" s="91">
        <f t="shared" si="0"/>
        <v>4032.3006499999988</v>
      </c>
      <c r="Q5" s="90">
        <f>중앙!E7</f>
        <v>1384.6223999999997</v>
      </c>
      <c r="R5" s="90">
        <f>고양!E7</f>
        <v>654.19287499999984</v>
      </c>
      <c r="S5" s="90">
        <f>용인!E7</f>
        <v>486.26619999999986</v>
      </c>
      <c r="T5" s="90">
        <f>분당!E7</f>
        <v>629.46747499999981</v>
      </c>
      <c r="U5" s="90">
        <f>세종!E7</f>
        <v>117.44564999999997</v>
      </c>
      <c r="V5" s="90">
        <f>김해!E7</f>
        <v>317.30929999999989</v>
      </c>
      <c r="W5" s="90">
        <f>평택!E7</f>
        <v>169.98712499999996</v>
      </c>
      <c r="X5" s="91">
        <f t="shared" si="1"/>
        <v>3759.2910249999995</v>
      </c>
      <c r="Y5" s="91">
        <f t="shared" ref="Y5:Y24" si="3">L5+P5+X5</f>
        <v>28397.670258364975</v>
      </c>
    </row>
    <row r="6" spans="1:25">
      <c r="A6" s="265"/>
      <c r="B6" s="89" t="s">
        <v>96</v>
      </c>
      <c r="C6" s="90">
        <f>동탄!E8</f>
        <v>8338.2393622499967</v>
      </c>
      <c r="D6" s="90">
        <f>화성!E8</f>
        <v>6441.3787899999979</v>
      </c>
      <c r="E6" s="90">
        <f>파주!E8</f>
        <v>6019.9704048749982</v>
      </c>
      <c r="F6" s="90">
        <f>광교!E8</f>
        <v>2474.075035249999</v>
      </c>
      <c r="G6" s="90">
        <f>판교!E8</f>
        <v>2568.1860889999989</v>
      </c>
      <c r="H6" s="90">
        <f>삼송!E8</f>
        <v>1852.9420804999993</v>
      </c>
      <c r="I6" s="90">
        <f>양산!E8</f>
        <v>2308.8578519999992</v>
      </c>
      <c r="J6" s="90">
        <f>대구!E8</f>
        <v>3819.8631038749986</v>
      </c>
      <c r="K6" s="90">
        <f>청주!E8</f>
        <v>3470.6065266249989</v>
      </c>
      <c r="L6" s="91">
        <f>SUM(C6:K6)</f>
        <v>37294.11924437499</v>
      </c>
      <c r="M6" s="90">
        <f>수원!E8</f>
        <v>2568.1860889999989</v>
      </c>
      <c r="N6" s="90">
        <f>광주전남!E8</f>
        <v>1827.8457994999992</v>
      </c>
      <c r="O6" s="90">
        <f>강남!E8</f>
        <v>1283.0473661249996</v>
      </c>
      <c r="P6" s="91">
        <f t="shared" si="0"/>
        <v>5679.0792546249977</v>
      </c>
      <c r="Q6" s="90">
        <f>중앙!E8</f>
        <v>1112.6017909999996</v>
      </c>
      <c r="R6" s="90">
        <f>고양!E8</f>
        <v>730.92918412499978</v>
      </c>
      <c r="S6" s="90">
        <f>용인!E8</f>
        <v>707.92425987499973</v>
      </c>
      <c r="T6" s="90">
        <f>분당!E8</f>
        <v>631.58973849999973</v>
      </c>
      <c r="U6" s="90">
        <f>세종!E8</f>
        <v>285.47019637499989</v>
      </c>
      <c r="V6" s="90">
        <f>김해!E8</f>
        <v>41.827134999999984</v>
      </c>
      <c r="W6" s="90">
        <f>평택!E8</f>
        <v>41.827134999999984</v>
      </c>
      <c r="X6" s="91">
        <f t="shared" si="1"/>
        <v>3552.1694398749987</v>
      </c>
      <c r="Y6" s="91">
        <f t="shared" si="3"/>
        <v>46525.367938874988</v>
      </c>
    </row>
    <row r="7" spans="1:25">
      <c r="A7" s="265"/>
      <c r="B7" s="89" t="s">
        <v>97</v>
      </c>
      <c r="C7" s="90">
        <f>동탄!E9</f>
        <v>5330.6808866393012</v>
      </c>
      <c r="D7" s="90">
        <f>화성!E9</f>
        <v>383.24369999999988</v>
      </c>
      <c r="E7" s="90">
        <f>파주!E9</f>
        <v>666.55557499999986</v>
      </c>
      <c r="F7" s="90">
        <f>광교!E9</f>
        <v>993.68229999999994</v>
      </c>
      <c r="G7" s="90">
        <f>판교!E9</f>
        <v>193.68229999999994</v>
      </c>
      <c r="H7" s="90">
        <f>삼송!E9</f>
        <v>163.80577499999995</v>
      </c>
      <c r="I7" s="90">
        <f>양산!E9</f>
        <v>240.04242499999992</v>
      </c>
      <c r="J7" s="90">
        <f>대구!E9</f>
        <v>274.03984999999994</v>
      </c>
      <c r="K7" s="90">
        <f>청주!E9</f>
        <v>209.13567499999994</v>
      </c>
      <c r="L7" s="91">
        <f t="shared" si="2"/>
        <v>8454.8684866393014</v>
      </c>
      <c r="M7" s="90">
        <f>수원!E9</f>
        <v>154.53374999999997</v>
      </c>
      <c r="N7" s="90">
        <f>광주전남!E9</f>
        <v>214.28679999999994</v>
      </c>
      <c r="O7" s="90">
        <f>강남!E9</f>
        <v>604.74207499999989</v>
      </c>
      <c r="P7" s="91">
        <f t="shared" si="0"/>
        <v>973.5626249999998</v>
      </c>
      <c r="Q7" s="90">
        <f>중앙!E9</f>
        <v>707.76457499999981</v>
      </c>
      <c r="R7" s="90">
        <f>고양!E9</f>
        <v>554.26104999999984</v>
      </c>
      <c r="S7" s="90">
        <f>용인!E9</f>
        <v>122.59677499999997</v>
      </c>
      <c r="T7" s="90">
        <f>분당!E9</f>
        <v>86.538899999999984</v>
      </c>
      <c r="U7" s="90">
        <f>세종!E9</f>
        <v>62.843724999999985</v>
      </c>
      <c r="V7" s="90">
        <f>김해!E9</f>
        <v>54.601924999999987</v>
      </c>
      <c r="W7" s="90">
        <f>평택!E9</f>
        <v>95.810924999999969</v>
      </c>
      <c r="X7" s="91">
        <f t="shared" si="1"/>
        <v>1684.4178749999996</v>
      </c>
      <c r="Y7" s="91">
        <f t="shared" si="3"/>
        <v>11112.848986639301</v>
      </c>
    </row>
    <row r="8" spans="1:25">
      <c r="A8" s="265"/>
      <c r="B8" s="89" t="s">
        <v>281</v>
      </c>
      <c r="C8" s="90">
        <f>동탄!E10</f>
        <v>2524.3568654963897</v>
      </c>
      <c r="D8" s="90">
        <f>화성!E10</f>
        <v>876.68629281624953</v>
      </c>
      <c r="E8" s="90">
        <f>파주!E10</f>
        <v>1498.9773749999997</v>
      </c>
      <c r="F8" s="90">
        <f>광교!E10</f>
        <v>1279.5394499999998</v>
      </c>
      <c r="G8" s="90">
        <f>판교!E10</f>
        <v>483.17552499999988</v>
      </c>
      <c r="H8" s="90">
        <f>삼송!E10</f>
        <v>403.84819999999991</v>
      </c>
      <c r="I8" s="90">
        <f>양산!E10</f>
        <v>922.05137499999978</v>
      </c>
      <c r="J8" s="90">
        <f>대구!E10</f>
        <v>795.33369999999979</v>
      </c>
      <c r="K8" s="90">
        <f>청주!E10</f>
        <v>383.24369999999988</v>
      </c>
      <c r="L8" s="91">
        <f t="shared" si="2"/>
        <v>9167.2124833126363</v>
      </c>
      <c r="M8" s="90">
        <f>수원!E10</f>
        <v>298.76524999999992</v>
      </c>
      <c r="N8" s="90">
        <f>광주전남!E10</f>
        <v>733.52019999999982</v>
      </c>
      <c r="O8" s="90">
        <f>강남!E10</f>
        <v>656.25332499999979</v>
      </c>
      <c r="P8" s="91">
        <f t="shared" si="0"/>
        <v>1688.5387749999995</v>
      </c>
      <c r="Q8" s="90">
        <f>중앙!E10</f>
        <v>1083.7966999999996</v>
      </c>
      <c r="R8" s="90">
        <f>고양!E10</f>
        <v>1285.7207999999996</v>
      </c>
      <c r="S8" s="90">
        <f>용인!E10</f>
        <v>229.74017499999994</v>
      </c>
      <c r="T8" s="90">
        <f>분당!E10</f>
        <v>457.41989999999987</v>
      </c>
      <c r="U8" s="90">
        <f>세종!E10</f>
        <v>345.12537499999991</v>
      </c>
      <c r="V8" s="90">
        <f>김해!E10</f>
        <v>271.97939999999994</v>
      </c>
      <c r="W8" s="90">
        <f>평택!E10</f>
        <v>28.846299999999992</v>
      </c>
      <c r="X8" s="91">
        <f t="shared" si="1"/>
        <v>3702.6286499999987</v>
      </c>
      <c r="Y8" s="91">
        <f t="shared" si="3"/>
        <v>14558.379908312634</v>
      </c>
    </row>
    <row r="9" spans="1:25">
      <c r="A9" s="265"/>
      <c r="B9" s="220" t="s">
        <v>279</v>
      </c>
      <c r="C9" s="90">
        <f>동탄!E11</f>
        <v>776.93903262499975</v>
      </c>
      <c r="D9" s="90">
        <f>화성!E11</f>
        <v>600.21938724999973</v>
      </c>
      <c r="E9" s="90">
        <f>파주!E11</f>
        <v>560.48360899999977</v>
      </c>
      <c r="F9" s="90">
        <f>광교!E11</f>
        <v>230.04924249999993</v>
      </c>
      <c r="G9" s="90">
        <f>판교!E11</f>
        <v>239.46034787499991</v>
      </c>
      <c r="H9" s="90">
        <f>삼송!E11</f>
        <v>52.283918749999977</v>
      </c>
      <c r="I9" s="90">
        <f>양산!E11</f>
        <v>214.36406687499993</v>
      </c>
      <c r="J9" s="90">
        <f>대구!E11</f>
        <v>355.53064749999987</v>
      </c>
      <c r="K9" s="90">
        <f>청주!E11</f>
        <v>323.11461787499991</v>
      </c>
      <c r="L9" s="91">
        <f t="shared" si="2"/>
        <v>3352.4448702499985</v>
      </c>
      <c r="M9" s="90">
        <f>수원!E11</f>
        <v>65.87773762499998</v>
      </c>
      <c r="N9" s="90">
        <f>광주전남!E11</f>
        <v>164.17150487499995</v>
      </c>
      <c r="O9" s="90">
        <f>강남!E11</f>
        <v>115.02462124999997</v>
      </c>
      <c r="P9" s="91">
        <f t="shared" si="0"/>
        <v>345.07386374999987</v>
      </c>
      <c r="Q9" s="90">
        <f>중앙!E11</f>
        <v>100.38512399999998</v>
      </c>
      <c r="R9" s="90">
        <f>고양!E11</f>
        <v>65.87773762499998</v>
      </c>
      <c r="S9" s="90">
        <f>용인!E11</f>
        <v>63.786380874999978</v>
      </c>
      <c r="T9" s="90">
        <f>분당!E11</f>
        <v>56.466632249999982</v>
      </c>
      <c r="U9" s="90">
        <f>세종!E11</f>
        <v>26.141959374999988</v>
      </c>
      <c r="V9" s="90">
        <f>김해!E11</f>
        <v>4.1827134999999984</v>
      </c>
      <c r="W9" s="90">
        <f>평택!E11</f>
        <v>4.1827134999999984</v>
      </c>
      <c r="X9" s="91">
        <f t="shared" si="1"/>
        <v>321.02326112499986</v>
      </c>
      <c r="Y9" s="91">
        <f t="shared" si="3"/>
        <v>4018.5419951249983</v>
      </c>
    </row>
    <row r="10" spans="1:25">
      <c r="A10" s="265"/>
      <c r="B10" s="220" t="s">
        <v>280</v>
      </c>
      <c r="C10" s="90">
        <f>동탄!E12</f>
        <v>86.791305124999965</v>
      </c>
      <c r="D10" s="90">
        <f>화성!E12</f>
        <v>66.923415999999975</v>
      </c>
      <c r="E10" s="90">
        <f>파주!E12</f>
        <v>62.740702499999976</v>
      </c>
      <c r="F10" s="90">
        <f>광교!E12</f>
        <v>25.096280999999994</v>
      </c>
      <c r="G10" s="90">
        <f>판교!E12</f>
        <v>26.141959374999988</v>
      </c>
      <c r="H10" s="90">
        <f>삼송!E12</f>
        <v>6.2740702499999985</v>
      </c>
      <c r="I10" s="90">
        <f>양산!E12</f>
        <v>24.050602624999993</v>
      </c>
      <c r="J10" s="90">
        <f>대구!E12</f>
        <v>39.735778249999981</v>
      </c>
      <c r="K10" s="90">
        <f>청주!E12</f>
        <v>35.55306474999999</v>
      </c>
      <c r="L10" s="91">
        <f t="shared" ref="L10" si="4">SUM(C10:K10)</f>
        <v>373.30717987499986</v>
      </c>
      <c r="M10" s="90">
        <f>수원!E12</f>
        <v>7.3197486249999972</v>
      </c>
      <c r="N10" s="90">
        <f>광주전남!E12</f>
        <v>17.776532374999995</v>
      </c>
      <c r="O10" s="90">
        <f>강남!E12</f>
        <v>12.548140499999997</v>
      </c>
      <c r="P10" s="91">
        <f t="shared" ref="P10" si="5">SUM(M10:O10)</f>
        <v>37.644421499999986</v>
      </c>
      <c r="Q10" s="90">
        <f>중앙!E12</f>
        <v>11.502462124999996</v>
      </c>
      <c r="R10" s="90">
        <f>고양!E12</f>
        <v>7.3197486249999972</v>
      </c>
      <c r="S10" s="90">
        <f>용인!E12</f>
        <v>7.3197486249999972</v>
      </c>
      <c r="T10" s="90">
        <f>분당!E12</f>
        <v>6.2740702499999985</v>
      </c>
      <c r="U10" s="90">
        <f>세종!E12</f>
        <v>3.1370351249999993</v>
      </c>
      <c r="V10" s="90">
        <f>김해!E12</f>
        <v>1.0456783749999996</v>
      </c>
      <c r="W10" s="90">
        <f>평택!E12</f>
        <v>1.0456783749999996</v>
      </c>
      <c r="X10" s="91">
        <f t="shared" ref="X10" si="6">SUM(Q10:W10)</f>
        <v>37.644421499999993</v>
      </c>
      <c r="Y10" s="91">
        <f t="shared" ref="Y10" si="7">L10+P10+X10</f>
        <v>448.59602287499979</v>
      </c>
    </row>
    <row r="11" spans="1:25">
      <c r="A11" s="265"/>
      <c r="B11" s="93" t="s">
        <v>35</v>
      </c>
      <c r="C11" s="94">
        <f>SUM(C4:C10)</f>
        <v>25329.236595947255</v>
      </c>
      <c r="D11" s="94">
        <f t="shared" ref="D11:M11" si="8">SUM(D4:D10)</f>
        <v>10108.974467938775</v>
      </c>
      <c r="E11" s="94">
        <f t="shared" si="8"/>
        <v>13767.200591374996</v>
      </c>
      <c r="F11" s="94">
        <f t="shared" si="8"/>
        <v>6823.3340894999992</v>
      </c>
      <c r="G11" s="94">
        <f t="shared" si="8"/>
        <v>4703.6427276168724</v>
      </c>
      <c r="H11" s="94">
        <f t="shared" si="8"/>
        <v>3425.2405687499986</v>
      </c>
      <c r="I11" s="94">
        <f t="shared" si="8"/>
        <v>4712.8054714999989</v>
      </c>
      <c r="J11" s="94">
        <f t="shared" si="8"/>
        <v>6412.7436861249989</v>
      </c>
      <c r="K11" s="94">
        <f t="shared" si="8"/>
        <v>6996.8048240640019</v>
      </c>
      <c r="L11" s="94">
        <f>SUM(C11:K11)</f>
        <v>82279.983022816916</v>
      </c>
      <c r="M11" s="94">
        <f t="shared" si="8"/>
        <v>4223.8091752499986</v>
      </c>
      <c r="N11" s="94">
        <f t="shared" ref="N11" si="9">SUM(N4:N10)</f>
        <v>4453.487536749999</v>
      </c>
      <c r="O11" s="94">
        <f t="shared" ref="O11" si="10">SUM(O4:O10)</f>
        <v>4721.7632778749985</v>
      </c>
      <c r="P11" s="94">
        <f t="shared" si="0"/>
        <v>13399.059989874997</v>
      </c>
      <c r="Q11" s="94">
        <f t="shared" ref="Q11" si="11">SUM(Q4:Q10)</f>
        <v>4613.9296271249996</v>
      </c>
      <c r="R11" s="94">
        <f t="shared" ref="R11" si="12">SUM(R4:R10)</f>
        <v>3407.505245374999</v>
      </c>
      <c r="S11" s="94">
        <f t="shared" ref="S11" si="13">SUM(S4:S10)</f>
        <v>1706.2328893749998</v>
      </c>
      <c r="T11" s="94">
        <f t="shared" ref="T11" si="14">SUM(T4:T10)</f>
        <v>1908.9657159999995</v>
      </c>
      <c r="U11" s="94">
        <f t="shared" ref="U11" si="15">SUM(U4:U10)</f>
        <v>873.13114087499969</v>
      </c>
      <c r="V11" s="94">
        <f t="shared" ref="V11" si="16">SUM(V4:V10)</f>
        <v>845.47990187499965</v>
      </c>
      <c r="W11" s="94">
        <f t="shared" ref="W11" si="17">SUM(W4:W10)</f>
        <v>341.69987687499986</v>
      </c>
      <c r="X11" s="94">
        <f t="shared" si="1"/>
        <v>13696.944397499996</v>
      </c>
      <c r="Y11" s="94">
        <f t="shared" si="3"/>
        <v>109375.98741019191</v>
      </c>
    </row>
    <row r="12" spans="1:25">
      <c r="A12" s="89" t="s">
        <v>98</v>
      </c>
      <c r="B12" s="89" t="s">
        <v>99</v>
      </c>
      <c r="C12" s="95">
        <f>동탄!E13</f>
        <v>452.45928163143719</v>
      </c>
      <c r="D12" s="95">
        <f>화성!E13</f>
        <v>380.1530249999999</v>
      </c>
      <c r="E12" s="95">
        <f>파주!E13</f>
        <v>577.95622499999979</v>
      </c>
      <c r="F12" s="95">
        <f>광교!E13</f>
        <v>241.07264999999992</v>
      </c>
      <c r="G12" s="95">
        <f>판교!E13</f>
        <v>220.46814999999995</v>
      </c>
      <c r="H12" s="95">
        <f>삼송!E13</f>
        <v>235.92152499999995</v>
      </c>
      <c r="I12" s="95">
        <f>양산!E13</f>
        <v>687.16007499999978</v>
      </c>
      <c r="J12" s="95">
        <f>대구!E13</f>
        <v>434.75494999999989</v>
      </c>
      <c r="K12" s="95">
        <f>청주!E13</f>
        <v>452.26877499999989</v>
      </c>
      <c r="L12" s="92">
        <f>SUM(C12:K12)</f>
        <v>3682.2146566314364</v>
      </c>
      <c r="M12" s="95">
        <f>수원!E13</f>
        <v>108.17362499999997</v>
      </c>
      <c r="N12" s="95">
        <f>광주전남!E13</f>
        <v>800.48482499999977</v>
      </c>
      <c r="O12" s="95">
        <f>강남!E13</f>
        <v>244.16332499999993</v>
      </c>
      <c r="P12" s="92">
        <f t="shared" si="0"/>
        <v>1152.8217749999997</v>
      </c>
      <c r="Q12" s="95">
        <f>중앙!E13</f>
        <v>245.19354999999993</v>
      </c>
      <c r="R12" s="95">
        <f>고양!E13</f>
        <v>103.02249999999998</v>
      </c>
      <c r="S12" s="95">
        <f>용인!E13</f>
        <v>196.77297499999995</v>
      </c>
      <c r="T12" s="95">
        <f>분당!E13</f>
        <v>66.964624999999984</v>
      </c>
      <c r="U12" s="95">
        <f>세종!E13</f>
        <v>80.357549999999975</v>
      </c>
      <c r="V12" s="95">
        <f>김해!E13</f>
        <v>164.83599999999996</v>
      </c>
      <c r="W12" s="95">
        <f>평택!E13</f>
        <v>52.541474999999984</v>
      </c>
      <c r="X12" s="92">
        <f t="shared" si="1"/>
        <v>909.68867499999965</v>
      </c>
      <c r="Y12" s="92">
        <f t="shared" si="3"/>
        <v>5744.7251066314357</v>
      </c>
    </row>
    <row r="13" spans="1:25">
      <c r="A13" s="255" t="s">
        <v>110</v>
      </c>
      <c r="B13" s="255"/>
      <c r="C13" s="58">
        <f t="shared" ref="C13:H13" si="18">C12+C11</f>
        <v>25781.695877578692</v>
      </c>
      <c r="D13" s="58">
        <f t="shared" si="18"/>
        <v>10489.127492938775</v>
      </c>
      <c r="E13" s="58">
        <f t="shared" si="18"/>
        <v>14345.156816374996</v>
      </c>
      <c r="F13" s="58">
        <f t="shared" si="18"/>
        <v>7064.4067394999993</v>
      </c>
      <c r="G13" s="58">
        <f t="shared" si="18"/>
        <v>4924.1108776168721</v>
      </c>
      <c r="H13" s="58">
        <f t="shared" si="18"/>
        <v>3661.1620937499983</v>
      </c>
      <c r="I13" s="58">
        <f>I12+I11</f>
        <v>5399.9655464999987</v>
      </c>
      <c r="J13" s="58">
        <f>J12+J11</f>
        <v>6847.4986361249985</v>
      </c>
      <c r="K13" s="58">
        <f>K12+K11</f>
        <v>7449.0735990640014</v>
      </c>
      <c r="L13" s="58">
        <f t="shared" si="2"/>
        <v>85962.197679448334</v>
      </c>
      <c r="M13" s="58">
        <f>M12+M11</f>
        <v>4331.9828002499989</v>
      </c>
      <c r="N13" s="58">
        <f>N12+N11</f>
        <v>5253.9723617499985</v>
      </c>
      <c r="O13" s="58">
        <f>O12+O11</f>
        <v>4965.926602874998</v>
      </c>
      <c r="P13" s="58">
        <f t="shared" si="0"/>
        <v>14551.881764874997</v>
      </c>
      <c r="Q13" s="58">
        <f t="shared" ref="Q13:W13" si="19">Q12+Q11</f>
        <v>4859.1231771249995</v>
      </c>
      <c r="R13" s="58">
        <f t="shared" si="19"/>
        <v>3510.5277453749991</v>
      </c>
      <c r="S13" s="58">
        <f t="shared" si="19"/>
        <v>1903.0058643749996</v>
      </c>
      <c r="T13" s="58">
        <f t="shared" si="19"/>
        <v>1975.9303409999995</v>
      </c>
      <c r="U13" s="58">
        <f t="shared" si="19"/>
        <v>953.48869087499963</v>
      </c>
      <c r="V13" s="58">
        <f t="shared" si="19"/>
        <v>1010.3159018749996</v>
      </c>
      <c r="W13" s="58">
        <f t="shared" si="19"/>
        <v>394.24135187499985</v>
      </c>
      <c r="X13" s="58">
        <f t="shared" si="1"/>
        <v>14606.633072499997</v>
      </c>
      <c r="Y13" s="58">
        <f>L13+P13+X13</f>
        <v>115120.71251682333</v>
      </c>
    </row>
    <row r="14" spans="1:25">
      <c r="A14" s="263" t="s">
        <v>65</v>
      </c>
      <c r="B14" s="263"/>
      <c r="C14" s="95">
        <f>동탄!E15</f>
        <v>0</v>
      </c>
      <c r="D14" s="95">
        <f>화성!E15</f>
        <v>22</v>
      </c>
      <c r="E14" s="95">
        <f>파주!E15</f>
        <v>0</v>
      </c>
      <c r="F14" s="95">
        <f>광교!E15</f>
        <v>28</v>
      </c>
      <c r="G14" s="95">
        <f>판교!E15</f>
        <v>6</v>
      </c>
      <c r="H14" s="95">
        <f>삼송!E15</f>
        <v>0</v>
      </c>
      <c r="I14" s="95">
        <f>양산!E15</f>
        <v>11</v>
      </c>
      <c r="J14" s="95">
        <f>대구!E15</f>
        <v>0</v>
      </c>
      <c r="K14" s="95">
        <f>청주!E15</f>
        <v>0</v>
      </c>
      <c r="L14" s="92">
        <f>SUM(C14:K14)</f>
        <v>67</v>
      </c>
      <c r="M14" s="95">
        <f>수원!E15</f>
        <v>0</v>
      </c>
      <c r="N14" s="95">
        <f>광주전남!E15</f>
        <v>0</v>
      </c>
      <c r="O14" s="95">
        <f>강남!E15</f>
        <v>0</v>
      </c>
      <c r="P14" s="96">
        <f t="shared" si="0"/>
        <v>0</v>
      </c>
      <c r="Q14" s="95">
        <f>중앙!E15</f>
        <v>0</v>
      </c>
      <c r="R14" s="95">
        <f>고양!E15</f>
        <v>0</v>
      </c>
      <c r="S14" s="95">
        <f>용인!E15</f>
        <v>0</v>
      </c>
      <c r="T14" s="95">
        <f>분당!E15</f>
        <v>0</v>
      </c>
      <c r="U14" s="95">
        <f>세종!E15</f>
        <v>0</v>
      </c>
      <c r="V14" s="95">
        <f>김해!E15</f>
        <v>0</v>
      </c>
      <c r="W14" s="95">
        <f>평택!E15</f>
        <v>0</v>
      </c>
      <c r="X14" s="96">
        <f t="shared" si="1"/>
        <v>0</v>
      </c>
      <c r="Y14" s="96">
        <f t="shared" si="3"/>
        <v>67</v>
      </c>
    </row>
    <row r="15" spans="1:25">
      <c r="A15" s="263" t="s">
        <v>66</v>
      </c>
      <c r="B15" s="263"/>
      <c r="C15" s="95">
        <f>동탄!E16</f>
        <v>0</v>
      </c>
      <c r="D15" s="95">
        <f>화성!E16</f>
        <v>15</v>
      </c>
      <c r="E15" s="95">
        <f>파주!E16</f>
        <v>0</v>
      </c>
      <c r="F15" s="95">
        <f>광교!E16</f>
        <v>0</v>
      </c>
      <c r="G15" s="95">
        <f>판교!E16</f>
        <v>0</v>
      </c>
      <c r="H15" s="95">
        <f>삼송!E16</f>
        <v>0</v>
      </c>
      <c r="I15" s="95">
        <f>양산!E16</f>
        <v>0</v>
      </c>
      <c r="J15" s="95">
        <f>대구!E16</f>
        <v>0</v>
      </c>
      <c r="K15" s="95">
        <f>청주!E16</f>
        <v>0</v>
      </c>
      <c r="L15" s="92">
        <f t="shared" ref="L15:L18" si="20">SUM(C15:K15)</f>
        <v>15</v>
      </c>
      <c r="M15" s="95">
        <f>수원!E16</f>
        <v>0</v>
      </c>
      <c r="N15" s="95">
        <f>광주전남!E16</f>
        <v>0</v>
      </c>
      <c r="O15" s="95">
        <f>강남!E16</f>
        <v>0</v>
      </c>
      <c r="P15" s="96">
        <f t="shared" si="0"/>
        <v>0</v>
      </c>
      <c r="Q15" s="95">
        <f>중앙!E16</f>
        <v>0</v>
      </c>
      <c r="R15" s="95">
        <f>고양!E16</f>
        <v>0</v>
      </c>
      <c r="S15" s="95">
        <f>용인!E16</f>
        <v>0</v>
      </c>
      <c r="T15" s="95">
        <f>분당!E16</f>
        <v>0</v>
      </c>
      <c r="U15" s="95">
        <f>세종!E16</f>
        <v>0</v>
      </c>
      <c r="V15" s="95">
        <f>김해!E16</f>
        <v>0</v>
      </c>
      <c r="W15" s="95">
        <f>평택!E16</f>
        <v>0</v>
      </c>
      <c r="X15" s="96">
        <f t="shared" si="1"/>
        <v>0</v>
      </c>
      <c r="Y15" s="96">
        <f t="shared" si="3"/>
        <v>15</v>
      </c>
    </row>
    <row r="16" spans="1:25">
      <c r="A16" s="263" t="s">
        <v>34</v>
      </c>
      <c r="B16" s="97" t="s">
        <v>81</v>
      </c>
      <c r="C16" s="95">
        <f>동탄!E17</f>
        <v>3711.2510000000002</v>
      </c>
      <c r="D16" s="95">
        <f>화성!E17</f>
        <v>1757</v>
      </c>
      <c r="E16" s="95">
        <f>파주!E17</f>
        <v>0</v>
      </c>
      <c r="F16" s="95">
        <f>광교!E17</f>
        <v>0</v>
      </c>
      <c r="G16" s="95">
        <f>판교!E17</f>
        <v>0</v>
      </c>
      <c r="H16" s="95">
        <f>삼송!E17</f>
        <v>0</v>
      </c>
      <c r="I16" s="95">
        <f>양산!E17</f>
        <v>4336</v>
      </c>
      <c r="J16" s="95">
        <f>대구!E17</f>
        <v>6636</v>
      </c>
      <c r="K16" s="95">
        <f>청주!E17</f>
        <v>0</v>
      </c>
      <c r="L16" s="92">
        <f>SUM(C16:K16)</f>
        <v>16440.251</v>
      </c>
      <c r="M16" s="95">
        <f>수원!E17</f>
        <v>0</v>
      </c>
      <c r="N16" s="95">
        <f>광주전남!E17</f>
        <v>0</v>
      </c>
      <c r="O16" s="95">
        <f>강남!E17</f>
        <v>0</v>
      </c>
      <c r="P16" s="96">
        <f t="shared" si="0"/>
        <v>0</v>
      </c>
      <c r="Q16" s="95">
        <f>중앙!E17</f>
        <v>0</v>
      </c>
      <c r="R16" s="95">
        <f>고양!E17</f>
        <v>0</v>
      </c>
      <c r="S16" s="95">
        <f>용인!E17</f>
        <v>0</v>
      </c>
      <c r="T16" s="95">
        <f>분당!E17</f>
        <v>0</v>
      </c>
      <c r="U16" s="95">
        <f>세종!E17</f>
        <v>0</v>
      </c>
      <c r="V16" s="95">
        <f>김해!E17</f>
        <v>0</v>
      </c>
      <c r="W16" s="95">
        <f>평택!E17</f>
        <v>0</v>
      </c>
      <c r="X16" s="96">
        <f t="shared" si="1"/>
        <v>0</v>
      </c>
      <c r="Y16" s="96">
        <f t="shared" si="3"/>
        <v>16440.251</v>
      </c>
    </row>
    <row r="17" spans="1:32">
      <c r="A17" s="263"/>
      <c r="B17" s="97" t="s">
        <v>64</v>
      </c>
      <c r="C17" s="95">
        <f>동탄!E18</f>
        <v>15149</v>
      </c>
      <c r="D17" s="95">
        <f>화성!E18</f>
        <v>1669.5248651331242</v>
      </c>
      <c r="E17" s="95">
        <f>파주!E18</f>
        <v>2627.5441632541633</v>
      </c>
      <c r="F17" s="95">
        <f>광교!E18</f>
        <v>1044.2383170652208</v>
      </c>
      <c r="G17" s="95">
        <f>판교!E18</f>
        <v>1180.2362682949993</v>
      </c>
      <c r="H17" s="95">
        <f>삼송!E18</f>
        <v>290.85590820874216</v>
      </c>
      <c r="I17" s="95">
        <f>양산!E18</f>
        <v>180</v>
      </c>
      <c r="J17" s="95">
        <f>대구!E18</f>
        <v>1402.8877076384067</v>
      </c>
      <c r="K17" s="95">
        <f>청주!E18</f>
        <v>706</v>
      </c>
      <c r="L17" s="92">
        <f>SUM(C17:K17)</f>
        <v>24250.287229594654</v>
      </c>
      <c r="M17" s="95">
        <f>수원!E18</f>
        <v>361.92972036501374</v>
      </c>
      <c r="N17" s="95">
        <f>광주전남!E18</f>
        <v>1545.5126382499993</v>
      </c>
      <c r="O17" s="95">
        <f>강남!E18</f>
        <v>1391.8339749999996</v>
      </c>
      <c r="P17" s="96">
        <f t="shared" si="0"/>
        <v>3299.2763336150128</v>
      </c>
      <c r="Q17" s="95">
        <f>중앙!E18</f>
        <v>955.7500347499996</v>
      </c>
      <c r="R17" s="95">
        <f>고양!E18</f>
        <v>1185.7992772499995</v>
      </c>
      <c r="S17" s="95">
        <f>용인!E18</f>
        <v>580.35149812499981</v>
      </c>
      <c r="T17" s="95">
        <f>분당!E18</f>
        <v>965.16114012499963</v>
      </c>
      <c r="U17" s="95">
        <f>세종!E18</f>
        <v>78.425878124999969</v>
      </c>
      <c r="V17" s="95">
        <f>김해!E18</f>
        <v>82.608591624999974</v>
      </c>
      <c r="W17" s="95">
        <f>평택!E18</f>
        <v>9.4111053749999964</v>
      </c>
      <c r="X17" s="96">
        <f t="shared" si="1"/>
        <v>3857.5075253749987</v>
      </c>
      <c r="Y17" s="96">
        <f t="shared" si="3"/>
        <v>31407.071088584667</v>
      </c>
    </row>
    <row r="18" spans="1:32">
      <c r="A18" s="263"/>
      <c r="B18" s="93" t="s">
        <v>35</v>
      </c>
      <c r="C18" s="98">
        <f t="shared" ref="C18:H18" si="21">SUM(C16:C17)</f>
        <v>18860.251</v>
      </c>
      <c r="D18" s="98">
        <f t="shared" si="21"/>
        <v>3426.524865133124</v>
      </c>
      <c r="E18" s="98">
        <f t="shared" si="21"/>
        <v>2627.5441632541633</v>
      </c>
      <c r="F18" s="98">
        <f t="shared" si="21"/>
        <v>1044.2383170652208</v>
      </c>
      <c r="G18" s="98">
        <f t="shared" si="21"/>
        <v>1180.2362682949993</v>
      </c>
      <c r="H18" s="98">
        <f t="shared" si="21"/>
        <v>290.85590820874216</v>
      </c>
      <c r="I18" s="98">
        <f>SUM(I16:I17)</f>
        <v>4516</v>
      </c>
      <c r="J18" s="98">
        <f>SUM(J16:J17)</f>
        <v>8038.8877076384069</v>
      </c>
      <c r="K18" s="98">
        <f>SUM(K16:K17)</f>
        <v>706</v>
      </c>
      <c r="L18" s="98">
        <f t="shared" si="20"/>
        <v>40690.538229594655</v>
      </c>
      <c r="M18" s="98">
        <f>SUM(M16:M17)</f>
        <v>361.92972036501374</v>
      </c>
      <c r="N18" s="98">
        <f>SUM(N16:N17)</f>
        <v>1545.5126382499993</v>
      </c>
      <c r="O18" s="98">
        <f>SUM(O16:O17)</f>
        <v>1391.8339749999996</v>
      </c>
      <c r="P18" s="99">
        <f t="shared" si="0"/>
        <v>3299.2763336150128</v>
      </c>
      <c r="Q18" s="98">
        <f t="shared" ref="Q18:W18" si="22">SUM(Q16:Q17)</f>
        <v>955.7500347499996</v>
      </c>
      <c r="R18" s="98">
        <f t="shared" si="22"/>
        <v>1185.7992772499995</v>
      </c>
      <c r="S18" s="98">
        <f t="shared" si="22"/>
        <v>580.35149812499981</v>
      </c>
      <c r="T18" s="98">
        <f t="shared" si="22"/>
        <v>965.16114012499963</v>
      </c>
      <c r="U18" s="98">
        <f t="shared" si="22"/>
        <v>78.425878124999969</v>
      </c>
      <c r="V18" s="98">
        <f t="shared" si="22"/>
        <v>82.608591624999974</v>
      </c>
      <c r="W18" s="98">
        <f t="shared" si="22"/>
        <v>9.4111053749999964</v>
      </c>
      <c r="X18" s="99">
        <f t="shared" si="1"/>
        <v>3857.5075253749987</v>
      </c>
      <c r="Y18" s="99">
        <f t="shared" si="3"/>
        <v>47847.322088584668</v>
      </c>
    </row>
    <row r="19" spans="1:32">
      <c r="A19" s="89" t="s">
        <v>102</v>
      </c>
      <c r="B19" s="89" t="s">
        <v>103</v>
      </c>
      <c r="C19" s="100">
        <f>동탄!E19</f>
        <v>5000</v>
      </c>
      <c r="D19" s="100">
        <f>화성!E19</f>
        <v>0</v>
      </c>
      <c r="E19" s="100">
        <f>파주!E19</f>
        <v>9761.1680172159449</v>
      </c>
      <c r="F19" s="100">
        <f>광교!E19</f>
        <v>0</v>
      </c>
      <c r="G19" s="100">
        <f>판교!E19</f>
        <v>0</v>
      </c>
      <c r="H19" s="100">
        <f>삼송!E19</f>
        <v>0</v>
      </c>
      <c r="I19" s="100">
        <f>양산!E19</f>
        <v>0</v>
      </c>
      <c r="J19" s="100">
        <f>대구!E19</f>
        <v>0</v>
      </c>
      <c r="K19" s="100">
        <f>청주!E19</f>
        <v>0</v>
      </c>
      <c r="L19" s="92">
        <f>SUM(C19:K19)</f>
        <v>14761.168017215945</v>
      </c>
      <c r="M19" s="100">
        <f>수원!E19</f>
        <v>0</v>
      </c>
      <c r="N19" s="100">
        <f>광주전남!E19</f>
        <v>0</v>
      </c>
      <c r="O19" s="100">
        <f>강남!E19</f>
        <v>0</v>
      </c>
      <c r="P19" s="96">
        <f t="shared" si="0"/>
        <v>0</v>
      </c>
      <c r="Q19" s="100">
        <f>중앙!E19</f>
        <v>0</v>
      </c>
      <c r="R19" s="100">
        <f>고양!E19</f>
        <v>0</v>
      </c>
      <c r="S19" s="100">
        <f>용인!E19</f>
        <v>0</v>
      </c>
      <c r="T19" s="100">
        <f>분당!E19</f>
        <v>0</v>
      </c>
      <c r="U19" s="100">
        <f>세종!E19</f>
        <v>0</v>
      </c>
      <c r="V19" s="100">
        <f>김해!E19</f>
        <v>0</v>
      </c>
      <c r="W19" s="100">
        <f>평택!E19</f>
        <v>0</v>
      </c>
      <c r="X19" s="96">
        <f t="shared" si="1"/>
        <v>0</v>
      </c>
      <c r="Y19" s="96">
        <f t="shared" si="3"/>
        <v>14761.168017215945</v>
      </c>
    </row>
    <row r="20" spans="1:32">
      <c r="A20" s="263" t="s">
        <v>63</v>
      </c>
      <c r="B20" s="263"/>
      <c r="C20" s="95">
        <f>동탄!E20</f>
        <v>57.451121916360592</v>
      </c>
      <c r="D20" s="95">
        <f>화성!E20</f>
        <v>76</v>
      </c>
      <c r="E20" s="95">
        <f>파주!E20</f>
        <v>425.48292499999991</v>
      </c>
      <c r="F20" s="95">
        <f>광교!E20</f>
        <v>60.599668695894465</v>
      </c>
      <c r="G20" s="95">
        <f>판교!E20</f>
        <v>34.99018444616447</v>
      </c>
      <c r="H20" s="95">
        <f>삼송!E20</f>
        <v>19</v>
      </c>
      <c r="I20" s="95">
        <f>양산!E20</f>
        <v>3</v>
      </c>
      <c r="J20" s="95">
        <f>대구!E20</f>
        <v>328</v>
      </c>
      <c r="K20" s="95">
        <f>청주!E20</f>
        <v>28.725560958180296</v>
      </c>
      <c r="L20" s="92">
        <f>SUM(C20:K20)</f>
        <v>1033.2494610165998</v>
      </c>
      <c r="M20" s="95">
        <f>수원!E20</f>
        <v>150</v>
      </c>
      <c r="N20" s="95">
        <f>광주전남!E20</f>
        <v>76.541028475984774</v>
      </c>
      <c r="O20" s="95">
        <f>강남!E20</f>
        <v>30</v>
      </c>
      <c r="P20" s="96">
        <f t="shared" si="0"/>
        <v>256.54102847598477</v>
      </c>
      <c r="Q20" s="95">
        <f>중앙!E20</f>
        <v>0</v>
      </c>
      <c r="R20" s="95">
        <f>고양!E20</f>
        <v>21</v>
      </c>
      <c r="S20" s="95">
        <f>용인!E20</f>
        <v>0</v>
      </c>
      <c r="T20" s="95">
        <f>분당!E20</f>
        <v>0</v>
      </c>
      <c r="U20" s="95">
        <f>세종!E20</f>
        <v>0</v>
      </c>
      <c r="V20" s="95">
        <f>김해!E20</f>
        <v>0</v>
      </c>
      <c r="W20" s="95">
        <f>평택!E20</f>
        <v>0</v>
      </c>
      <c r="X20" s="96">
        <f t="shared" si="1"/>
        <v>21</v>
      </c>
      <c r="Y20" s="96">
        <f t="shared" si="3"/>
        <v>1310.7904894925846</v>
      </c>
    </row>
    <row r="21" spans="1:32">
      <c r="A21" s="263" t="s">
        <v>36</v>
      </c>
      <c r="B21" s="97" t="s">
        <v>38</v>
      </c>
      <c r="C21" s="95">
        <f>동탄!E21</f>
        <v>0</v>
      </c>
      <c r="D21" s="95">
        <f>화성!E21</f>
        <v>0</v>
      </c>
      <c r="E21" s="95">
        <f>파주!E21</f>
        <v>20192</v>
      </c>
      <c r="F21" s="95">
        <f>광교!E21</f>
        <v>175</v>
      </c>
      <c r="G21" s="95">
        <f>판교!E21</f>
        <v>0</v>
      </c>
      <c r="H21" s="95">
        <f>삼송!E21</f>
        <v>0</v>
      </c>
      <c r="I21" s="95">
        <f>양산!E21</f>
        <v>0</v>
      </c>
      <c r="J21" s="95">
        <f>대구!E21</f>
        <v>0</v>
      </c>
      <c r="K21" s="95">
        <f>청주!E21</f>
        <v>0</v>
      </c>
      <c r="L21" s="92">
        <f>SUM(C21:K21)</f>
        <v>20367</v>
      </c>
      <c r="M21" s="95">
        <f>수원!E21</f>
        <v>15663</v>
      </c>
      <c r="N21" s="95">
        <f>광주전남!E21</f>
        <v>0</v>
      </c>
      <c r="O21" s="95">
        <f>강남!E21</f>
        <v>714</v>
      </c>
      <c r="P21" s="96">
        <f t="shared" si="0"/>
        <v>16377</v>
      </c>
      <c r="Q21" s="95">
        <f>중앙!E21</f>
        <v>0</v>
      </c>
      <c r="R21" s="95">
        <f>고양!E21</f>
        <v>0</v>
      </c>
      <c r="S21" s="95">
        <f>용인!E21</f>
        <v>0</v>
      </c>
      <c r="T21" s="95">
        <f>분당!E21</f>
        <v>0</v>
      </c>
      <c r="U21" s="95">
        <f>세종!E21</f>
        <v>0</v>
      </c>
      <c r="V21" s="95">
        <f>김해!E21</f>
        <v>0</v>
      </c>
      <c r="W21" s="95">
        <f>평택!E21</f>
        <v>0</v>
      </c>
      <c r="X21" s="96">
        <f t="shared" si="1"/>
        <v>0</v>
      </c>
      <c r="Y21" s="96">
        <f t="shared" si="3"/>
        <v>36744</v>
      </c>
    </row>
    <row r="22" spans="1:32">
      <c r="A22" s="263"/>
      <c r="B22" s="97" t="s">
        <v>39</v>
      </c>
      <c r="C22" s="95">
        <f>동탄!E22</f>
        <v>867.5</v>
      </c>
      <c r="D22" s="95">
        <f>화성!E22</f>
        <v>614.51511433576354</v>
      </c>
      <c r="E22" s="95">
        <f>파주!E22</f>
        <v>1935.3945771784722</v>
      </c>
      <c r="F22" s="95">
        <f>광교!E22</f>
        <v>244.68545473436632</v>
      </c>
      <c r="G22" s="95">
        <f>판교!E22</f>
        <v>180</v>
      </c>
      <c r="H22" s="95">
        <f>삼송!E22</f>
        <v>50</v>
      </c>
      <c r="I22" s="95">
        <f>양산!E22</f>
        <v>147.61484063225635</v>
      </c>
      <c r="J22" s="95">
        <f>대구!E22</f>
        <v>1610</v>
      </c>
      <c r="K22" s="95">
        <f>청주!E22</f>
        <v>358</v>
      </c>
      <c r="L22" s="92">
        <f>SUM(C22:K22)</f>
        <v>6007.7099868808582</v>
      </c>
      <c r="M22" s="95">
        <f>수원!E22</f>
        <v>150</v>
      </c>
      <c r="N22" s="95">
        <f>광주전남!E22</f>
        <v>386</v>
      </c>
      <c r="O22" s="95">
        <f>강남!E22</f>
        <v>107</v>
      </c>
      <c r="P22" s="96">
        <f t="shared" si="0"/>
        <v>643</v>
      </c>
      <c r="Q22" s="95">
        <f>중앙!E22</f>
        <v>29</v>
      </c>
      <c r="R22" s="95">
        <f>고양!E22</f>
        <v>0</v>
      </c>
      <c r="S22" s="95">
        <f>용인!E22</f>
        <v>0</v>
      </c>
      <c r="T22" s="95">
        <f>분당!E22</f>
        <v>0</v>
      </c>
      <c r="U22" s="95">
        <f>세종!E22</f>
        <v>0</v>
      </c>
      <c r="V22" s="95">
        <f>김해!E22</f>
        <v>0</v>
      </c>
      <c r="W22" s="95">
        <f>평택!E22</f>
        <v>0</v>
      </c>
      <c r="X22" s="96">
        <f t="shared" si="1"/>
        <v>29</v>
      </c>
      <c r="Y22" s="96">
        <f t="shared" si="3"/>
        <v>6679.7099868808582</v>
      </c>
    </row>
    <row r="23" spans="1:32">
      <c r="A23" s="263"/>
      <c r="B23" s="97" t="s">
        <v>37</v>
      </c>
      <c r="C23" s="95">
        <f>동탄!E23</f>
        <v>2</v>
      </c>
      <c r="D23" s="95">
        <f>화성!E23</f>
        <v>79</v>
      </c>
      <c r="E23" s="95">
        <f>파주!E23</f>
        <v>155</v>
      </c>
      <c r="F23" s="95">
        <f>광교!E23</f>
        <v>124.65253208946092</v>
      </c>
      <c r="G23" s="95">
        <f>판교!E23</f>
        <v>54</v>
      </c>
      <c r="H23" s="95">
        <f>삼송!E23</f>
        <v>20</v>
      </c>
      <c r="I23" s="95">
        <f>양산!E23</f>
        <v>91</v>
      </c>
      <c r="J23" s="95">
        <f>대구!E23</f>
        <v>170.10038057589117</v>
      </c>
      <c r="K23" s="95">
        <f>청주!E23</f>
        <v>84</v>
      </c>
      <c r="L23" s="92">
        <f>SUM(C23:K23)</f>
        <v>779.75291266535214</v>
      </c>
      <c r="M23" s="95">
        <f>수원!E23</f>
        <v>3</v>
      </c>
      <c r="N23" s="95">
        <f>광주전남!E23</f>
        <v>84</v>
      </c>
      <c r="O23" s="95">
        <f>강남!E23</f>
        <v>43.737730557705589</v>
      </c>
      <c r="P23" s="96">
        <f t="shared" si="0"/>
        <v>130.73773055770559</v>
      </c>
      <c r="Q23" s="95">
        <f>중앙!E23</f>
        <v>0</v>
      </c>
      <c r="R23" s="95">
        <f>고양!E23</f>
        <v>10</v>
      </c>
      <c r="S23" s="95">
        <f>용인!E23</f>
        <v>0</v>
      </c>
      <c r="T23" s="95">
        <f>분당!E23</f>
        <v>0</v>
      </c>
      <c r="U23" s="95">
        <f>세종!E23</f>
        <v>0</v>
      </c>
      <c r="V23" s="95">
        <f>김해!E23</f>
        <v>0</v>
      </c>
      <c r="W23" s="95">
        <f>평택!E23</f>
        <v>0</v>
      </c>
      <c r="X23" s="96">
        <f t="shared" si="1"/>
        <v>10</v>
      </c>
      <c r="Y23" s="96">
        <f t="shared" si="3"/>
        <v>920.49064322305776</v>
      </c>
    </row>
    <row r="24" spans="1:32">
      <c r="A24" s="263"/>
      <c r="B24" s="93" t="s">
        <v>35</v>
      </c>
      <c r="C24" s="98">
        <f t="shared" ref="C24:H24" si="23">SUM(C21:C23)</f>
        <v>869.5</v>
      </c>
      <c r="D24" s="98">
        <f t="shared" si="23"/>
        <v>693.51511433576354</v>
      </c>
      <c r="E24" s="98">
        <f t="shared" si="23"/>
        <v>22282.394577178471</v>
      </c>
      <c r="F24" s="98">
        <f t="shared" si="23"/>
        <v>544.33798682382724</v>
      </c>
      <c r="G24" s="98">
        <f t="shared" si="23"/>
        <v>234</v>
      </c>
      <c r="H24" s="98">
        <f t="shared" si="23"/>
        <v>70</v>
      </c>
      <c r="I24" s="98">
        <f>SUM(I21:I23)</f>
        <v>238.61484063225635</v>
      </c>
      <c r="J24" s="98">
        <f>SUM(J21:J23)</f>
        <v>1780.1003805758912</v>
      </c>
      <c r="K24" s="98">
        <f>SUM(K21:K23)</f>
        <v>442</v>
      </c>
      <c r="L24" s="98">
        <f t="shared" ref="L24" si="24">SUM(C24:K24)</f>
        <v>27154.462899546212</v>
      </c>
      <c r="M24" s="98">
        <f>SUM(M21:M23)</f>
        <v>15816</v>
      </c>
      <c r="N24" s="98">
        <f>SUM(N21:N23)</f>
        <v>470</v>
      </c>
      <c r="O24" s="98">
        <f>SUM(O21:O23)</f>
        <v>864.73773055770562</v>
      </c>
      <c r="P24" s="99">
        <f t="shared" si="0"/>
        <v>17150.737730557707</v>
      </c>
      <c r="Q24" s="98">
        <f t="shared" ref="Q24:W24" si="25">SUM(Q21:Q23)</f>
        <v>29</v>
      </c>
      <c r="R24" s="98">
        <f t="shared" si="25"/>
        <v>10</v>
      </c>
      <c r="S24" s="98">
        <f t="shared" si="25"/>
        <v>0</v>
      </c>
      <c r="T24" s="98">
        <f t="shared" si="25"/>
        <v>0</v>
      </c>
      <c r="U24" s="98">
        <f t="shared" si="25"/>
        <v>0</v>
      </c>
      <c r="V24" s="98">
        <f t="shared" si="25"/>
        <v>0</v>
      </c>
      <c r="W24" s="98">
        <f t="shared" si="25"/>
        <v>0</v>
      </c>
      <c r="X24" s="99">
        <f t="shared" si="1"/>
        <v>39</v>
      </c>
      <c r="Y24" s="99">
        <f t="shared" si="3"/>
        <v>44344.200630103922</v>
      </c>
    </row>
    <row r="25" spans="1:32">
      <c r="A25" s="255" t="s">
        <v>115</v>
      </c>
      <c r="B25" s="255"/>
      <c r="C25" s="56">
        <f>C14+C15+C19+C18+C20+C24</f>
        <v>24787.202121916362</v>
      </c>
      <c r="D25" s="56">
        <f t="shared" ref="D25:Y25" si="26">D14+D15+D19+D18+D20+D24</f>
        <v>4233.0399794688874</v>
      </c>
      <c r="E25" s="56">
        <f t="shared" si="26"/>
        <v>35096.589682648584</v>
      </c>
      <c r="F25" s="56">
        <f t="shared" si="26"/>
        <v>1677.1759725849424</v>
      </c>
      <c r="G25" s="56">
        <f t="shared" si="26"/>
        <v>1455.2264527411637</v>
      </c>
      <c r="H25" s="56">
        <f t="shared" si="26"/>
        <v>379.85590820874216</v>
      </c>
      <c r="I25" s="56">
        <f t="shared" si="26"/>
        <v>4768.6148406322563</v>
      </c>
      <c r="J25" s="56">
        <f t="shared" si="26"/>
        <v>10146.988088214299</v>
      </c>
      <c r="K25" s="56">
        <f t="shared" si="26"/>
        <v>1176.7255609581803</v>
      </c>
      <c r="L25" s="56">
        <f t="shared" si="26"/>
        <v>83721.418607373416</v>
      </c>
      <c r="M25" s="56">
        <f t="shared" si="26"/>
        <v>16327.929720365013</v>
      </c>
      <c r="N25" s="56">
        <f t="shared" si="26"/>
        <v>2092.0536667259839</v>
      </c>
      <c r="O25" s="56">
        <f t="shared" si="26"/>
        <v>2286.5717055577052</v>
      </c>
      <c r="P25" s="56">
        <f t="shared" si="26"/>
        <v>20706.555092648705</v>
      </c>
      <c r="Q25" s="56">
        <f t="shared" si="26"/>
        <v>984.7500347499996</v>
      </c>
      <c r="R25" s="56">
        <f t="shared" si="26"/>
        <v>1216.7992772499995</v>
      </c>
      <c r="S25" s="56">
        <f t="shared" si="26"/>
        <v>580.35149812499981</v>
      </c>
      <c r="T25" s="56">
        <f t="shared" si="26"/>
        <v>965.16114012499963</v>
      </c>
      <c r="U25" s="56">
        <f t="shared" si="26"/>
        <v>78.425878124999969</v>
      </c>
      <c r="V25" s="56">
        <f t="shared" si="26"/>
        <v>82.608591624999974</v>
      </c>
      <c r="W25" s="56">
        <f t="shared" si="26"/>
        <v>9.4111053749999964</v>
      </c>
      <c r="X25" s="56">
        <f t="shared" si="26"/>
        <v>3917.5075253749987</v>
      </c>
      <c r="Y25" s="56">
        <f t="shared" si="26"/>
        <v>108345.48122539712</v>
      </c>
    </row>
    <row r="26" spans="1:32">
      <c r="A26" s="224" t="s">
        <v>282</v>
      </c>
      <c r="B26" s="224" t="s">
        <v>354</v>
      </c>
      <c r="C26" s="95">
        <f>동탄!E25</f>
        <v>1190.6310324999997</v>
      </c>
      <c r="D26" s="95">
        <f>화성!E25</f>
        <v>348.31907249999989</v>
      </c>
      <c r="E26" s="95">
        <f>파주!E25</f>
        <v>442.06954749999989</v>
      </c>
      <c r="F26" s="95">
        <f>광교!E25</f>
        <v>142.17104999999998</v>
      </c>
      <c r="G26" s="95">
        <f>판교!E25</f>
        <v>1440.2545499999997</v>
      </c>
      <c r="H26" s="95">
        <f>삼송!E25</f>
        <v>730.42952499999978</v>
      </c>
      <c r="I26" s="95">
        <f>양산!E25</f>
        <v>2.0604499999999994</v>
      </c>
      <c r="J26" s="95">
        <f>대구!E25</f>
        <v>658.31377499999985</v>
      </c>
      <c r="K26" s="95">
        <f>청주!E25</f>
        <v>3056.6775749999993</v>
      </c>
      <c r="L26" s="92">
        <f>SUM(C26:K26)</f>
        <v>8010.9265774999985</v>
      </c>
      <c r="M26" s="95">
        <f>수원!E25</f>
        <v>44.299674999999993</v>
      </c>
      <c r="N26" s="95">
        <f>광주전남!E25</f>
        <v>547.04947499999992</v>
      </c>
      <c r="O26" s="95">
        <f>강남!E25</f>
        <v>1287.7812499999995</v>
      </c>
      <c r="P26" s="96">
        <f t="shared" ref="P26" si="27">SUM(M26:O26)</f>
        <v>1879.1303999999996</v>
      </c>
      <c r="Q26" s="95">
        <f>중앙!E25</f>
        <v>1073.8699999999999</v>
      </c>
      <c r="R26" s="95">
        <f>고양!E25</f>
        <v>712.53</v>
      </c>
      <c r="S26" s="95">
        <f>용인!E25</f>
        <v>555.20499999999993</v>
      </c>
      <c r="T26" s="95">
        <f>분당!E25</f>
        <v>0</v>
      </c>
      <c r="U26" s="95">
        <f>세종!E25</f>
        <v>0</v>
      </c>
      <c r="V26" s="95">
        <f>김해!E25</f>
        <v>265.92999999999995</v>
      </c>
      <c r="W26" s="95">
        <f>평택!E25</f>
        <v>0</v>
      </c>
      <c r="X26" s="96">
        <f t="shared" ref="X26" si="28">SUM(Q26:W26)</f>
        <v>2607.5349999999994</v>
      </c>
      <c r="Y26" s="96">
        <f t="shared" ref="Y26" si="29">L26+P26+X26</f>
        <v>12497.591977499998</v>
      </c>
    </row>
    <row r="28" spans="1:32" ht="16.5" customHeight="1"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</row>
    <row r="29" spans="1:32">
      <c r="C29" s="262"/>
      <c r="D29" s="262"/>
      <c r="E29" s="262"/>
      <c r="F29" s="262"/>
      <c r="G29" s="262"/>
      <c r="H29" s="262"/>
      <c r="I29" s="262"/>
      <c r="J29" s="262"/>
      <c r="K29" s="262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</row>
    <row r="30" spans="1:32">
      <c r="C30" s="262"/>
      <c r="D30" s="262"/>
      <c r="E30" s="262"/>
      <c r="F30" s="262"/>
      <c r="G30" s="262"/>
      <c r="H30" s="262"/>
      <c r="I30" s="262"/>
      <c r="J30" s="262"/>
      <c r="K30" s="109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</row>
    <row r="31" spans="1:32">
      <c r="B31" s="247" t="s">
        <v>33</v>
      </c>
      <c r="C31" s="21">
        <f>INT(C4*0.9)-50</f>
        <v>831</v>
      </c>
      <c r="D31" s="21">
        <f t="shared" ref="D31:O32" si="30">INT(D4*0.9)</f>
        <v>340</v>
      </c>
      <c r="E31" s="21">
        <f>INT(E4*0.9)-50</f>
        <v>684</v>
      </c>
      <c r="F31" s="21">
        <f t="shared" si="30"/>
        <v>40</v>
      </c>
      <c r="G31" s="21">
        <f t="shared" si="30"/>
        <v>283</v>
      </c>
      <c r="H31" s="21">
        <f t="shared" si="30"/>
        <v>266</v>
      </c>
      <c r="I31" s="21">
        <f t="shared" si="30"/>
        <v>151</v>
      </c>
      <c r="J31" s="21">
        <f t="shared" si="30"/>
        <v>2</v>
      </c>
      <c r="K31" s="21">
        <f t="shared" si="30"/>
        <v>27</v>
      </c>
      <c r="L31" s="21"/>
      <c r="M31" s="21">
        <f t="shared" si="30"/>
        <v>207</v>
      </c>
      <c r="N31" s="21">
        <f t="shared" si="30"/>
        <v>221</v>
      </c>
      <c r="O31" s="21">
        <f t="shared" si="30"/>
        <v>149</v>
      </c>
      <c r="P31" s="21"/>
      <c r="Q31" s="21">
        <f t="shared" ref="Q31:W32" si="31">INT(Q4*0.9)</f>
        <v>191</v>
      </c>
      <c r="R31" s="21">
        <f t="shared" si="31"/>
        <v>98</v>
      </c>
      <c r="S31" s="21">
        <f t="shared" si="31"/>
        <v>79</v>
      </c>
      <c r="T31" s="21">
        <f t="shared" si="31"/>
        <v>37</v>
      </c>
      <c r="U31" s="21">
        <f t="shared" si="31"/>
        <v>29</v>
      </c>
      <c r="V31" s="21">
        <f t="shared" si="31"/>
        <v>139</v>
      </c>
      <c r="W31" s="21">
        <f t="shared" si="31"/>
        <v>0</v>
      </c>
      <c r="Y31" s="21">
        <f>SUM(C31:X31)</f>
        <v>3774</v>
      </c>
      <c r="AA31" s="108"/>
      <c r="AB31" s="108"/>
      <c r="AC31" s="108"/>
      <c r="AD31" s="108"/>
      <c r="AE31" s="108"/>
      <c r="AF31" s="108"/>
    </row>
    <row r="32" spans="1:32">
      <c r="B32" s="247" t="s">
        <v>95</v>
      </c>
      <c r="C32" s="21">
        <f t="shared" ref="C32:K32" si="32">INT(C5*0.9)</f>
        <v>6563</v>
      </c>
      <c r="D32" s="21">
        <f t="shared" si="32"/>
        <v>1226</v>
      </c>
      <c r="E32" s="21">
        <f t="shared" si="32"/>
        <v>3728</v>
      </c>
      <c r="F32" s="21">
        <f t="shared" si="32"/>
        <v>1598</v>
      </c>
      <c r="G32" s="21">
        <f t="shared" si="32"/>
        <v>789</v>
      </c>
      <c r="H32" s="21">
        <f t="shared" si="32"/>
        <v>585</v>
      </c>
      <c r="I32" s="21">
        <f t="shared" si="32"/>
        <v>751</v>
      </c>
      <c r="J32" s="21">
        <f t="shared" si="32"/>
        <v>1012</v>
      </c>
      <c r="K32" s="21">
        <f t="shared" si="32"/>
        <v>2289</v>
      </c>
      <c r="L32" s="21"/>
      <c r="M32" s="21">
        <f t="shared" si="30"/>
        <v>808</v>
      </c>
      <c r="N32" s="21">
        <f t="shared" si="30"/>
        <v>1124</v>
      </c>
      <c r="O32" s="21">
        <f t="shared" si="30"/>
        <v>1695</v>
      </c>
      <c r="P32" s="21"/>
      <c r="Q32" s="21">
        <f t="shared" si="31"/>
        <v>1246</v>
      </c>
      <c r="R32" s="21">
        <f t="shared" si="31"/>
        <v>588</v>
      </c>
      <c r="S32" s="21">
        <f t="shared" si="31"/>
        <v>437</v>
      </c>
      <c r="T32" s="21">
        <f t="shared" si="31"/>
        <v>566</v>
      </c>
      <c r="U32" s="21">
        <f t="shared" si="31"/>
        <v>105</v>
      </c>
      <c r="V32" s="21">
        <f t="shared" si="31"/>
        <v>285</v>
      </c>
      <c r="W32" s="21">
        <f t="shared" si="31"/>
        <v>152</v>
      </c>
      <c r="Y32" s="21">
        <f t="shared" ref="Y32:Y39" si="33">SUM(C32:X32)</f>
        <v>25547</v>
      </c>
      <c r="AA32" s="108"/>
      <c r="AB32" s="108"/>
      <c r="AC32" s="108"/>
      <c r="AD32" s="108"/>
      <c r="AE32" s="108"/>
      <c r="AF32" s="108"/>
    </row>
    <row r="33" spans="2:32">
      <c r="B33" s="247" t="s">
        <v>96</v>
      </c>
      <c r="C33" s="21">
        <f>C6</f>
        <v>8338.2393622499967</v>
      </c>
      <c r="D33" s="21">
        <f t="shared" ref="D33:Y33" si="34">D6</f>
        <v>6441.3787899999979</v>
      </c>
      <c r="E33" s="21">
        <f t="shared" si="34"/>
        <v>6019.9704048749982</v>
      </c>
      <c r="F33" s="21">
        <f t="shared" si="34"/>
        <v>2474.075035249999</v>
      </c>
      <c r="G33" s="21">
        <f t="shared" si="34"/>
        <v>2568.1860889999989</v>
      </c>
      <c r="H33" s="21">
        <f t="shared" si="34"/>
        <v>1852.9420804999993</v>
      </c>
      <c r="I33" s="21">
        <f t="shared" si="34"/>
        <v>2308.8578519999992</v>
      </c>
      <c r="J33" s="21">
        <f t="shared" si="34"/>
        <v>3819.8631038749986</v>
      </c>
      <c r="K33" s="21">
        <f t="shared" si="34"/>
        <v>3470.6065266249989</v>
      </c>
      <c r="L33" s="21"/>
      <c r="M33" s="21">
        <f t="shared" si="34"/>
        <v>2568.1860889999989</v>
      </c>
      <c r="N33" s="21">
        <f t="shared" si="34"/>
        <v>1827.8457994999992</v>
      </c>
      <c r="O33" s="21">
        <f t="shared" si="34"/>
        <v>1283.0473661249996</v>
      </c>
      <c r="P33" s="21"/>
      <c r="Q33" s="21">
        <f t="shared" si="34"/>
        <v>1112.6017909999996</v>
      </c>
      <c r="R33" s="21">
        <f t="shared" si="34"/>
        <v>730.92918412499978</v>
      </c>
      <c r="S33" s="21">
        <f t="shared" si="34"/>
        <v>707.92425987499973</v>
      </c>
      <c r="T33" s="21">
        <f t="shared" si="34"/>
        <v>631.58973849999973</v>
      </c>
      <c r="U33" s="21">
        <f t="shared" si="34"/>
        <v>285.47019637499989</v>
      </c>
      <c r="V33" s="21">
        <f t="shared" si="34"/>
        <v>41.827134999999984</v>
      </c>
      <c r="W33" s="21">
        <f t="shared" si="34"/>
        <v>41.827134999999984</v>
      </c>
      <c r="X33" s="21"/>
      <c r="Y33" s="21">
        <f t="shared" si="34"/>
        <v>46525.367938874988</v>
      </c>
      <c r="AA33" s="108"/>
      <c r="AB33" s="108"/>
      <c r="AC33" s="108"/>
      <c r="AD33" s="108"/>
      <c r="AE33" s="108"/>
      <c r="AF33" s="108"/>
    </row>
    <row r="34" spans="2:32">
      <c r="B34" s="247" t="s">
        <v>97</v>
      </c>
      <c r="C34" s="21">
        <f t="shared" ref="C34:K37" si="35">INT(C7*0.9)</f>
        <v>4797</v>
      </c>
      <c r="D34" s="21">
        <f t="shared" si="35"/>
        <v>344</v>
      </c>
      <c r="E34" s="21">
        <f t="shared" si="35"/>
        <v>599</v>
      </c>
      <c r="F34" s="21">
        <f t="shared" si="35"/>
        <v>894</v>
      </c>
      <c r="G34" s="21">
        <f t="shared" si="35"/>
        <v>174</v>
      </c>
      <c r="H34" s="21">
        <f t="shared" si="35"/>
        <v>147</v>
      </c>
      <c r="I34" s="21">
        <f t="shared" si="35"/>
        <v>216</v>
      </c>
      <c r="J34" s="21">
        <f t="shared" si="35"/>
        <v>246</v>
      </c>
      <c r="K34" s="21">
        <f t="shared" si="35"/>
        <v>188</v>
      </c>
      <c r="L34" s="21"/>
      <c r="M34" s="21">
        <f t="shared" ref="M34:O37" si="36">INT(M7*0.9)</f>
        <v>139</v>
      </c>
      <c r="N34" s="21">
        <f t="shared" si="36"/>
        <v>192</v>
      </c>
      <c r="O34" s="21">
        <f t="shared" si="36"/>
        <v>544</v>
      </c>
      <c r="P34" s="21"/>
      <c r="Q34" s="21">
        <f t="shared" ref="Q34:W37" si="37">INT(Q7*0.9)</f>
        <v>636</v>
      </c>
      <c r="R34" s="21">
        <f t="shared" si="37"/>
        <v>498</v>
      </c>
      <c r="S34" s="21">
        <f t="shared" si="37"/>
        <v>110</v>
      </c>
      <c r="T34" s="21">
        <f t="shared" si="37"/>
        <v>77</v>
      </c>
      <c r="U34" s="21">
        <f t="shared" si="37"/>
        <v>56</v>
      </c>
      <c r="V34" s="21">
        <f t="shared" si="37"/>
        <v>49</v>
      </c>
      <c r="W34" s="21">
        <f t="shared" si="37"/>
        <v>86</v>
      </c>
      <c r="Y34" s="21">
        <f t="shared" si="33"/>
        <v>9992</v>
      </c>
      <c r="AA34" s="108"/>
      <c r="AB34" s="108"/>
      <c r="AC34" s="108"/>
      <c r="AD34" s="108"/>
      <c r="AE34" s="108"/>
      <c r="AF34" s="108"/>
    </row>
    <row r="35" spans="2:32">
      <c r="B35" s="247" t="s">
        <v>281</v>
      </c>
      <c r="C35" s="21">
        <f t="shared" si="35"/>
        <v>2271</v>
      </c>
      <c r="D35" s="21">
        <f t="shared" si="35"/>
        <v>789</v>
      </c>
      <c r="E35" s="21">
        <f t="shared" si="35"/>
        <v>1349</v>
      </c>
      <c r="F35" s="21">
        <f t="shared" si="35"/>
        <v>1151</v>
      </c>
      <c r="G35" s="21">
        <f t="shared" si="35"/>
        <v>434</v>
      </c>
      <c r="H35" s="21">
        <f t="shared" si="35"/>
        <v>363</v>
      </c>
      <c r="I35" s="21">
        <f t="shared" si="35"/>
        <v>829</v>
      </c>
      <c r="J35" s="21">
        <f t="shared" si="35"/>
        <v>715</v>
      </c>
      <c r="K35" s="21">
        <f t="shared" si="35"/>
        <v>344</v>
      </c>
      <c r="L35" s="21"/>
      <c r="M35" s="21">
        <f t="shared" si="36"/>
        <v>268</v>
      </c>
      <c r="N35" s="21">
        <f t="shared" si="36"/>
        <v>660</v>
      </c>
      <c r="O35" s="21">
        <f t="shared" si="36"/>
        <v>590</v>
      </c>
      <c r="P35" s="21"/>
      <c r="Q35" s="21">
        <f t="shared" si="37"/>
        <v>975</v>
      </c>
      <c r="R35" s="21">
        <f t="shared" si="37"/>
        <v>1157</v>
      </c>
      <c r="S35" s="21">
        <f t="shared" si="37"/>
        <v>206</v>
      </c>
      <c r="T35" s="21">
        <f t="shared" si="37"/>
        <v>411</v>
      </c>
      <c r="U35" s="21">
        <f t="shared" si="37"/>
        <v>310</v>
      </c>
      <c r="V35" s="21">
        <f t="shared" si="37"/>
        <v>244</v>
      </c>
      <c r="W35" s="21">
        <f t="shared" si="37"/>
        <v>25</v>
      </c>
      <c r="Y35" s="21">
        <f t="shared" si="33"/>
        <v>13091</v>
      </c>
      <c r="AA35" s="108"/>
      <c r="AB35" s="108"/>
      <c r="AC35" s="108"/>
      <c r="AD35" s="108"/>
      <c r="AE35" s="108"/>
      <c r="AF35" s="108"/>
    </row>
    <row r="36" spans="2:32">
      <c r="B36" s="247" t="s">
        <v>279</v>
      </c>
      <c r="C36" s="21">
        <f t="shared" si="35"/>
        <v>699</v>
      </c>
      <c r="D36" s="21">
        <f t="shared" si="35"/>
        <v>540</v>
      </c>
      <c r="E36" s="21">
        <f t="shared" si="35"/>
        <v>504</v>
      </c>
      <c r="F36" s="21">
        <f t="shared" si="35"/>
        <v>207</v>
      </c>
      <c r="G36" s="21">
        <f t="shared" si="35"/>
        <v>215</v>
      </c>
      <c r="H36" s="21">
        <f t="shared" si="35"/>
        <v>47</v>
      </c>
      <c r="I36" s="21">
        <f t="shared" si="35"/>
        <v>192</v>
      </c>
      <c r="J36" s="21">
        <f t="shared" si="35"/>
        <v>319</v>
      </c>
      <c r="K36" s="21">
        <f t="shared" si="35"/>
        <v>290</v>
      </c>
      <c r="L36" s="21"/>
      <c r="M36" s="21">
        <f t="shared" si="36"/>
        <v>59</v>
      </c>
      <c r="N36" s="21">
        <f t="shared" si="36"/>
        <v>147</v>
      </c>
      <c r="O36" s="21">
        <f t="shared" si="36"/>
        <v>103</v>
      </c>
      <c r="P36" s="21"/>
      <c r="Q36" s="21">
        <f t="shared" si="37"/>
        <v>90</v>
      </c>
      <c r="R36" s="21">
        <f t="shared" si="37"/>
        <v>59</v>
      </c>
      <c r="S36" s="21">
        <f t="shared" si="37"/>
        <v>57</v>
      </c>
      <c r="T36" s="21">
        <f t="shared" si="37"/>
        <v>50</v>
      </c>
      <c r="U36" s="21">
        <f t="shared" si="37"/>
        <v>23</v>
      </c>
      <c r="V36" s="21">
        <f t="shared" si="37"/>
        <v>3</v>
      </c>
      <c r="W36" s="21">
        <f t="shared" si="37"/>
        <v>3</v>
      </c>
      <c r="Y36" s="21">
        <f t="shared" si="33"/>
        <v>3607</v>
      </c>
      <c r="AA36" s="108"/>
      <c r="AB36" s="108"/>
      <c r="AC36" s="108"/>
      <c r="AD36" s="108"/>
      <c r="AE36" s="108"/>
      <c r="AF36" s="108"/>
    </row>
    <row r="37" spans="2:32">
      <c r="B37" s="247" t="s">
        <v>280</v>
      </c>
      <c r="C37" s="21">
        <f t="shared" si="35"/>
        <v>78</v>
      </c>
      <c r="D37" s="21">
        <f t="shared" si="35"/>
        <v>60</v>
      </c>
      <c r="E37" s="21">
        <f t="shared" si="35"/>
        <v>56</v>
      </c>
      <c r="F37" s="21">
        <f t="shared" si="35"/>
        <v>22</v>
      </c>
      <c r="G37" s="21">
        <f t="shared" si="35"/>
        <v>23</v>
      </c>
      <c r="H37" s="21">
        <f t="shared" si="35"/>
        <v>5</v>
      </c>
      <c r="I37" s="21">
        <f t="shared" si="35"/>
        <v>21</v>
      </c>
      <c r="J37" s="21">
        <f t="shared" si="35"/>
        <v>35</v>
      </c>
      <c r="K37" s="21">
        <f t="shared" si="35"/>
        <v>31</v>
      </c>
      <c r="L37" s="21"/>
      <c r="M37" s="21">
        <f t="shared" si="36"/>
        <v>6</v>
      </c>
      <c r="N37" s="21">
        <f t="shared" si="36"/>
        <v>15</v>
      </c>
      <c r="O37" s="21">
        <f t="shared" si="36"/>
        <v>11</v>
      </c>
      <c r="P37" s="21"/>
      <c r="Q37" s="21">
        <f t="shared" si="37"/>
        <v>10</v>
      </c>
      <c r="R37" s="21">
        <f t="shared" si="37"/>
        <v>6</v>
      </c>
      <c r="S37" s="21">
        <f t="shared" si="37"/>
        <v>6</v>
      </c>
      <c r="T37" s="21">
        <f t="shared" si="37"/>
        <v>5</v>
      </c>
      <c r="U37" s="21">
        <f t="shared" si="37"/>
        <v>2</v>
      </c>
      <c r="V37" s="21">
        <f t="shared" si="37"/>
        <v>0</v>
      </c>
      <c r="W37" s="21">
        <f t="shared" si="37"/>
        <v>0</v>
      </c>
      <c r="Y37" s="21">
        <f t="shared" si="33"/>
        <v>392</v>
      </c>
      <c r="AA37" s="108"/>
      <c r="AB37" s="108"/>
      <c r="AC37" s="108"/>
      <c r="AD37" s="108"/>
      <c r="AE37" s="108"/>
      <c r="AF37" s="108"/>
    </row>
    <row r="38" spans="2:32">
      <c r="C38" s="21"/>
      <c r="D38" s="21"/>
      <c r="E38" s="21"/>
      <c r="F38" s="21"/>
      <c r="G38" s="21"/>
      <c r="H38" s="21"/>
      <c r="I38" s="21"/>
      <c r="J38" s="21"/>
      <c r="K38" s="21"/>
      <c r="L38" s="25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Y38" s="21"/>
      <c r="AA38" s="108"/>
      <c r="AB38" s="108"/>
      <c r="AC38" s="108"/>
      <c r="AD38" s="108"/>
      <c r="AE38" s="108"/>
      <c r="AF38" s="108"/>
    </row>
    <row r="39" spans="2:32">
      <c r="B39" s="247" t="s">
        <v>99</v>
      </c>
      <c r="C39" s="21">
        <f t="shared" ref="C39:K39" si="38">INT(C12*0.9)</f>
        <v>407</v>
      </c>
      <c r="D39" s="21">
        <f t="shared" si="38"/>
        <v>342</v>
      </c>
      <c r="E39" s="21">
        <f t="shared" si="38"/>
        <v>520</v>
      </c>
      <c r="F39" s="21">
        <f t="shared" si="38"/>
        <v>216</v>
      </c>
      <c r="G39" s="21">
        <f t="shared" si="38"/>
        <v>198</v>
      </c>
      <c r="H39" s="21">
        <f t="shared" si="38"/>
        <v>212</v>
      </c>
      <c r="I39" s="21">
        <f t="shared" si="38"/>
        <v>618</v>
      </c>
      <c r="J39" s="21">
        <f t="shared" si="38"/>
        <v>391</v>
      </c>
      <c r="K39" s="21">
        <f t="shared" si="38"/>
        <v>407</v>
      </c>
      <c r="L39" s="21"/>
      <c r="M39" s="21">
        <f t="shared" ref="M39:O39" si="39">INT(M12*0.9)</f>
        <v>97</v>
      </c>
      <c r="N39" s="21">
        <f t="shared" si="39"/>
        <v>720</v>
      </c>
      <c r="O39" s="21">
        <f t="shared" si="39"/>
        <v>219</v>
      </c>
      <c r="P39" s="21"/>
      <c r="Q39" s="21">
        <f t="shared" ref="Q39:W39" si="40">INT(Q12*0.9)</f>
        <v>220</v>
      </c>
      <c r="R39" s="21">
        <f t="shared" si="40"/>
        <v>92</v>
      </c>
      <c r="S39" s="21">
        <f t="shared" si="40"/>
        <v>177</v>
      </c>
      <c r="T39" s="21">
        <f t="shared" si="40"/>
        <v>60</v>
      </c>
      <c r="U39" s="21">
        <f t="shared" si="40"/>
        <v>72</v>
      </c>
      <c r="V39" s="21">
        <f t="shared" si="40"/>
        <v>148</v>
      </c>
      <c r="W39" s="21">
        <f t="shared" si="40"/>
        <v>47</v>
      </c>
      <c r="Y39" s="21">
        <f t="shared" si="33"/>
        <v>5163</v>
      </c>
      <c r="AA39" s="108"/>
      <c r="AB39" s="108"/>
      <c r="AC39" s="108"/>
      <c r="AD39" s="108"/>
      <c r="AE39" s="108"/>
      <c r="AF39" s="108"/>
    </row>
    <row r="40" spans="2:32"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Y40" s="21">
        <f>SUM(Y31:Y39)</f>
        <v>108091.36793887499</v>
      </c>
      <c r="Z40" s="21">
        <f>Y13-Y40</f>
        <v>7029.3445779483445</v>
      </c>
      <c r="AA40" s="108"/>
      <c r="AB40" s="108"/>
      <c r="AC40" s="108"/>
      <c r="AD40" s="108"/>
      <c r="AE40" s="108"/>
      <c r="AF40" s="108"/>
    </row>
    <row r="41" spans="2:32">
      <c r="C41" s="21">
        <f>C14</f>
        <v>0</v>
      </c>
      <c r="D41" s="21">
        <f t="shared" ref="D41:W41" si="41">D14</f>
        <v>22</v>
      </c>
      <c r="E41" s="21">
        <f t="shared" si="41"/>
        <v>0</v>
      </c>
      <c r="F41" s="21">
        <f t="shared" si="41"/>
        <v>28</v>
      </c>
      <c r="G41" s="21">
        <f t="shared" si="41"/>
        <v>6</v>
      </c>
      <c r="H41" s="21">
        <f t="shared" si="41"/>
        <v>0</v>
      </c>
      <c r="I41" s="21">
        <f t="shared" si="41"/>
        <v>11</v>
      </c>
      <c r="J41" s="21">
        <f t="shared" si="41"/>
        <v>0</v>
      </c>
      <c r="K41" s="21">
        <f t="shared" si="41"/>
        <v>0</v>
      </c>
      <c r="L41" s="21"/>
      <c r="M41" s="21">
        <f t="shared" si="41"/>
        <v>0</v>
      </c>
      <c r="N41" s="21">
        <f t="shared" si="41"/>
        <v>0</v>
      </c>
      <c r="O41" s="21">
        <f t="shared" si="41"/>
        <v>0</v>
      </c>
      <c r="P41" s="21"/>
      <c r="Q41" s="21">
        <f t="shared" si="41"/>
        <v>0</v>
      </c>
      <c r="R41" s="21">
        <f t="shared" si="41"/>
        <v>0</v>
      </c>
      <c r="S41" s="21">
        <f t="shared" si="41"/>
        <v>0</v>
      </c>
      <c r="T41" s="21">
        <f t="shared" si="41"/>
        <v>0</v>
      </c>
      <c r="U41" s="21">
        <f t="shared" si="41"/>
        <v>0</v>
      </c>
      <c r="V41" s="21">
        <f t="shared" si="41"/>
        <v>0</v>
      </c>
      <c r="W41" s="21">
        <f t="shared" si="41"/>
        <v>0</v>
      </c>
      <c r="X41" s="108"/>
      <c r="Y41" s="108"/>
      <c r="Z41" s="108"/>
      <c r="AA41" s="108"/>
      <c r="AB41" s="108"/>
      <c r="AC41" s="108"/>
      <c r="AD41" s="108"/>
      <c r="AE41" s="108"/>
      <c r="AF41" s="108"/>
    </row>
    <row r="42" spans="2:32">
      <c r="C42" s="21">
        <f t="shared" ref="C42:W42" si="42">C15</f>
        <v>0</v>
      </c>
      <c r="D42" s="21">
        <f t="shared" si="42"/>
        <v>15</v>
      </c>
      <c r="E42" s="21">
        <f t="shared" si="42"/>
        <v>0</v>
      </c>
      <c r="F42" s="21">
        <f t="shared" si="42"/>
        <v>0</v>
      </c>
      <c r="G42" s="21">
        <f t="shared" si="42"/>
        <v>0</v>
      </c>
      <c r="H42" s="21">
        <f t="shared" si="42"/>
        <v>0</v>
      </c>
      <c r="I42" s="21">
        <f t="shared" si="42"/>
        <v>0</v>
      </c>
      <c r="J42" s="21">
        <f t="shared" si="42"/>
        <v>0</v>
      </c>
      <c r="K42" s="21">
        <f t="shared" si="42"/>
        <v>0</v>
      </c>
      <c r="L42" s="21"/>
      <c r="M42" s="21">
        <f t="shared" si="42"/>
        <v>0</v>
      </c>
      <c r="N42" s="21">
        <f t="shared" si="42"/>
        <v>0</v>
      </c>
      <c r="O42" s="21">
        <f t="shared" si="42"/>
        <v>0</v>
      </c>
      <c r="P42" s="21"/>
      <c r="Q42" s="21">
        <f t="shared" si="42"/>
        <v>0</v>
      </c>
      <c r="R42" s="21">
        <f t="shared" si="42"/>
        <v>0</v>
      </c>
      <c r="S42" s="21">
        <f t="shared" si="42"/>
        <v>0</v>
      </c>
      <c r="T42" s="21">
        <f t="shared" si="42"/>
        <v>0</v>
      </c>
      <c r="U42" s="21">
        <f t="shared" si="42"/>
        <v>0</v>
      </c>
      <c r="V42" s="21">
        <f t="shared" si="42"/>
        <v>0</v>
      </c>
      <c r="W42" s="21">
        <f t="shared" si="42"/>
        <v>0</v>
      </c>
      <c r="X42" s="108"/>
      <c r="Y42" s="108"/>
      <c r="Z42" s="108"/>
      <c r="AA42" s="108"/>
      <c r="AB42" s="108"/>
      <c r="AC42" s="108"/>
      <c r="AD42" s="108"/>
      <c r="AE42" s="108"/>
      <c r="AF42" s="108"/>
    </row>
    <row r="43" spans="2:32">
      <c r="C43" s="21">
        <f t="shared" ref="C43:W43" si="43">C16</f>
        <v>3711.2510000000002</v>
      </c>
      <c r="D43" s="21">
        <f t="shared" si="43"/>
        <v>1757</v>
      </c>
      <c r="E43" s="21">
        <f t="shared" si="43"/>
        <v>0</v>
      </c>
      <c r="F43" s="21">
        <f t="shared" si="43"/>
        <v>0</v>
      </c>
      <c r="G43" s="21">
        <f t="shared" si="43"/>
        <v>0</v>
      </c>
      <c r="H43" s="21">
        <f t="shared" si="43"/>
        <v>0</v>
      </c>
      <c r="I43" s="21">
        <f t="shared" si="43"/>
        <v>4336</v>
      </c>
      <c r="J43" s="21">
        <f t="shared" si="43"/>
        <v>6636</v>
      </c>
      <c r="K43" s="21">
        <f t="shared" si="43"/>
        <v>0</v>
      </c>
      <c r="L43" s="21"/>
      <c r="M43" s="21">
        <f t="shared" si="43"/>
        <v>0</v>
      </c>
      <c r="N43" s="21">
        <f t="shared" si="43"/>
        <v>0</v>
      </c>
      <c r="O43" s="21">
        <f t="shared" si="43"/>
        <v>0</v>
      </c>
      <c r="P43" s="21"/>
      <c r="Q43" s="21">
        <f t="shared" si="43"/>
        <v>0</v>
      </c>
      <c r="R43" s="21">
        <f t="shared" si="43"/>
        <v>0</v>
      </c>
      <c r="S43" s="21">
        <f t="shared" si="43"/>
        <v>0</v>
      </c>
      <c r="T43" s="21">
        <f t="shared" si="43"/>
        <v>0</v>
      </c>
      <c r="U43" s="21">
        <f t="shared" si="43"/>
        <v>0</v>
      </c>
      <c r="V43" s="21">
        <f t="shared" si="43"/>
        <v>0</v>
      </c>
      <c r="W43" s="21">
        <f t="shared" si="43"/>
        <v>0</v>
      </c>
      <c r="X43" s="108"/>
      <c r="Y43" s="108"/>
      <c r="Z43" s="108"/>
      <c r="AA43" s="108"/>
      <c r="AB43" s="108"/>
      <c r="AC43" s="108"/>
      <c r="AD43" s="108"/>
      <c r="AE43" s="108"/>
      <c r="AF43" s="108"/>
    </row>
    <row r="44" spans="2:32">
      <c r="B44" s="249" t="s">
        <v>64</v>
      </c>
      <c r="C44" s="21">
        <f>INT(C17*0.9)-6500</f>
        <v>7134</v>
      </c>
      <c r="D44" s="21">
        <f>INT(D17*0.9)</f>
        <v>1502</v>
      </c>
      <c r="E44" s="21">
        <f t="shared" ref="E44:W44" si="44">INT(E17*0.9)</f>
        <v>2364</v>
      </c>
      <c r="F44" s="21">
        <f t="shared" si="44"/>
        <v>939</v>
      </c>
      <c r="G44" s="21">
        <f t="shared" si="44"/>
        <v>1062</v>
      </c>
      <c r="H44" s="21">
        <f t="shared" si="44"/>
        <v>261</v>
      </c>
      <c r="I44" s="21">
        <f t="shared" si="44"/>
        <v>162</v>
      </c>
      <c r="J44" s="21">
        <f t="shared" si="44"/>
        <v>1262</v>
      </c>
      <c r="K44" s="21">
        <f t="shared" si="44"/>
        <v>635</v>
      </c>
      <c r="L44" s="21"/>
      <c r="M44" s="21">
        <f t="shared" si="44"/>
        <v>325</v>
      </c>
      <c r="N44" s="21">
        <f t="shared" si="44"/>
        <v>1390</v>
      </c>
      <c r="O44" s="21">
        <f t="shared" si="44"/>
        <v>1252</v>
      </c>
      <c r="P44" s="21"/>
      <c r="Q44" s="21">
        <f t="shared" si="44"/>
        <v>860</v>
      </c>
      <c r="R44" s="21">
        <f t="shared" si="44"/>
        <v>1067</v>
      </c>
      <c r="S44" s="21">
        <f t="shared" si="44"/>
        <v>522</v>
      </c>
      <c r="T44" s="21">
        <f t="shared" si="44"/>
        <v>868</v>
      </c>
      <c r="U44" s="21">
        <f t="shared" si="44"/>
        <v>70</v>
      </c>
      <c r="V44" s="21">
        <f t="shared" si="44"/>
        <v>74</v>
      </c>
      <c r="W44" s="21">
        <f t="shared" si="44"/>
        <v>8</v>
      </c>
      <c r="X44" s="108"/>
      <c r="Y44" s="108"/>
      <c r="Z44" s="108"/>
      <c r="AA44" s="108"/>
      <c r="AB44" s="108"/>
      <c r="AC44" s="108"/>
      <c r="AD44" s="108"/>
      <c r="AE44" s="108"/>
      <c r="AF44" s="108"/>
    </row>
    <row r="45" spans="2:32">
      <c r="C45" s="21">
        <f>C43+C44</f>
        <v>10845.251</v>
      </c>
      <c r="D45" s="21">
        <f t="shared" ref="D45:W45" si="45">D43+D44</f>
        <v>3259</v>
      </c>
      <c r="E45" s="21">
        <f t="shared" si="45"/>
        <v>2364</v>
      </c>
      <c r="F45" s="21">
        <f t="shared" si="45"/>
        <v>939</v>
      </c>
      <c r="G45" s="21">
        <f t="shared" si="45"/>
        <v>1062</v>
      </c>
      <c r="H45" s="21">
        <f t="shared" si="45"/>
        <v>261</v>
      </c>
      <c r="I45" s="21">
        <f t="shared" si="45"/>
        <v>4498</v>
      </c>
      <c r="J45" s="21">
        <f t="shared" si="45"/>
        <v>7898</v>
      </c>
      <c r="K45" s="21">
        <f t="shared" si="45"/>
        <v>635</v>
      </c>
      <c r="L45" s="21">
        <f t="shared" si="45"/>
        <v>0</v>
      </c>
      <c r="M45" s="21">
        <f t="shared" si="45"/>
        <v>325</v>
      </c>
      <c r="N45" s="21">
        <f t="shared" si="45"/>
        <v>1390</v>
      </c>
      <c r="O45" s="21">
        <f t="shared" si="45"/>
        <v>1252</v>
      </c>
      <c r="P45" s="21">
        <f t="shared" si="45"/>
        <v>0</v>
      </c>
      <c r="Q45" s="21">
        <f t="shared" si="45"/>
        <v>860</v>
      </c>
      <c r="R45" s="21">
        <f t="shared" si="45"/>
        <v>1067</v>
      </c>
      <c r="S45" s="21">
        <f t="shared" si="45"/>
        <v>522</v>
      </c>
      <c r="T45" s="21">
        <f t="shared" si="45"/>
        <v>868</v>
      </c>
      <c r="U45" s="21">
        <f t="shared" si="45"/>
        <v>70</v>
      </c>
      <c r="V45" s="21">
        <f t="shared" si="45"/>
        <v>74</v>
      </c>
      <c r="W45" s="21">
        <f t="shared" si="45"/>
        <v>8</v>
      </c>
    </row>
    <row r="46" spans="2:32">
      <c r="C46" s="21">
        <f t="shared" ref="C46:W46" si="46">C19</f>
        <v>5000</v>
      </c>
      <c r="D46" s="21">
        <f t="shared" si="46"/>
        <v>0</v>
      </c>
      <c r="E46" s="21">
        <f t="shared" si="46"/>
        <v>9761.1680172159449</v>
      </c>
      <c r="F46" s="21">
        <f t="shared" si="46"/>
        <v>0</v>
      </c>
      <c r="G46" s="21">
        <f t="shared" si="46"/>
        <v>0</v>
      </c>
      <c r="H46" s="21">
        <f t="shared" si="46"/>
        <v>0</v>
      </c>
      <c r="I46" s="21">
        <f t="shared" si="46"/>
        <v>0</v>
      </c>
      <c r="J46" s="21">
        <f t="shared" si="46"/>
        <v>0</v>
      </c>
      <c r="K46" s="21">
        <f t="shared" si="46"/>
        <v>0</v>
      </c>
      <c r="L46" s="21"/>
      <c r="M46" s="21">
        <f t="shared" si="46"/>
        <v>0</v>
      </c>
      <c r="N46" s="21">
        <f t="shared" si="46"/>
        <v>0</v>
      </c>
      <c r="O46" s="21">
        <f t="shared" si="46"/>
        <v>0</v>
      </c>
      <c r="P46" s="21"/>
      <c r="Q46" s="21">
        <f t="shared" si="46"/>
        <v>0</v>
      </c>
      <c r="R46" s="21">
        <f t="shared" si="46"/>
        <v>0</v>
      </c>
      <c r="S46" s="21">
        <f t="shared" si="46"/>
        <v>0</v>
      </c>
      <c r="T46" s="21">
        <f t="shared" si="46"/>
        <v>0</v>
      </c>
      <c r="U46" s="21">
        <f t="shared" si="46"/>
        <v>0</v>
      </c>
      <c r="V46" s="21">
        <f t="shared" si="46"/>
        <v>0</v>
      </c>
      <c r="W46" s="21">
        <f t="shared" si="46"/>
        <v>0</v>
      </c>
    </row>
    <row r="47" spans="2:32">
      <c r="C47" s="21">
        <f t="shared" ref="C47:W47" si="47">C20</f>
        <v>57.451121916360592</v>
      </c>
      <c r="D47" s="21">
        <f t="shared" si="47"/>
        <v>76</v>
      </c>
      <c r="E47" s="21">
        <f t="shared" si="47"/>
        <v>425.48292499999991</v>
      </c>
      <c r="F47" s="21">
        <f t="shared" si="47"/>
        <v>60.599668695894465</v>
      </c>
      <c r="G47" s="21">
        <f t="shared" si="47"/>
        <v>34.99018444616447</v>
      </c>
      <c r="H47" s="21">
        <f t="shared" si="47"/>
        <v>19</v>
      </c>
      <c r="I47" s="21">
        <f t="shared" si="47"/>
        <v>3</v>
      </c>
      <c r="J47" s="21">
        <f t="shared" si="47"/>
        <v>328</v>
      </c>
      <c r="K47" s="21">
        <f t="shared" si="47"/>
        <v>28.725560958180296</v>
      </c>
      <c r="L47" s="21"/>
      <c r="M47" s="21">
        <f t="shared" si="47"/>
        <v>150</v>
      </c>
      <c r="N47" s="21">
        <f t="shared" si="47"/>
        <v>76.541028475984774</v>
      </c>
      <c r="O47" s="21">
        <f t="shared" si="47"/>
        <v>30</v>
      </c>
      <c r="P47" s="21"/>
      <c r="Q47" s="21">
        <f t="shared" si="47"/>
        <v>0</v>
      </c>
      <c r="R47" s="21">
        <f t="shared" si="47"/>
        <v>21</v>
      </c>
      <c r="S47" s="21">
        <f t="shared" si="47"/>
        <v>0</v>
      </c>
      <c r="T47" s="21">
        <f t="shared" si="47"/>
        <v>0</v>
      </c>
      <c r="U47" s="21">
        <f t="shared" si="47"/>
        <v>0</v>
      </c>
      <c r="V47" s="21">
        <f t="shared" si="47"/>
        <v>0</v>
      </c>
      <c r="W47" s="21">
        <f t="shared" si="47"/>
        <v>0</v>
      </c>
    </row>
    <row r="48" spans="2:32">
      <c r="C48" s="21">
        <f t="shared" ref="C48:W48" si="48">C21</f>
        <v>0</v>
      </c>
      <c r="D48" s="21">
        <f t="shared" si="48"/>
        <v>0</v>
      </c>
      <c r="E48" s="21">
        <f t="shared" si="48"/>
        <v>20192</v>
      </c>
      <c r="F48" s="21">
        <f t="shared" si="48"/>
        <v>175</v>
      </c>
      <c r="G48" s="21">
        <f t="shared" si="48"/>
        <v>0</v>
      </c>
      <c r="H48" s="21">
        <f t="shared" si="48"/>
        <v>0</v>
      </c>
      <c r="I48" s="21">
        <f t="shared" si="48"/>
        <v>0</v>
      </c>
      <c r="J48" s="21">
        <f t="shared" si="48"/>
        <v>0</v>
      </c>
      <c r="K48" s="21">
        <f t="shared" si="48"/>
        <v>0</v>
      </c>
      <c r="L48" s="21"/>
      <c r="M48" s="21">
        <f t="shared" si="48"/>
        <v>15663</v>
      </c>
      <c r="N48" s="21">
        <f t="shared" si="48"/>
        <v>0</v>
      </c>
      <c r="O48" s="21">
        <f t="shared" si="48"/>
        <v>714</v>
      </c>
      <c r="P48" s="21"/>
      <c r="Q48" s="21">
        <f t="shared" si="48"/>
        <v>0</v>
      </c>
      <c r="R48" s="21">
        <f t="shared" si="48"/>
        <v>0</v>
      </c>
      <c r="S48" s="21">
        <f t="shared" si="48"/>
        <v>0</v>
      </c>
      <c r="T48" s="21">
        <f t="shared" si="48"/>
        <v>0</v>
      </c>
      <c r="U48" s="21">
        <f t="shared" si="48"/>
        <v>0</v>
      </c>
      <c r="V48" s="21">
        <f t="shared" si="48"/>
        <v>0</v>
      </c>
      <c r="W48" s="21">
        <f t="shared" si="48"/>
        <v>0</v>
      </c>
    </row>
    <row r="49" spans="3:25">
      <c r="C49" s="21">
        <f t="shared" ref="C49:W49" si="49">C22</f>
        <v>867.5</v>
      </c>
      <c r="D49" s="21">
        <f t="shared" si="49"/>
        <v>614.51511433576354</v>
      </c>
      <c r="E49" s="21">
        <f t="shared" si="49"/>
        <v>1935.3945771784722</v>
      </c>
      <c r="F49" s="21">
        <f t="shared" si="49"/>
        <v>244.68545473436632</v>
      </c>
      <c r="G49" s="21">
        <f t="shared" si="49"/>
        <v>180</v>
      </c>
      <c r="H49" s="21">
        <f t="shared" si="49"/>
        <v>50</v>
      </c>
      <c r="I49" s="21">
        <f t="shared" si="49"/>
        <v>147.61484063225635</v>
      </c>
      <c r="J49" s="21">
        <f t="shared" si="49"/>
        <v>1610</v>
      </c>
      <c r="K49" s="21">
        <f t="shared" si="49"/>
        <v>358</v>
      </c>
      <c r="L49" s="21"/>
      <c r="M49" s="21">
        <f t="shared" si="49"/>
        <v>150</v>
      </c>
      <c r="N49" s="21">
        <f t="shared" si="49"/>
        <v>386</v>
      </c>
      <c r="O49" s="21">
        <f t="shared" si="49"/>
        <v>107</v>
      </c>
      <c r="P49" s="21"/>
      <c r="Q49" s="21">
        <f t="shared" si="49"/>
        <v>29</v>
      </c>
      <c r="R49" s="21">
        <f t="shared" si="49"/>
        <v>0</v>
      </c>
      <c r="S49" s="21">
        <f t="shared" si="49"/>
        <v>0</v>
      </c>
      <c r="T49" s="21">
        <f t="shared" si="49"/>
        <v>0</v>
      </c>
      <c r="U49" s="21">
        <f t="shared" si="49"/>
        <v>0</v>
      </c>
      <c r="V49" s="21">
        <f t="shared" si="49"/>
        <v>0</v>
      </c>
      <c r="W49" s="21">
        <f t="shared" si="49"/>
        <v>0</v>
      </c>
    </row>
    <row r="50" spans="3:25">
      <c r="C50" s="21">
        <f t="shared" ref="C50:W50" si="50">C23</f>
        <v>2</v>
      </c>
      <c r="D50" s="21">
        <f t="shared" si="50"/>
        <v>79</v>
      </c>
      <c r="E50" s="21">
        <f t="shared" si="50"/>
        <v>155</v>
      </c>
      <c r="F50" s="21">
        <f t="shared" si="50"/>
        <v>124.65253208946092</v>
      </c>
      <c r="G50" s="21">
        <f t="shared" si="50"/>
        <v>54</v>
      </c>
      <c r="H50" s="21">
        <f t="shared" si="50"/>
        <v>20</v>
      </c>
      <c r="I50" s="21">
        <f t="shared" si="50"/>
        <v>91</v>
      </c>
      <c r="J50" s="21">
        <f t="shared" si="50"/>
        <v>170.10038057589117</v>
      </c>
      <c r="K50" s="21">
        <f t="shared" si="50"/>
        <v>84</v>
      </c>
      <c r="L50" s="21"/>
      <c r="M50" s="21">
        <f t="shared" si="50"/>
        <v>3</v>
      </c>
      <c r="N50" s="21">
        <f t="shared" si="50"/>
        <v>84</v>
      </c>
      <c r="O50" s="21">
        <f t="shared" si="50"/>
        <v>43.737730557705589</v>
      </c>
      <c r="P50" s="21"/>
      <c r="Q50" s="21">
        <f t="shared" si="50"/>
        <v>0</v>
      </c>
      <c r="R50" s="21">
        <f t="shared" si="50"/>
        <v>10</v>
      </c>
      <c r="S50" s="21">
        <f t="shared" si="50"/>
        <v>0</v>
      </c>
      <c r="T50" s="21">
        <f t="shared" si="50"/>
        <v>0</v>
      </c>
      <c r="U50" s="21">
        <f t="shared" si="50"/>
        <v>0</v>
      </c>
      <c r="V50" s="21">
        <f t="shared" si="50"/>
        <v>0</v>
      </c>
      <c r="W50" s="21">
        <f t="shared" si="50"/>
        <v>0</v>
      </c>
    </row>
    <row r="51" spans="3:25">
      <c r="C51" s="21">
        <f t="shared" ref="C51:W51" si="51">C24</f>
        <v>869.5</v>
      </c>
      <c r="D51" s="21">
        <f t="shared" si="51"/>
        <v>693.51511433576354</v>
      </c>
      <c r="E51" s="21">
        <f t="shared" si="51"/>
        <v>22282.394577178471</v>
      </c>
      <c r="F51" s="21">
        <f t="shared" si="51"/>
        <v>544.33798682382724</v>
      </c>
      <c r="G51" s="21">
        <f t="shared" si="51"/>
        <v>234</v>
      </c>
      <c r="H51" s="21">
        <f t="shared" si="51"/>
        <v>70</v>
      </c>
      <c r="I51" s="21">
        <f t="shared" si="51"/>
        <v>238.61484063225635</v>
      </c>
      <c r="J51" s="21">
        <f t="shared" si="51"/>
        <v>1780.1003805758912</v>
      </c>
      <c r="K51" s="21">
        <f t="shared" si="51"/>
        <v>442</v>
      </c>
      <c r="L51" s="21"/>
      <c r="M51" s="21">
        <f t="shared" si="51"/>
        <v>15816</v>
      </c>
      <c r="N51" s="21">
        <f t="shared" si="51"/>
        <v>470</v>
      </c>
      <c r="O51" s="21">
        <f t="shared" si="51"/>
        <v>864.73773055770562</v>
      </c>
      <c r="P51" s="21"/>
      <c r="Q51" s="21">
        <f t="shared" si="51"/>
        <v>29</v>
      </c>
      <c r="R51" s="21">
        <f t="shared" si="51"/>
        <v>10</v>
      </c>
      <c r="S51" s="21">
        <f t="shared" si="51"/>
        <v>0</v>
      </c>
      <c r="T51" s="21">
        <f t="shared" si="51"/>
        <v>0</v>
      </c>
      <c r="U51" s="21">
        <f t="shared" si="51"/>
        <v>0</v>
      </c>
      <c r="V51" s="21">
        <f t="shared" si="51"/>
        <v>0</v>
      </c>
      <c r="W51" s="21">
        <f t="shared" si="51"/>
        <v>0</v>
      </c>
    </row>
    <row r="52" spans="3:25">
      <c r="C52" s="56">
        <f>C41+C42+C46+C45+C47+C51</f>
        <v>16772.202121916362</v>
      </c>
      <c r="D52" s="56">
        <f t="shared" ref="D52:W52" si="52">D41+D42+D46+D45+D47+D51</f>
        <v>4065.5151143357634</v>
      </c>
      <c r="E52" s="56">
        <f t="shared" si="52"/>
        <v>34833.045519394414</v>
      </c>
      <c r="F52" s="56">
        <f t="shared" si="52"/>
        <v>1571.9376555197218</v>
      </c>
      <c r="G52" s="56">
        <f t="shared" si="52"/>
        <v>1336.9901844461644</v>
      </c>
      <c r="H52" s="56">
        <f t="shared" si="52"/>
        <v>350</v>
      </c>
      <c r="I52" s="56">
        <f t="shared" si="52"/>
        <v>4750.6148406322563</v>
      </c>
      <c r="J52" s="56">
        <f t="shared" si="52"/>
        <v>10006.100380575892</v>
      </c>
      <c r="K52" s="56">
        <f t="shared" si="52"/>
        <v>1105.7255609581803</v>
      </c>
      <c r="L52" s="56">
        <f t="shared" si="52"/>
        <v>0</v>
      </c>
      <c r="M52" s="56">
        <f t="shared" si="52"/>
        <v>16291</v>
      </c>
      <c r="N52" s="56">
        <f t="shared" si="52"/>
        <v>1936.5410284759848</v>
      </c>
      <c r="O52" s="56">
        <f t="shared" si="52"/>
        <v>2146.7377305577056</v>
      </c>
      <c r="P52" s="56">
        <f t="shared" si="52"/>
        <v>0</v>
      </c>
      <c r="Q52" s="56">
        <f t="shared" si="52"/>
        <v>889</v>
      </c>
      <c r="R52" s="56">
        <f t="shared" si="52"/>
        <v>1098</v>
      </c>
      <c r="S52" s="56">
        <f t="shared" si="52"/>
        <v>522</v>
      </c>
      <c r="T52" s="56">
        <f t="shared" si="52"/>
        <v>868</v>
      </c>
      <c r="U52" s="56">
        <f t="shared" si="52"/>
        <v>70</v>
      </c>
      <c r="V52" s="56">
        <f t="shared" si="52"/>
        <v>74</v>
      </c>
      <c r="W52" s="56">
        <f t="shared" si="52"/>
        <v>8</v>
      </c>
      <c r="Y52" s="21">
        <f>SUM(C52:X52)</f>
        <v>98695.410136812439</v>
      </c>
    </row>
    <row r="53" spans="3:25">
      <c r="C53" s="21">
        <f t="shared" ref="C53:W53" si="53">C26</f>
        <v>1190.6310324999997</v>
      </c>
      <c r="D53" s="21">
        <f t="shared" si="53"/>
        <v>348.31907249999989</v>
      </c>
      <c r="E53" s="21">
        <f t="shared" si="53"/>
        <v>442.06954749999989</v>
      </c>
      <c r="F53" s="21">
        <f t="shared" si="53"/>
        <v>142.17104999999998</v>
      </c>
      <c r="G53" s="21">
        <f t="shared" si="53"/>
        <v>1440.2545499999997</v>
      </c>
      <c r="H53" s="21">
        <f t="shared" si="53"/>
        <v>730.42952499999978</v>
      </c>
      <c r="I53" s="21">
        <f t="shared" si="53"/>
        <v>2.0604499999999994</v>
      </c>
      <c r="J53" s="21">
        <f t="shared" si="53"/>
        <v>658.31377499999985</v>
      </c>
      <c r="K53" s="21">
        <f t="shared" si="53"/>
        <v>3056.6775749999993</v>
      </c>
      <c r="L53" s="21"/>
      <c r="M53" s="21">
        <f t="shared" si="53"/>
        <v>44.299674999999993</v>
      </c>
      <c r="N53" s="21">
        <f t="shared" si="53"/>
        <v>547.04947499999992</v>
      </c>
      <c r="O53" s="21">
        <f t="shared" si="53"/>
        <v>1287.7812499999995</v>
      </c>
      <c r="P53" s="21"/>
      <c r="Q53" s="21">
        <f t="shared" si="53"/>
        <v>1073.8699999999999</v>
      </c>
      <c r="R53" s="21">
        <f t="shared" si="53"/>
        <v>712.53</v>
      </c>
      <c r="S53" s="21">
        <f t="shared" si="53"/>
        <v>555.20499999999993</v>
      </c>
      <c r="T53" s="21">
        <f t="shared" si="53"/>
        <v>0</v>
      </c>
      <c r="U53" s="21">
        <f t="shared" si="53"/>
        <v>0</v>
      </c>
      <c r="V53" s="21">
        <f t="shared" si="53"/>
        <v>265.92999999999995</v>
      </c>
      <c r="W53" s="21">
        <f t="shared" si="53"/>
        <v>0</v>
      </c>
      <c r="Y53" s="21">
        <f>SUM(C53:X53)</f>
        <v>12497.5919775</v>
      </c>
    </row>
    <row r="54" spans="3:25">
      <c r="C54" s="21">
        <f t="shared" ref="C54:W54" si="54">C27</f>
        <v>0</v>
      </c>
      <c r="D54" s="21">
        <f t="shared" si="54"/>
        <v>0</v>
      </c>
      <c r="E54" s="21">
        <f t="shared" si="54"/>
        <v>0</v>
      </c>
      <c r="F54" s="21">
        <f t="shared" si="54"/>
        <v>0</v>
      </c>
      <c r="G54" s="21">
        <f t="shared" si="54"/>
        <v>0</v>
      </c>
      <c r="H54" s="21">
        <f t="shared" si="54"/>
        <v>0</v>
      </c>
      <c r="I54" s="21">
        <f t="shared" si="54"/>
        <v>0</v>
      </c>
      <c r="J54" s="21">
        <f t="shared" si="54"/>
        <v>0</v>
      </c>
      <c r="K54" s="21">
        <f t="shared" si="54"/>
        <v>0</v>
      </c>
      <c r="L54" s="21"/>
      <c r="M54" s="21">
        <f t="shared" si="54"/>
        <v>0</v>
      </c>
      <c r="N54" s="21">
        <f t="shared" si="54"/>
        <v>0</v>
      </c>
      <c r="O54" s="21">
        <f t="shared" si="54"/>
        <v>0</v>
      </c>
      <c r="P54" s="21"/>
      <c r="Q54" s="21">
        <f t="shared" si="54"/>
        <v>0</v>
      </c>
      <c r="R54" s="21">
        <f t="shared" si="54"/>
        <v>0</v>
      </c>
      <c r="S54" s="21">
        <f t="shared" si="54"/>
        <v>0</v>
      </c>
      <c r="T54" s="21">
        <f t="shared" si="54"/>
        <v>0</v>
      </c>
      <c r="U54" s="21">
        <f t="shared" si="54"/>
        <v>0</v>
      </c>
      <c r="V54" s="21">
        <f t="shared" si="54"/>
        <v>0</v>
      </c>
      <c r="W54" s="21">
        <f t="shared" si="54"/>
        <v>0</v>
      </c>
    </row>
    <row r="55" spans="3:25">
      <c r="C55" s="21">
        <f t="shared" ref="C55:W55" si="55">C28</f>
        <v>0</v>
      </c>
      <c r="D55" s="21">
        <f t="shared" si="55"/>
        <v>0</v>
      </c>
      <c r="E55" s="21">
        <f t="shared" si="55"/>
        <v>0</v>
      </c>
      <c r="F55" s="21">
        <f t="shared" si="55"/>
        <v>0</v>
      </c>
      <c r="G55" s="21">
        <f t="shared" si="55"/>
        <v>0</v>
      </c>
      <c r="H55" s="21">
        <f t="shared" si="55"/>
        <v>0</v>
      </c>
      <c r="I55" s="21">
        <f t="shared" si="55"/>
        <v>0</v>
      </c>
      <c r="J55" s="21">
        <f t="shared" si="55"/>
        <v>0</v>
      </c>
      <c r="K55" s="21">
        <f t="shared" si="55"/>
        <v>0</v>
      </c>
      <c r="L55" s="21"/>
      <c r="M55" s="21">
        <f t="shared" si="55"/>
        <v>0</v>
      </c>
      <c r="N55" s="21">
        <f t="shared" si="55"/>
        <v>0</v>
      </c>
      <c r="O55" s="21">
        <f t="shared" si="55"/>
        <v>0</v>
      </c>
      <c r="P55" s="21"/>
      <c r="Q55" s="21">
        <f t="shared" si="55"/>
        <v>0</v>
      </c>
      <c r="R55" s="21">
        <f t="shared" si="55"/>
        <v>0</v>
      </c>
      <c r="S55" s="21">
        <f t="shared" si="55"/>
        <v>0</v>
      </c>
      <c r="T55" s="21">
        <f t="shared" si="55"/>
        <v>0</v>
      </c>
      <c r="U55" s="21">
        <f t="shared" si="55"/>
        <v>0</v>
      </c>
      <c r="V55" s="21">
        <f t="shared" si="55"/>
        <v>0</v>
      </c>
      <c r="W55" s="21">
        <f t="shared" si="55"/>
        <v>0</v>
      </c>
    </row>
    <row r="56" spans="3:25">
      <c r="C56" s="21">
        <f t="shared" ref="C56:W56" si="56">C29</f>
        <v>0</v>
      </c>
      <c r="D56" s="21">
        <f t="shared" si="56"/>
        <v>0</v>
      </c>
      <c r="E56" s="21">
        <f t="shared" si="56"/>
        <v>0</v>
      </c>
      <c r="F56" s="21">
        <f t="shared" si="56"/>
        <v>0</v>
      </c>
      <c r="G56" s="21">
        <f t="shared" si="56"/>
        <v>0</v>
      </c>
      <c r="H56" s="21">
        <f t="shared" si="56"/>
        <v>0</v>
      </c>
      <c r="I56" s="21">
        <f t="shared" si="56"/>
        <v>0</v>
      </c>
      <c r="J56" s="21">
        <f t="shared" si="56"/>
        <v>0</v>
      </c>
      <c r="K56" s="21">
        <f t="shared" si="56"/>
        <v>0</v>
      </c>
      <c r="L56" s="21"/>
      <c r="M56" s="21">
        <f t="shared" si="56"/>
        <v>0</v>
      </c>
      <c r="N56" s="21">
        <f t="shared" si="56"/>
        <v>0</v>
      </c>
      <c r="O56" s="21">
        <f t="shared" si="56"/>
        <v>0</v>
      </c>
      <c r="P56" s="21"/>
      <c r="Q56" s="21">
        <f t="shared" si="56"/>
        <v>0</v>
      </c>
      <c r="R56" s="21">
        <f t="shared" si="56"/>
        <v>0</v>
      </c>
      <c r="S56" s="21">
        <f t="shared" si="56"/>
        <v>0</v>
      </c>
      <c r="T56" s="21">
        <f t="shared" si="56"/>
        <v>0</v>
      </c>
      <c r="U56" s="21">
        <f t="shared" si="56"/>
        <v>0</v>
      </c>
      <c r="V56" s="21">
        <f t="shared" si="56"/>
        <v>0</v>
      </c>
      <c r="W56" s="21">
        <f t="shared" si="56"/>
        <v>0</v>
      </c>
    </row>
  </sheetData>
  <mergeCells count="11">
    <mergeCell ref="A16:A18"/>
    <mergeCell ref="A3:B3"/>
    <mergeCell ref="A4:A11"/>
    <mergeCell ref="A13:B13"/>
    <mergeCell ref="A14:B14"/>
    <mergeCell ref="A15:B15"/>
    <mergeCell ref="C29:K29"/>
    <mergeCell ref="C30:J30"/>
    <mergeCell ref="A20:B20"/>
    <mergeCell ref="A21:A24"/>
    <mergeCell ref="A25:B2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2:AB56"/>
  <sheetViews>
    <sheetView zoomScale="85" zoomScaleNormal="85" workbookViewId="0">
      <pane xSplit="2" ySplit="3" topLeftCell="C19" activePane="bottomRight" state="frozen"/>
      <selection activeCell="Q56" sqref="Q56"/>
      <selection pane="topRight" activeCell="Q56" sqref="Q56"/>
      <selection pane="bottomLeft" activeCell="Q56" sqref="Q56"/>
      <selection pane="bottomRight" activeCell="C45" sqref="C45:W45"/>
    </sheetView>
  </sheetViews>
  <sheetFormatPr defaultRowHeight="16.899999999999999"/>
  <cols>
    <col min="1" max="1" width="17.375" customWidth="1"/>
    <col min="2" max="2" width="19.25" bestFit="1" customWidth="1"/>
    <col min="12" max="12" width="9.375" bestFit="1" customWidth="1"/>
    <col min="25" max="25" width="13.125" customWidth="1"/>
  </cols>
  <sheetData>
    <row r="2" spans="1:28">
      <c r="Y2" t="s">
        <v>77</v>
      </c>
    </row>
    <row r="3" spans="1:28">
      <c r="A3" s="264" t="s">
        <v>217</v>
      </c>
      <c r="B3" s="264"/>
      <c r="C3" s="88" t="s">
        <v>0</v>
      </c>
      <c r="D3" s="88" t="s">
        <v>18</v>
      </c>
      <c r="E3" s="88" t="s">
        <v>19</v>
      </c>
      <c r="F3" s="88" t="s">
        <v>3</v>
      </c>
      <c r="G3" s="88" t="s">
        <v>5</v>
      </c>
      <c r="H3" s="88" t="s">
        <v>20</v>
      </c>
      <c r="I3" s="88" t="s">
        <v>7</v>
      </c>
      <c r="J3" s="88" t="s">
        <v>22</v>
      </c>
      <c r="K3" s="88" t="s">
        <v>23</v>
      </c>
      <c r="L3" s="88" t="s">
        <v>85</v>
      </c>
      <c r="M3" s="88" t="s">
        <v>21</v>
      </c>
      <c r="N3" s="88" t="s">
        <v>24</v>
      </c>
      <c r="O3" s="88" t="s">
        <v>25</v>
      </c>
      <c r="P3" s="88" t="s">
        <v>85</v>
      </c>
      <c r="Q3" s="88" t="s">
        <v>26</v>
      </c>
      <c r="R3" s="88" t="s">
        <v>27</v>
      </c>
      <c r="S3" s="88" t="s">
        <v>28</v>
      </c>
      <c r="T3" s="88" t="s">
        <v>29</v>
      </c>
      <c r="U3" s="88" t="s">
        <v>30</v>
      </c>
      <c r="V3" s="88" t="s">
        <v>31</v>
      </c>
      <c r="W3" s="88" t="s">
        <v>32</v>
      </c>
      <c r="X3" s="88" t="s">
        <v>17</v>
      </c>
      <c r="Y3" s="88" t="s">
        <v>41</v>
      </c>
    </row>
    <row r="4" spans="1:28">
      <c r="A4" s="265" t="s">
        <v>93</v>
      </c>
      <c r="B4" s="89" t="s">
        <v>33</v>
      </c>
      <c r="C4" s="90">
        <f>동탄!F6</f>
        <v>994.44013462499959</v>
      </c>
      <c r="D4" s="90">
        <f>화성!F6</f>
        <v>383.76396362499986</v>
      </c>
      <c r="E4" s="90">
        <f>파주!F6</f>
        <v>828.17727299999967</v>
      </c>
      <c r="F4" s="90">
        <f>광교!F6</f>
        <v>46.009848499999983</v>
      </c>
      <c r="G4" s="90">
        <f>판교!F6</f>
        <v>319.9775827499999</v>
      </c>
      <c r="H4" s="90">
        <f>삼송!F6</f>
        <v>300.10969362499986</v>
      </c>
      <c r="I4" s="90">
        <f>양산!F6</f>
        <v>170.44557512499995</v>
      </c>
      <c r="J4" s="90">
        <f>대구!F6</f>
        <v>3.1370351249999988</v>
      </c>
      <c r="K4" s="90">
        <f>청주!F6</f>
        <v>31.370351249999988</v>
      </c>
      <c r="L4" s="91">
        <f>SUM(C4:K4)</f>
        <v>3077.4314576249985</v>
      </c>
      <c r="M4" s="90">
        <f>수원!F6</f>
        <v>319.9775827499999</v>
      </c>
      <c r="N4" s="90">
        <f>광주전남!F6</f>
        <v>249.91713162499991</v>
      </c>
      <c r="O4" s="90">
        <f>강남!F6</f>
        <v>168.35421837499993</v>
      </c>
      <c r="P4" s="91">
        <f t="shared" ref="P4:P24" si="0">SUM(M4:O4)</f>
        <v>738.24893274999977</v>
      </c>
      <c r="Q4" s="90">
        <f>중앙!F6</f>
        <v>216.45542362499992</v>
      </c>
      <c r="R4" s="90">
        <f>고양!F6</f>
        <v>110.84190774999996</v>
      </c>
      <c r="S4" s="90">
        <f>용인!F6</f>
        <v>89.928340249999962</v>
      </c>
      <c r="T4" s="90">
        <f>분당!F6</f>
        <v>41.827134999999984</v>
      </c>
      <c r="U4" s="90">
        <f>세종!F6</f>
        <v>33.461707999999987</v>
      </c>
      <c r="V4" s="90">
        <f>김해!F6</f>
        <v>156.85175624999994</v>
      </c>
      <c r="W4" s="90">
        <f>평택!F6</f>
        <v>0</v>
      </c>
      <c r="X4" s="91">
        <f t="shared" ref="X4:X24" si="1">SUM(Q4:W4)</f>
        <v>649.36627087499983</v>
      </c>
      <c r="Y4" s="92">
        <f>L4+P4+X4</f>
        <v>4465.0466612499986</v>
      </c>
    </row>
    <row r="5" spans="1:28">
      <c r="A5" s="265"/>
      <c r="B5" s="89" t="s">
        <v>95</v>
      </c>
      <c r="C5" s="90">
        <f>동탄!F7</f>
        <v>7362.4224463437449</v>
      </c>
      <c r="D5" s="90">
        <f>화성!F7</f>
        <v>4015.946071212265</v>
      </c>
      <c r="E5" s="90">
        <f>파주!F7</f>
        <v>2182.5127548295086</v>
      </c>
      <c r="F5" s="90">
        <f>광교!F7</f>
        <v>995.03337018780212</v>
      </c>
      <c r="G5" s="90">
        <f>판교!F7</f>
        <v>890.91387121237756</v>
      </c>
      <c r="H5" s="90">
        <f>삼송!F7</f>
        <v>660.16812848874963</v>
      </c>
      <c r="I5" s="90">
        <f>양산!F7</f>
        <v>848.04516212499971</v>
      </c>
      <c r="J5" s="90">
        <f>대구!F7</f>
        <v>1142.0271804724994</v>
      </c>
      <c r="K5" s="90">
        <f>청주!F7</f>
        <v>1142.0271804724994</v>
      </c>
      <c r="L5" s="91">
        <f t="shared" ref="L5:L9" si="2">SUM(C5:K5)</f>
        <v>19239.096165344443</v>
      </c>
      <c r="M5" s="90">
        <f>수원!F7</f>
        <v>890.91387121237756</v>
      </c>
      <c r="N5" s="90">
        <f>광주전남!F7</f>
        <v>1268.4078688749996</v>
      </c>
      <c r="O5" s="90">
        <f>강남!F7</f>
        <v>1912.5457478749993</v>
      </c>
      <c r="P5" s="91">
        <f t="shared" si="0"/>
        <v>4071.8674879623768</v>
      </c>
      <c r="Q5" s="90">
        <f>중앙!F7</f>
        <v>1405.3917359999996</v>
      </c>
      <c r="R5" s="90">
        <f>고양!F7</f>
        <v>664.0057681249998</v>
      </c>
      <c r="S5" s="90">
        <f>용인!F7</f>
        <v>493.5601929999998</v>
      </c>
      <c r="T5" s="90">
        <f>분당!F7</f>
        <v>638.90948712499971</v>
      </c>
      <c r="U5" s="90">
        <f>세종!F7</f>
        <v>119.20733474999996</v>
      </c>
      <c r="V5" s="90">
        <f>김해!F7</f>
        <v>322.06893949999989</v>
      </c>
      <c r="W5" s="90">
        <f>평택!F7</f>
        <v>172.53693187499994</v>
      </c>
      <c r="X5" s="91">
        <f t="shared" si="1"/>
        <v>3815.6803903749988</v>
      </c>
      <c r="Y5" s="91">
        <f t="shared" ref="Y5:Y24" si="3">L5+P5+X5</f>
        <v>27126.644043681816</v>
      </c>
    </row>
    <row r="6" spans="1:28">
      <c r="A6" s="265"/>
      <c r="B6" s="89" t="s">
        <v>96</v>
      </c>
      <c r="C6" s="90">
        <f>동탄!F8</f>
        <v>8463.3129526837456</v>
      </c>
      <c r="D6" s="90">
        <f>화성!F8</f>
        <v>6537.9994718499966</v>
      </c>
      <c r="E6" s="90">
        <f>파주!F8</f>
        <v>6110.2699609481215</v>
      </c>
      <c r="F6" s="90">
        <f>광교!F8</f>
        <v>2511.1861607787487</v>
      </c>
      <c r="G6" s="90">
        <f>판교!F8</f>
        <v>2606.7088803349984</v>
      </c>
      <c r="H6" s="90">
        <f>삼송!F8</f>
        <v>1880.736211707499</v>
      </c>
      <c r="I6" s="90">
        <f>양산!F8</f>
        <v>2343.4907197799989</v>
      </c>
      <c r="J6" s="90">
        <f>대구!F8</f>
        <v>3877.1610504331229</v>
      </c>
      <c r="K6" s="90">
        <f>청주!F8</f>
        <v>3522.665624524373</v>
      </c>
      <c r="L6" s="91">
        <f>SUM(C6:K6)</f>
        <v>37853.531033040599</v>
      </c>
      <c r="M6" s="90">
        <f>수원!F8</f>
        <v>2606.7088803349984</v>
      </c>
      <c r="N6" s="90">
        <f>광주전남!F8</f>
        <v>1855.2634864924989</v>
      </c>
      <c r="O6" s="90">
        <f>강남!F8</f>
        <v>1302.2930766168743</v>
      </c>
      <c r="P6" s="91">
        <f t="shared" si="0"/>
        <v>5764.2654434443721</v>
      </c>
      <c r="Q6" s="90">
        <f>중앙!F8</f>
        <v>1129.2908178649993</v>
      </c>
      <c r="R6" s="90">
        <f>고양!F8</f>
        <v>741.89312188687461</v>
      </c>
      <c r="S6" s="90">
        <f>용인!F8</f>
        <v>718.54312377312465</v>
      </c>
      <c r="T6" s="90">
        <f>분당!F8</f>
        <v>641.06358457749968</v>
      </c>
      <c r="U6" s="90">
        <f>세종!F8</f>
        <v>289.75224932062486</v>
      </c>
      <c r="V6" s="90">
        <f>김해!F8</f>
        <v>42.454542024999981</v>
      </c>
      <c r="W6" s="90">
        <f>평택!F8</f>
        <v>42.454542024999981</v>
      </c>
      <c r="X6" s="91">
        <f t="shared" si="1"/>
        <v>3605.4519814731229</v>
      </c>
      <c r="Y6" s="91">
        <f t="shared" si="3"/>
        <v>47223.2484579581</v>
      </c>
    </row>
    <row r="7" spans="1:28">
      <c r="A7" s="265"/>
      <c r="B7" s="89" t="s">
        <v>97</v>
      </c>
      <c r="C7" s="90">
        <f>동탄!F9</f>
        <v>5408.9410999388901</v>
      </c>
      <c r="D7" s="90">
        <f>화성!F9</f>
        <v>388.99235549999986</v>
      </c>
      <c r="E7" s="90">
        <f>파주!F9</f>
        <v>676.55390862499974</v>
      </c>
      <c r="F7" s="90">
        <f>광교!F9</f>
        <v>196.58753449999992</v>
      </c>
      <c r="G7" s="90">
        <f>판교!F9</f>
        <v>196.58753449999992</v>
      </c>
      <c r="H7" s="90">
        <f>삼송!F9</f>
        <v>166.26286162499994</v>
      </c>
      <c r="I7" s="90">
        <f>양산!F9</f>
        <v>243.64306137499992</v>
      </c>
      <c r="J7" s="90">
        <f>대구!F9</f>
        <v>278.1504477499999</v>
      </c>
      <c r="K7" s="90">
        <f>청주!F9</f>
        <v>212.27271012499992</v>
      </c>
      <c r="L7" s="91">
        <f t="shared" si="2"/>
        <v>7767.9915139388895</v>
      </c>
      <c r="M7" s="90">
        <f>수원!F9</f>
        <v>196.58753449999992</v>
      </c>
      <c r="N7" s="90">
        <f>광주전남!F9</f>
        <v>217.50110199999992</v>
      </c>
      <c r="O7" s="90">
        <f>강남!F9</f>
        <v>613.81320612499974</v>
      </c>
      <c r="P7" s="91">
        <f t="shared" si="0"/>
        <v>1027.9018426249995</v>
      </c>
      <c r="Q7" s="90">
        <f>중앙!F9</f>
        <v>718.38104362499973</v>
      </c>
      <c r="R7" s="90">
        <f>고양!F9</f>
        <v>562.57496574999982</v>
      </c>
      <c r="S7" s="90">
        <f>용인!F9</f>
        <v>124.43572662499996</v>
      </c>
      <c r="T7" s="90">
        <f>분당!F9</f>
        <v>87.836983499999974</v>
      </c>
      <c r="U7" s="90">
        <f>세종!F9</f>
        <v>63.786380874999978</v>
      </c>
      <c r="V7" s="90">
        <f>김해!F9</f>
        <v>55.420953874999981</v>
      </c>
      <c r="W7" s="90">
        <f>평택!F9</f>
        <v>97.248088874999965</v>
      </c>
      <c r="X7" s="91">
        <f t="shared" si="1"/>
        <v>1709.6841431249993</v>
      </c>
      <c r="Y7" s="91">
        <f t="shared" si="3"/>
        <v>10505.577499688889</v>
      </c>
    </row>
    <row r="8" spans="1:28">
      <c r="A8" s="265"/>
      <c r="B8" s="89" t="s">
        <v>281</v>
      </c>
      <c r="C8" s="90">
        <f>동탄!F10</f>
        <v>2547.2222184788352</v>
      </c>
      <c r="D8" s="90">
        <f>화성!F10</f>
        <v>1279.9103309999996</v>
      </c>
      <c r="E8" s="90">
        <f>파주!F10</f>
        <v>751.19552232859348</v>
      </c>
      <c r="F8" s="90">
        <f>광교!F10</f>
        <v>1298.7325417499994</v>
      </c>
      <c r="G8" s="90">
        <f>판교!F10</f>
        <v>490.42315787499979</v>
      </c>
      <c r="H8" s="90">
        <f>삼송!F10</f>
        <v>409.90592299999986</v>
      </c>
      <c r="I8" s="90">
        <f>양산!F10</f>
        <v>935.88214562499968</v>
      </c>
      <c r="J8" s="90">
        <f>대구!F10</f>
        <v>807.26370549999967</v>
      </c>
      <c r="K8" s="90">
        <f>청주!F10</f>
        <v>388.99235549999986</v>
      </c>
      <c r="L8" s="91">
        <f t="shared" si="2"/>
        <v>8909.5279010574286</v>
      </c>
      <c r="M8" s="90">
        <f>수원!F10</f>
        <v>490.42315787499979</v>
      </c>
      <c r="N8" s="90">
        <f>광주전남!F10</f>
        <v>744.52300299999968</v>
      </c>
      <c r="O8" s="90">
        <f>강남!F10</f>
        <v>666.09712487499974</v>
      </c>
      <c r="P8" s="91">
        <f t="shared" si="0"/>
        <v>1901.0432857499991</v>
      </c>
      <c r="Q8" s="90">
        <f>중앙!F10</f>
        <v>1100.0536504999995</v>
      </c>
      <c r="R8" s="90">
        <f>고양!F10</f>
        <v>1305.0066119999994</v>
      </c>
      <c r="S8" s="90">
        <f>용인!F10</f>
        <v>233.18627762499992</v>
      </c>
      <c r="T8" s="90">
        <f>분당!F10</f>
        <v>464.28119849999985</v>
      </c>
      <c r="U8" s="90">
        <f>세종!F10</f>
        <v>350.30225562499987</v>
      </c>
      <c r="V8" s="90">
        <f>김해!F10</f>
        <v>276.05909099999991</v>
      </c>
      <c r="W8" s="90">
        <f>평택!F10</f>
        <v>29.278994499999989</v>
      </c>
      <c r="X8" s="91">
        <f t="shared" si="1"/>
        <v>3758.1680797499989</v>
      </c>
      <c r="Y8" s="91">
        <f t="shared" si="3"/>
        <v>14568.739266557428</v>
      </c>
    </row>
    <row r="9" spans="1:28">
      <c r="A9" s="265"/>
      <c r="B9" s="220" t="s">
        <v>279</v>
      </c>
      <c r="C9" s="90">
        <f>동탄!F11-100</f>
        <v>688.59311811437465</v>
      </c>
      <c r="D9" s="90">
        <f>화성!F11</f>
        <v>609.22267805874969</v>
      </c>
      <c r="E9" s="90">
        <f>파주!F11</f>
        <v>568.89086313499979</v>
      </c>
      <c r="F9" s="90">
        <f>광교!F11</f>
        <v>233.4999811374999</v>
      </c>
      <c r="G9" s="90">
        <f>판교!F11</f>
        <v>243.05225309312488</v>
      </c>
      <c r="H9" s="90">
        <f>삼송!F11</f>
        <v>53.068177531249972</v>
      </c>
      <c r="I9" s="90">
        <f>양산!F11</f>
        <v>217.57952787812491</v>
      </c>
      <c r="J9" s="90">
        <f>대구!F11</f>
        <v>360.8636072124998</v>
      </c>
      <c r="K9" s="90">
        <f>청주!F11</f>
        <v>327.96133714312487</v>
      </c>
      <c r="L9" s="91">
        <f t="shared" si="2"/>
        <v>3302.7315433037484</v>
      </c>
      <c r="M9" s="90">
        <f>수원!F11</f>
        <v>243.05225309312488</v>
      </c>
      <c r="N9" s="90">
        <f>광주전남!F11</f>
        <v>166.63407744812491</v>
      </c>
      <c r="O9" s="90">
        <f>강남!F11</f>
        <v>116.74999056874995</v>
      </c>
      <c r="P9" s="91">
        <f t="shared" si="0"/>
        <v>526.43632110999977</v>
      </c>
      <c r="Q9" s="90">
        <f>중앙!F11</f>
        <v>101.89090085999996</v>
      </c>
      <c r="R9" s="90">
        <f>고양!F11</f>
        <v>66.865903689374974</v>
      </c>
      <c r="S9" s="90">
        <f>용인!F11</f>
        <v>64.743176588124967</v>
      </c>
      <c r="T9" s="90">
        <f>분당!F11</f>
        <v>57.313631733749972</v>
      </c>
      <c r="U9" s="90">
        <f>세종!F11</f>
        <v>26.534088765624986</v>
      </c>
      <c r="V9" s="90">
        <f>김해!F11</f>
        <v>4.2454542024999977</v>
      </c>
      <c r="W9" s="90">
        <f>평택!F11</f>
        <v>4.2454542024999977</v>
      </c>
      <c r="X9" s="91">
        <f t="shared" si="1"/>
        <v>325.83861004187486</v>
      </c>
      <c r="Y9" s="91">
        <f t="shared" si="3"/>
        <v>4155.006474455623</v>
      </c>
    </row>
    <row r="10" spans="1:28">
      <c r="A10" s="265"/>
      <c r="B10" s="220" t="s">
        <v>280</v>
      </c>
      <c r="C10" s="90">
        <f>동탄!F12</f>
        <v>88.093174701874958</v>
      </c>
      <c r="D10" s="90">
        <f>화성!F12</f>
        <v>67.927267239999964</v>
      </c>
      <c r="E10" s="90">
        <f>파주!F12</f>
        <v>63.681813037499964</v>
      </c>
      <c r="F10" s="90">
        <f>광교!F12</f>
        <v>25.47272521499999</v>
      </c>
      <c r="G10" s="90">
        <f>판교!F12</f>
        <v>26.534088765624986</v>
      </c>
      <c r="H10" s="90">
        <f>삼송!F12</f>
        <v>6.3681813037499975</v>
      </c>
      <c r="I10" s="90">
        <f>양산!F12</f>
        <v>24.41136166437499</v>
      </c>
      <c r="J10" s="90">
        <f>대구!F12</f>
        <v>40.331814923749981</v>
      </c>
      <c r="K10" s="90">
        <f>청주!F12</f>
        <v>36.086360721249982</v>
      </c>
      <c r="L10" s="91">
        <f t="shared" ref="L10" si="4">SUM(C10:K10)</f>
        <v>378.90678757312486</v>
      </c>
      <c r="M10" s="90">
        <f>수원!F12</f>
        <v>26.534088765624986</v>
      </c>
      <c r="N10" s="90">
        <f>광주전남!F12</f>
        <v>18.043180360624991</v>
      </c>
      <c r="O10" s="90">
        <f>강남!F12</f>
        <v>12.736362607499995</v>
      </c>
      <c r="P10" s="91">
        <f t="shared" ref="P10" si="5">SUM(M10:O10)</f>
        <v>57.313631733749972</v>
      </c>
      <c r="Q10" s="90">
        <f>중앙!F12</f>
        <v>11.674999056874995</v>
      </c>
      <c r="R10" s="90">
        <f>고양!F12</f>
        <v>7.4295448543749965</v>
      </c>
      <c r="S10" s="90">
        <f>용인!F12</f>
        <v>7.4295448543749965</v>
      </c>
      <c r="T10" s="90">
        <f>분당!F12</f>
        <v>6.3681813037499975</v>
      </c>
      <c r="U10" s="90">
        <f>세종!F12</f>
        <v>3.1840906518749987</v>
      </c>
      <c r="V10" s="90">
        <f>김해!F12</f>
        <v>1.0613635506249994</v>
      </c>
      <c r="W10" s="90">
        <f>평택!F12</f>
        <v>1.0613635506249994</v>
      </c>
      <c r="X10" s="91">
        <f t="shared" ref="X10" si="6">SUM(Q10:W10)</f>
        <v>38.209087822499974</v>
      </c>
      <c r="Y10" s="91">
        <f t="shared" ref="Y10" si="7">L10+P10+X10</f>
        <v>474.42950712937477</v>
      </c>
    </row>
    <row r="11" spans="1:28">
      <c r="A11" s="265"/>
      <c r="B11" s="93" t="s">
        <v>35</v>
      </c>
      <c r="C11" s="94">
        <f>SUM(C4:C10)</f>
        <v>25553.025144886466</v>
      </c>
      <c r="D11" s="94">
        <f t="shared" ref="D11:M11" si="8">SUM(D4:D10)</f>
        <v>13283.76213848601</v>
      </c>
      <c r="E11" s="94">
        <f t="shared" si="8"/>
        <v>11181.282095903722</v>
      </c>
      <c r="F11" s="94">
        <f t="shared" si="8"/>
        <v>5306.52216206905</v>
      </c>
      <c r="G11" s="94">
        <f t="shared" si="8"/>
        <v>4774.197368531125</v>
      </c>
      <c r="H11" s="94">
        <f t="shared" si="8"/>
        <v>3476.6191772812485</v>
      </c>
      <c r="I11" s="94">
        <f t="shared" si="8"/>
        <v>4783.4975535724989</v>
      </c>
      <c r="J11" s="94">
        <f t="shared" si="8"/>
        <v>6508.9348414168726</v>
      </c>
      <c r="K11" s="94">
        <f t="shared" si="8"/>
        <v>5661.3759197362469</v>
      </c>
      <c r="L11" s="94">
        <f>SUM(C11:K11)</f>
        <v>80529.216401883241</v>
      </c>
      <c r="M11" s="94">
        <f t="shared" si="8"/>
        <v>4774.197368531125</v>
      </c>
      <c r="N11" s="94">
        <f t="shared" ref="N11" si="9">SUM(N4:N10)</f>
        <v>4520.2898498012482</v>
      </c>
      <c r="O11" s="94">
        <f t="shared" ref="O11" si="10">SUM(O4:O10)</f>
        <v>4792.5897270431233</v>
      </c>
      <c r="P11" s="94">
        <f t="shared" si="0"/>
        <v>14087.076945375497</v>
      </c>
      <c r="Q11" s="94">
        <f t="shared" ref="Q11" si="11">SUM(Q4:Q10)</f>
        <v>4683.1385715318738</v>
      </c>
      <c r="R11" s="94">
        <f t="shared" ref="R11" si="12">SUM(R4:R10)</f>
        <v>3458.6178240556233</v>
      </c>
      <c r="S11" s="94">
        <f t="shared" ref="S11" si="13">SUM(S4:S10)</f>
        <v>1731.8263827156243</v>
      </c>
      <c r="T11" s="94">
        <f t="shared" ref="T11" si="14">SUM(T4:T10)</f>
        <v>1937.6002017399992</v>
      </c>
      <c r="U11" s="94">
        <f t="shared" ref="U11" si="15">SUM(U4:U10)</f>
        <v>886.22810798812463</v>
      </c>
      <c r="V11" s="94">
        <f t="shared" ref="V11" si="16">SUM(V4:V10)</f>
        <v>858.16210040312467</v>
      </c>
      <c r="W11" s="94">
        <f t="shared" ref="W11" si="17">SUM(W4:W10)</f>
        <v>346.82537502812488</v>
      </c>
      <c r="X11" s="94">
        <f t="shared" si="1"/>
        <v>13902.398563462495</v>
      </c>
      <c r="Y11" s="94">
        <f t="shared" si="3"/>
        <v>108518.69191072123</v>
      </c>
    </row>
    <row r="12" spans="1:28">
      <c r="A12" s="89" t="s">
        <v>98</v>
      </c>
      <c r="B12" s="89" t="s">
        <v>99</v>
      </c>
      <c r="C12" s="95">
        <f>동탄!F13</f>
        <v>459.24617085590864</v>
      </c>
      <c r="D12" s="95">
        <f>화성!F13</f>
        <v>385.85532037499985</v>
      </c>
      <c r="E12" s="95">
        <f>파주!F13</f>
        <v>586.62556837499983</v>
      </c>
      <c r="F12" s="95">
        <f>광교!F13</f>
        <v>244.68873974999991</v>
      </c>
      <c r="G12" s="95">
        <f>판교!F13</f>
        <v>223.77517224999991</v>
      </c>
      <c r="H12" s="95">
        <f>삼송!F13</f>
        <v>239.46034787499991</v>
      </c>
      <c r="I12" s="95">
        <f>양산!F13</f>
        <v>697.46747612499973</v>
      </c>
      <c r="J12" s="95">
        <f>대구!F13</f>
        <v>441.27627424999986</v>
      </c>
      <c r="K12" s="95">
        <f>청주!F13</f>
        <v>459.05280662499985</v>
      </c>
      <c r="L12" s="92">
        <f>SUM(C12:K12)</f>
        <v>3737.4478764809078</v>
      </c>
      <c r="M12" s="95">
        <f>수원!F13</f>
        <v>223.77517224999991</v>
      </c>
      <c r="N12" s="95">
        <f>광주전남!F13</f>
        <v>812.49209737499973</v>
      </c>
      <c r="O12" s="95">
        <f>강남!F13</f>
        <v>247.82577487499989</v>
      </c>
      <c r="P12" s="92">
        <f t="shared" si="0"/>
        <v>1284.0930444999997</v>
      </c>
      <c r="Q12" s="95">
        <f>중앙!F13</f>
        <v>248.87145324999992</v>
      </c>
      <c r="R12" s="95">
        <f>고양!F13</f>
        <v>104.56783749999997</v>
      </c>
      <c r="S12" s="95">
        <f>용인!F13</f>
        <v>199.72456962499993</v>
      </c>
      <c r="T12" s="95">
        <f>분당!F13</f>
        <v>67.969094374999969</v>
      </c>
      <c r="U12" s="95">
        <f>세종!F13</f>
        <v>81.562913249999966</v>
      </c>
      <c r="V12" s="95">
        <f>김해!F13</f>
        <v>167.30853999999994</v>
      </c>
      <c r="W12" s="95">
        <f>평택!F13</f>
        <v>53.329597124999978</v>
      </c>
      <c r="X12" s="92">
        <f t="shared" si="1"/>
        <v>923.33400512499952</v>
      </c>
      <c r="Y12" s="92">
        <f t="shared" si="3"/>
        <v>5944.8749261059074</v>
      </c>
    </row>
    <row r="13" spans="1:28">
      <c r="A13" s="255" t="s">
        <v>110</v>
      </c>
      <c r="B13" s="255"/>
      <c r="C13" s="58">
        <f t="shared" ref="C13:H13" si="18">C12+C11</f>
        <v>26012.271315742375</v>
      </c>
      <c r="D13" s="58">
        <f t="shared" si="18"/>
        <v>13669.61745886101</v>
      </c>
      <c r="E13" s="58">
        <f t="shared" si="18"/>
        <v>11767.907664278722</v>
      </c>
      <c r="F13" s="58">
        <f t="shared" si="18"/>
        <v>5551.2109018190495</v>
      </c>
      <c r="G13" s="58">
        <f t="shared" si="18"/>
        <v>4997.9725407811247</v>
      </c>
      <c r="H13" s="58">
        <f t="shared" si="18"/>
        <v>3716.0795251562486</v>
      </c>
      <c r="I13" s="58">
        <f>I12+I11</f>
        <v>5480.9650296974987</v>
      </c>
      <c r="J13" s="58">
        <f>J12+J11</f>
        <v>6950.2111156668725</v>
      </c>
      <c r="K13" s="58">
        <f>K12+K11</f>
        <v>6120.4287263612468</v>
      </c>
      <c r="L13" s="58">
        <f>SUM(C13:K13)</f>
        <v>84266.664278364158</v>
      </c>
      <c r="M13" s="58">
        <f>M12+M11</f>
        <v>4997.9725407811247</v>
      </c>
      <c r="N13" s="58">
        <f>N12+N11</f>
        <v>5332.7819471762477</v>
      </c>
      <c r="O13" s="58">
        <f>O12+O11</f>
        <v>5040.4155019181235</v>
      </c>
      <c r="P13" s="58">
        <f t="shared" si="0"/>
        <v>15371.169989875496</v>
      </c>
      <c r="Q13" s="58">
        <f t="shared" ref="Q13:W13" si="19">Q12+Q11</f>
        <v>4932.0100247818737</v>
      </c>
      <c r="R13" s="58">
        <f t="shared" si="19"/>
        <v>3563.185661555623</v>
      </c>
      <c r="S13" s="58">
        <f t="shared" si="19"/>
        <v>1931.5509523406242</v>
      </c>
      <c r="T13" s="58">
        <f t="shared" si="19"/>
        <v>2005.5692961149991</v>
      </c>
      <c r="U13" s="58">
        <f t="shared" si="19"/>
        <v>967.79102123812459</v>
      </c>
      <c r="V13" s="58">
        <f t="shared" si="19"/>
        <v>1025.4706404031247</v>
      </c>
      <c r="W13" s="58">
        <f t="shared" si="19"/>
        <v>400.15497215312485</v>
      </c>
      <c r="X13" s="58">
        <f t="shared" si="1"/>
        <v>14825.732568587493</v>
      </c>
      <c r="Y13" s="58">
        <f>L13+P13+X13</f>
        <v>114463.56683682714</v>
      </c>
      <c r="Z13">
        <v>101382</v>
      </c>
      <c r="AA13" s="107">
        <f>Y13/Z13</f>
        <v>1.1290324400468243</v>
      </c>
      <c r="AB13" s="21">
        <f>Y13-Z13</f>
        <v>13081.566836827144</v>
      </c>
    </row>
    <row r="14" spans="1:28">
      <c r="A14" s="263" t="s">
        <v>65</v>
      </c>
      <c r="B14" s="263"/>
      <c r="C14" s="95">
        <f>동탄!F15</f>
        <v>19</v>
      </c>
      <c r="D14" s="95">
        <f>화성!F15</f>
        <v>0</v>
      </c>
      <c r="E14" s="95">
        <f>파주!F15</f>
        <v>0</v>
      </c>
      <c r="F14" s="95">
        <f>광교!F15</f>
        <v>28</v>
      </c>
      <c r="G14" s="95">
        <f>판교!F15</f>
        <v>6</v>
      </c>
      <c r="H14" s="95">
        <f>삼송!F15</f>
        <v>0</v>
      </c>
      <c r="I14" s="95">
        <f>양산!F15</f>
        <v>11</v>
      </c>
      <c r="J14" s="95">
        <f>대구!F15</f>
        <v>0</v>
      </c>
      <c r="K14" s="95">
        <f>청주!F15</f>
        <v>0</v>
      </c>
      <c r="L14" s="92">
        <f>SUM(C14:K14)</f>
        <v>64</v>
      </c>
      <c r="M14" s="95">
        <f>수원!F15</f>
        <v>0</v>
      </c>
      <c r="N14" s="95">
        <f>광주전남!F15</f>
        <v>0</v>
      </c>
      <c r="O14" s="95">
        <f>강남!F15</f>
        <v>0</v>
      </c>
      <c r="P14" s="96">
        <f t="shared" si="0"/>
        <v>0</v>
      </c>
      <c r="Q14" s="95">
        <f>중앙!F15</f>
        <v>0</v>
      </c>
      <c r="R14" s="95">
        <f>고양!F15</f>
        <v>0</v>
      </c>
      <c r="S14" s="95">
        <f>용인!F15</f>
        <v>0</v>
      </c>
      <c r="T14" s="95">
        <f>분당!F15</f>
        <v>0</v>
      </c>
      <c r="U14" s="95">
        <f>세종!F15</f>
        <v>0</v>
      </c>
      <c r="V14" s="95">
        <f>김해!F15</f>
        <v>0</v>
      </c>
      <c r="W14" s="95">
        <f>평택!F15</f>
        <v>0</v>
      </c>
      <c r="X14" s="96">
        <f t="shared" si="1"/>
        <v>0</v>
      </c>
      <c r="Y14" s="96">
        <f t="shared" si="3"/>
        <v>64</v>
      </c>
      <c r="AA14" s="21">
        <f>Y13*0.06</f>
        <v>6867.8140102096286</v>
      </c>
    </row>
    <row r="15" spans="1:28">
      <c r="A15" s="263" t="s">
        <v>66</v>
      </c>
      <c r="B15" s="263"/>
      <c r="C15" s="95">
        <f>동탄!F16</f>
        <v>0</v>
      </c>
      <c r="D15" s="95">
        <f>화성!F16</f>
        <v>15</v>
      </c>
      <c r="E15" s="95">
        <f>파주!F16</f>
        <v>0</v>
      </c>
      <c r="F15" s="95">
        <f>광교!F16</f>
        <v>0</v>
      </c>
      <c r="G15" s="95">
        <f>판교!F16</f>
        <v>0</v>
      </c>
      <c r="H15" s="95">
        <f>삼송!F16</f>
        <v>0</v>
      </c>
      <c r="I15" s="95">
        <f>양산!F16</f>
        <v>0</v>
      </c>
      <c r="J15" s="95">
        <f>대구!F16</f>
        <v>0</v>
      </c>
      <c r="K15" s="95">
        <f>청주!F16</f>
        <v>0</v>
      </c>
      <c r="L15" s="92">
        <f t="shared" ref="L15:L18" si="20">SUM(C15:K15)</f>
        <v>15</v>
      </c>
      <c r="M15" s="95">
        <f>수원!F16</f>
        <v>0</v>
      </c>
      <c r="N15" s="95">
        <f>광주전남!F16</f>
        <v>0</v>
      </c>
      <c r="O15" s="95">
        <f>강남!F16</f>
        <v>0</v>
      </c>
      <c r="P15" s="96">
        <f t="shared" si="0"/>
        <v>0</v>
      </c>
      <c r="Q15" s="95">
        <f>중앙!F16</f>
        <v>0</v>
      </c>
      <c r="R15" s="95">
        <f>고양!F16</f>
        <v>0</v>
      </c>
      <c r="S15" s="95">
        <f>용인!F16</f>
        <v>0</v>
      </c>
      <c r="T15" s="95">
        <f>분당!F16</f>
        <v>0</v>
      </c>
      <c r="U15" s="95">
        <f>세종!F16</f>
        <v>0</v>
      </c>
      <c r="V15" s="95">
        <f>김해!F16</f>
        <v>0</v>
      </c>
      <c r="W15" s="95">
        <f>평택!F16</f>
        <v>0</v>
      </c>
      <c r="X15" s="96">
        <f t="shared" si="1"/>
        <v>0</v>
      </c>
      <c r="Y15" s="96">
        <f t="shared" si="3"/>
        <v>15</v>
      </c>
    </row>
    <row r="16" spans="1:28">
      <c r="A16" s="263" t="s">
        <v>34</v>
      </c>
      <c r="B16" s="97" t="s">
        <v>81</v>
      </c>
      <c r="C16" s="95">
        <f>동탄!F17</f>
        <v>20754.969000000001</v>
      </c>
      <c r="D16" s="95">
        <f>화성!F17</f>
        <v>0</v>
      </c>
      <c r="E16" s="95">
        <f>파주!F17</f>
        <v>2221</v>
      </c>
      <c r="F16" s="95">
        <f>광교!F17</f>
        <v>1547</v>
      </c>
      <c r="G16" s="95">
        <f>판교!F17</f>
        <v>0</v>
      </c>
      <c r="H16" s="95">
        <f>삼송!F17</f>
        <v>0</v>
      </c>
      <c r="I16" s="95">
        <f>양산!F17</f>
        <v>0</v>
      </c>
      <c r="J16" s="95">
        <f>대구!F17</f>
        <v>0</v>
      </c>
      <c r="K16" s="95">
        <f>청주!F17</f>
        <v>0</v>
      </c>
      <c r="L16" s="92">
        <f>SUM(C16:K16)</f>
        <v>24522.969000000001</v>
      </c>
      <c r="M16" s="95">
        <f>수원!F17</f>
        <v>0</v>
      </c>
      <c r="N16" s="95">
        <f>광주전남!F17</f>
        <v>0</v>
      </c>
      <c r="O16" s="95">
        <f>강남!F17</f>
        <v>0</v>
      </c>
      <c r="P16" s="96">
        <f t="shared" si="0"/>
        <v>0</v>
      </c>
      <c r="Q16" s="95">
        <f>중앙!F17</f>
        <v>0</v>
      </c>
      <c r="R16" s="95">
        <f>고양!F17</f>
        <v>0</v>
      </c>
      <c r="S16" s="95">
        <f>용인!F17</f>
        <v>0</v>
      </c>
      <c r="T16" s="95">
        <f>분당!F17</f>
        <v>0</v>
      </c>
      <c r="U16" s="95">
        <f>세종!F17</f>
        <v>0</v>
      </c>
      <c r="V16" s="95">
        <f>김해!F17</f>
        <v>0</v>
      </c>
      <c r="W16" s="95">
        <f>평택!F17</f>
        <v>0</v>
      </c>
      <c r="X16" s="96">
        <f t="shared" si="1"/>
        <v>0</v>
      </c>
      <c r="Y16" s="96">
        <f t="shared" si="3"/>
        <v>24522.969000000001</v>
      </c>
    </row>
    <row r="17" spans="1:25">
      <c r="A17" s="263"/>
      <c r="B17" s="97" t="s">
        <v>64</v>
      </c>
      <c r="C17" s="95">
        <f>동탄!F18</f>
        <v>649</v>
      </c>
      <c r="D17" s="95">
        <f>화성!F18</f>
        <v>1106.5645831099514</v>
      </c>
      <c r="E17" s="95">
        <f>파주!F18</f>
        <v>1125.1531185969761</v>
      </c>
      <c r="F17" s="95">
        <f>광교!F18</f>
        <v>747.91519253676552</v>
      </c>
      <c r="G17" s="95">
        <f>판교!F18</f>
        <v>1197.9398123194242</v>
      </c>
      <c r="H17" s="95">
        <f>삼송!F18</f>
        <v>295.21874683187326</v>
      </c>
      <c r="I17" s="95">
        <f>양산!F18</f>
        <v>180</v>
      </c>
      <c r="J17" s="95">
        <f>대구!F18</f>
        <v>1423.9310232529826</v>
      </c>
      <c r="K17" s="95">
        <f>청주!F18</f>
        <v>706</v>
      </c>
      <c r="L17" s="92">
        <f>SUM(C17:K17)</f>
        <v>7431.7224766479731</v>
      </c>
      <c r="M17" s="95">
        <f>수원!F18</f>
        <v>367.3586661704889</v>
      </c>
      <c r="N17" s="95">
        <f>광주전남!F18</f>
        <v>1568.6953278237493</v>
      </c>
      <c r="O17" s="95">
        <f>강남!F18</f>
        <v>1412.7114846249995</v>
      </c>
      <c r="P17" s="96">
        <f t="shared" si="0"/>
        <v>3348.7654786192379</v>
      </c>
      <c r="Q17" s="95">
        <f>중앙!F18</f>
        <v>970.08628527124949</v>
      </c>
      <c r="R17" s="95">
        <f>고양!F18</f>
        <v>1203.5862664087495</v>
      </c>
      <c r="S17" s="95">
        <f>용인!F18</f>
        <v>589.05677059687468</v>
      </c>
      <c r="T17" s="95">
        <f>분당!F18</f>
        <v>979.63855722687447</v>
      </c>
      <c r="U17" s="95">
        <f>세종!F18</f>
        <v>79.602266296874959</v>
      </c>
      <c r="V17" s="95">
        <f>김해!F18</f>
        <v>83.847720499374958</v>
      </c>
      <c r="W17" s="95">
        <f>평택!F18</f>
        <v>9.5522719556249953</v>
      </c>
      <c r="X17" s="96">
        <f t="shared" si="1"/>
        <v>3915.3701382556233</v>
      </c>
      <c r="Y17" s="96">
        <f t="shared" si="3"/>
        <v>14695.858093522833</v>
      </c>
    </row>
    <row r="18" spans="1:25">
      <c r="A18" s="263"/>
      <c r="B18" s="93" t="s">
        <v>35</v>
      </c>
      <c r="C18" s="98">
        <f t="shared" ref="C18:H18" si="21">SUM(C16:C17)</f>
        <v>21403.969000000001</v>
      </c>
      <c r="D18" s="98">
        <f t="shared" si="21"/>
        <v>1106.5645831099514</v>
      </c>
      <c r="E18" s="98">
        <f t="shared" si="21"/>
        <v>3346.1531185969761</v>
      </c>
      <c r="F18" s="98">
        <f t="shared" si="21"/>
        <v>2294.9151925367655</v>
      </c>
      <c r="G18" s="98">
        <f t="shared" si="21"/>
        <v>1197.9398123194242</v>
      </c>
      <c r="H18" s="98">
        <f t="shared" si="21"/>
        <v>295.21874683187326</v>
      </c>
      <c r="I18" s="98">
        <f>SUM(I16:I17)</f>
        <v>180</v>
      </c>
      <c r="J18" s="98">
        <f>SUM(J16:J17)</f>
        <v>1423.9310232529826</v>
      </c>
      <c r="K18" s="98">
        <f>SUM(K16:K17)</f>
        <v>706</v>
      </c>
      <c r="L18" s="98">
        <f t="shared" si="20"/>
        <v>31954.691476647975</v>
      </c>
      <c r="M18" s="98">
        <f>SUM(M16:M17)</f>
        <v>367.3586661704889</v>
      </c>
      <c r="N18" s="98">
        <f>SUM(N16:N17)</f>
        <v>1568.6953278237493</v>
      </c>
      <c r="O18" s="98">
        <f>SUM(O16:O17)</f>
        <v>1412.7114846249995</v>
      </c>
      <c r="P18" s="99">
        <f t="shared" si="0"/>
        <v>3348.7654786192379</v>
      </c>
      <c r="Q18" s="98">
        <f t="shared" ref="Q18:W18" si="22">SUM(Q16:Q17)</f>
        <v>970.08628527124949</v>
      </c>
      <c r="R18" s="98">
        <f t="shared" si="22"/>
        <v>1203.5862664087495</v>
      </c>
      <c r="S18" s="98">
        <f t="shared" si="22"/>
        <v>589.05677059687468</v>
      </c>
      <c r="T18" s="98">
        <f t="shared" si="22"/>
        <v>979.63855722687447</v>
      </c>
      <c r="U18" s="98">
        <f t="shared" si="22"/>
        <v>79.602266296874959</v>
      </c>
      <c r="V18" s="98">
        <f t="shared" si="22"/>
        <v>83.847720499374958</v>
      </c>
      <c r="W18" s="98">
        <f t="shared" si="22"/>
        <v>9.5522719556249953</v>
      </c>
      <c r="X18" s="99">
        <f t="shared" si="1"/>
        <v>3915.3701382556233</v>
      </c>
      <c r="Y18" s="99">
        <f t="shared" si="3"/>
        <v>39218.827093522836</v>
      </c>
    </row>
    <row r="19" spans="1:25">
      <c r="A19" s="89" t="s">
        <v>102</v>
      </c>
      <c r="B19" s="89" t="s">
        <v>103</v>
      </c>
      <c r="C19" s="100">
        <f>동탄!F19</f>
        <v>5074.9999999999991</v>
      </c>
      <c r="D19" s="100">
        <f>화성!F19</f>
        <v>0</v>
      </c>
      <c r="E19" s="100">
        <f>파주!F19</f>
        <v>0</v>
      </c>
      <c r="F19" s="100">
        <f>광교!F19</f>
        <v>0</v>
      </c>
      <c r="G19" s="100">
        <f>판교!F19</f>
        <v>0</v>
      </c>
      <c r="H19" s="100">
        <f>삼송!F19</f>
        <v>0</v>
      </c>
      <c r="I19" s="100">
        <f>양산!F19</f>
        <v>0</v>
      </c>
      <c r="J19" s="100">
        <f>대구!F19</f>
        <v>0</v>
      </c>
      <c r="K19" s="100">
        <f>청주!F19</f>
        <v>0</v>
      </c>
      <c r="L19" s="92">
        <f>SUM(C19:K19)</f>
        <v>5074.9999999999991</v>
      </c>
      <c r="M19" s="100">
        <f>수원!F19</f>
        <v>0</v>
      </c>
      <c r="N19" s="100">
        <f>광주전남!F19</f>
        <v>0</v>
      </c>
      <c r="O19" s="100">
        <f>강남!F19</f>
        <v>0</v>
      </c>
      <c r="P19" s="96">
        <f t="shared" si="0"/>
        <v>0</v>
      </c>
      <c r="Q19" s="100">
        <f>중앙!F19</f>
        <v>0</v>
      </c>
      <c r="R19" s="100">
        <f>고양!F19</f>
        <v>0</v>
      </c>
      <c r="S19" s="100">
        <f>용인!F19</f>
        <v>0</v>
      </c>
      <c r="T19" s="100">
        <f>분당!F19</f>
        <v>0</v>
      </c>
      <c r="U19" s="100">
        <f>세종!F19</f>
        <v>0</v>
      </c>
      <c r="V19" s="100">
        <f>김해!F19</f>
        <v>0</v>
      </c>
      <c r="W19" s="100">
        <f>평택!F19</f>
        <v>0</v>
      </c>
      <c r="X19" s="96">
        <f t="shared" si="1"/>
        <v>0</v>
      </c>
      <c r="Y19" s="96">
        <f t="shared" si="3"/>
        <v>5074.9999999999991</v>
      </c>
    </row>
    <row r="20" spans="1:25">
      <c r="A20" s="263" t="s">
        <v>63</v>
      </c>
      <c r="B20" s="263"/>
      <c r="C20" s="95">
        <f>동탄!F20</f>
        <v>297.41656779239798</v>
      </c>
      <c r="D20" s="95">
        <f>화성!F20</f>
        <v>76</v>
      </c>
      <c r="E20" s="95">
        <f>파주!F20</f>
        <v>431.86516887499988</v>
      </c>
      <c r="F20" s="95">
        <f>광교!F20</f>
        <v>12.20829404191957</v>
      </c>
      <c r="G20" s="95">
        <f>판교!F20</f>
        <v>35.515037212856932</v>
      </c>
      <c r="H20" s="95">
        <f>삼송!F20</f>
        <v>19</v>
      </c>
      <c r="I20" s="95">
        <f>양산!F20</f>
        <v>5</v>
      </c>
      <c r="J20" s="95">
        <f>대구!F20</f>
        <v>328</v>
      </c>
      <c r="K20" s="95">
        <f>청주!F20</f>
        <v>3</v>
      </c>
      <c r="L20" s="92">
        <f>SUM(C20:K20)</f>
        <v>1208.0050679221742</v>
      </c>
      <c r="M20" s="95">
        <f>수원!F20</f>
        <v>150</v>
      </c>
      <c r="N20" s="95">
        <f>광주전남!F20</f>
        <v>77.689143903124531</v>
      </c>
      <c r="O20" s="95">
        <f>강남!F20</f>
        <v>30</v>
      </c>
      <c r="P20" s="96">
        <f t="shared" si="0"/>
        <v>257.68914390312455</v>
      </c>
      <c r="Q20" s="95">
        <f>중앙!F20</f>
        <v>0</v>
      </c>
      <c r="R20" s="95">
        <f>고양!F20</f>
        <v>21</v>
      </c>
      <c r="S20" s="95">
        <f>용인!F20</f>
        <v>0</v>
      </c>
      <c r="T20" s="95">
        <f>분당!F20</f>
        <v>0</v>
      </c>
      <c r="U20" s="95">
        <f>세종!F20</f>
        <v>0</v>
      </c>
      <c r="V20" s="95">
        <f>김해!F20</f>
        <v>0</v>
      </c>
      <c r="W20" s="95">
        <f>평택!F20</f>
        <v>0</v>
      </c>
      <c r="X20" s="96">
        <f t="shared" si="1"/>
        <v>21</v>
      </c>
      <c r="Y20" s="96">
        <f t="shared" si="3"/>
        <v>1486.6942118252987</v>
      </c>
    </row>
    <row r="21" spans="1:25">
      <c r="A21" s="263" t="s">
        <v>36</v>
      </c>
      <c r="B21" s="97" t="s">
        <v>38</v>
      </c>
      <c r="C21" s="95">
        <f>동탄!F21</f>
        <v>0</v>
      </c>
      <c r="D21" s="95">
        <f>화성!F21</f>
        <v>20511</v>
      </c>
      <c r="E21" s="95">
        <f>파주!F21</f>
        <v>0</v>
      </c>
      <c r="F21" s="95">
        <f>광교!F21</f>
        <v>0</v>
      </c>
      <c r="G21" s="95">
        <f>판교!F21</f>
        <v>0</v>
      </c>
      <c r="H21" s="95">
        <f>삼송!F21</f>
        <v>0</v>
      </c>
      <c r="I21" s="95">
        <f>양산!F21</f>
        <v>0</v>
      </c>
      <c r="J21" s="95">
        <f>대구!F21</f>
        <v>0</v>
      </c>
      <c r="K21" s="95">
        <f>청주!F21</f>
        <v>17899</v>
      </c>
      <c r="L21" s="92">
        <f>SUM(C21:K21)</f>
        <v>38410</v>
      </c>
      <c r="M21" s="95">
        <f>수원!F21</f>
        <v>0</v>
      </c>
      <c r="N21" s="95">
        <f>광주전남!F21</f>
        <v>0</v>
      </c>
      <c r="O21" s="95">
        <f>강남!F21</f>
        <v>0</v>
      </c>
      <c r="P21" s="96">
        <f t="shared" si="0"/>
        <v>0</v>
      </c>
      <c r="Q21" s="95">
        <f>중앙!F21</f>
        <v>0</v>
      </c>
      <c r="R21" s="95">
        <f>고양!F21</f>
        <v>0</v>
      </c>
      <c r="S21" s="95">
        <f>용인!F21</f>
        <v>0</v>
      </c>
      <c r="T21" s="95">
        <f>분당!F21</f>
        <v>0</v>
      </c>
      <c r="U21" s="95">
        <f>세종!F21</f>
        <v>0</v>
      </c>
      <c r="V21" s="95">
        <f>김해!F21</f>
        <v>0</v>
      </c>
      <c r="W21" s="95">
        <f>평택!F21</f>
        <v>0</v>
      </c>
      <c r="X21" s="96">
        <f t="shared" si="1"/>
        <v>0</v>
      </c>
      <c r="Y21" s="96">
        <f t="shared" si="3"/>
        <v>38410</v>
      </c>
    </row>
    <row r="22" spans="1:25">
      <c r="A22" s="263"/>
      <c r="B22" s="97" t="s">
        <v>39</v>
      </c>
      <c r="C22" s="95">
        <f>동탄!F22</f>
        <v>867.5</v>
      </c>
      <c r="D22" s="95">
        <f>화성!F22</f>
        <v>1084.6957178310986</v>
      </c>
      <c r="E22" s="95">
        <f>파주!F22</f>
        <v>18</v>
      </c>
      <c r="F22" s="95">
        <f>광교!F22</f>
        <v>162.36137650598138</v>
      </c>
      <c r="G22" s="95">
        <f>판교!F22</f>
        <v>180</v>
      </c>
      <c r="H22" s="95">
        <f>삼송!F22</f>
        <v>50</v>
      </c>
      <c r="I22" s="95">
        <f>양산!F22</f>
        <v>149.82906324174019</v>
      </c>
      <c r="J22" s="95">
        <f>대구!F22</f>
        <v>1985.811203219374</v>
      </c>
      <c r="K22" s="95">
        <f>청주!F22</f>
        <v>358</v>
      </c>
      <c r="L22" s="92">
        <f>SUM(C22:K22)</f>
        <v>4856.1973607981945</v>
      </c>
      <c r="M22" s="95">
        <f>수원!F22</f>
        <v>159.20453259374992</v>
      </c>
      <c r="N22" s="95">
        <f>광주전남!F22</f>
        <v>386</v>
      </c>
      <c r="O22" s="95">
        <f>강남!F22</f>
        <v>107</v>
      </c>
      <c r="P22" s="96">
        <f t="shared" si="0"/>
        <v>652.20453259374995</v>
      </c>
      <c r="Q22" s="95">
        <f>중앙!F22</f>
        <v>29</v>
      </c>
      <c r="R22" s="95">
        <f>고양!F22</f>
        <v>0</v>
      </c>
      <c r="S22" s="95">
        <f>용인!F22</f>
        <v>0</v>
      </c>
      <c r="T22" s="95">
        <f>분당!F22</f>
        <v>0</v>
      </c>
      <c r="U22" s="95">
        <f>세종!F22</f>
        <v>0</v>
      </c>
      <c r="V22" s="95">
        <f>김해!F22</f>
        <v>0</v>
      </c>
      <c r="W22" s="95">
        <f>평택!F22</f>
        <v>0</v>
      </c>
      <c r="X22" s="96">
        <f t="shared" si="1"/>
        <v>29</v>
      </c>
      <c r="Y22" s="96">
        <f t="shared" si="3"/>
        <v>5537.4018933919442</v>
      </c>
    </row>
    <row r="23" spans="1:25">
      <c r="A23" s="263"/>
      <c r="B23" s="97" t="s">
        <v>37</v>
      </c>
      <c r="C23" s="95">
        <f>동탄!F23</f>
        <v>2</v>
      </c>
      <c r="D23" s="95">
        <f>화성!F23</f>
        <v>107</v>
      </c>
      <c r="E23" s="95">
        <f>파주!F23</f>
        <v>126</v>
      </c>
      <c r="F23" s="95">
        <f>광교!F23</f>
        <v>13</v>
      </c>
      <c r="G23" s="95">
        <f>판교!F23</f>
        <v>54</v>
      </c>
      <c r="H23" s="95">
        <f>삼송!F23</f>
        <v>20</v>
      </c>
      <c r="I23" s="95">
        <f>양산!F23</f>
        <v>91</v>
      </c>
      <c r="J23" s="95">
        <f>대구!F23</f>
        <v>170</v>
      </c>
      <c r="K23" s="95">
        <f>청주!F23</f>
        <v>84</v>
      </c>
      <c r="L23" s="92">
        <f>SUM(C23:K23)</f>
        <v>667</v>
      </c>
      <c r="M23" s="95">
        <f>수원!F23</f>
        <v>43.5</v>
      </c>
      <c r="N23" s="95">
        <f>광주전남!F23</f>
        <v>84</v>
      </c>
      <c r="O23" s="95">
        <f>강남!F23</f>
        <v>44.393796516071163</v>
      </c>
      <c r="P23" s="96">
        <f t="shared" si="0"/>
        <v>171.89379651607118</v>
      </c>
      <c r="Q23" s="95">
        <f>중앙!F23</f>
        <v>0</v>
      </c>
      <c r="R23" s="95">
        <f>고양!F23</f>
        <v>10</v>
      </c>
      <c r="S23" s="95">
        <f>용인!F23</f>
        <v>0</v>
      </c>
      <c r="T23" s="95">
        <f>분당!F23</f>
        <v>0</v>
      </c>
      <c r="U23" s="95">
        <f>세종!F23</f>
        <v>0</v>
      </c>
      <c r="V23" s="95">
        <f>김해!F23</f>
        <v>0</v>
      </c>
      <c r="W23" s="95">
        <f>평택!F23</f>
        <v>0</v>
      </c>
      <c r="X23" s="96">
        <f t="shared" si="1"/>
        <v>10</v>
      </c>
      <c r="Y23" s="96">
        <f t="shared" si="3"/>
        <v>848.89379651607123</v>
      </c>
    </row>
    <row r="24" spans="1:25">
      <c r="A24" s="263"/>
      <c r="B24" s="93" t="s">
        <v>35</v>
      </c>
      <c r="C24" s="98">
        <f t="shared" ref="C24:H24" si="23">SUM(C21:C23)</f>
        <v>869.5</v>
      </c>
      <c r="D24" s="98">
        <f t="shared" si="23"/>
        <v>21702.695717831099</v>
      </c>
      <c r="E24" s="98">
        <f t="shared" si="23"/>
        <v>144</v>
      </c>
      <c r="F24" s="98">
        <f t="shared" si="23"/>
        <v>175.36137650598138</v>
      </c>
      <c r="G24" s="98">
        <f t="shared" si="23"/>
        <v>234</v>
      </c>
      <c r="H24" s="98">
        <f t="shared" si="23"/>
        <v>70</v>
      </c>
      <c r="I24" s="98">
        <f>SUM(I21:I23)</f>
        <v>240.82906324174019</v>
      </c>
      <c r="J24" s="98">
        <f>SUM(J21:J23)</f>
        <v>2155.811203219374</v>
      </c>
      <c r="K24" s="98">
        <f>SUM(K21:K23)</f>
        <v>18341</v>
      </c>
      <c r="L24" s="98">
        <f t="shared" ref="L24" si="24">SUM(C24:K24)</f>
        <v>43933.197360798193</v>
      </c>
      <c r="M24" s="98">
        <f>SUM(M21:M23)</f>
        <v>202.70453259374992</v>
      </c>
      <c r="N24" s="98">
        <f>SUM(N21:N23)</f>
        <v>470</v>
      </c>
      <c r="O24" s="98">
        <f>SUM(O21:O23)</f>
        <v>151.39379651607118</v>
      </c>
      <c r="P24" s="99">
        <f t="shared" si="0"/>
        <v>824.09832910982118</v>
      </c>
      <c r="Q24" s="98">
        <f t="shared" ref="Q24:W24" si="25">SUM(Q21:Q23)</f>
        <v>29</v>
      </c>
      <c r="R24" s="98">
        <f t="shared" si="25"/>
        <v>10</v>
      </c>
      <c r="S24" s="98">
        <f t="shared" si="25"/>
        <v>0</v>
      </c>
      <c r="T24" s="98">
        <f t="shared" si="25"/>
        <v>0</v>
      </c>
      <c r="U24" s="98">
        <f t="shared" si="25"/>
        <v>0</v>
      </c>
      <c r="V24" s="98">
        <f t="shared" si="25"/>
        <v>0</v>
      </c>
      <c r="W24" s="98">
        <f t="shared" si="25"/>
        <v>0</v>
      </c>
      <c r="X24" s="99">
        <f t="shared" si="1"/>
        <v>39</v>
      </c>
      <c r="Y24" s="99">
        <f t="shared" si="3"/>
        <v>44796.295689908016</v>
      </c>
    </row>
    <row r="25" spans="1:25">
      <c r="A25" s="255" t="s">
        <v>115</v>
      </c>
      <c r="B25" s="255"/>
      <c r="C25" s="56">
        <f>C14+C15+C19+C18+C20+C24</f>
        <v>27664.8855677924</v>
      </c>
      <c r="D25" s="56">
        <f t="shared" ref="D25:Y25" si="26">D14+D15+D19+D18+D20+D24</f>
        <v>22900.260300941049</v>
      </c>
      <c r="E25" s="56">
        <f t="shared" si="26"/>
        <v>3922.0182874719758</v>
      </c>
      <c r="F25" s="56">
        <f t="shared" si="26"/>
        <v>2510.4848630846664</v>
      </c>
      <c r="G25" s="56">
        <f t="shared" si="26"/>
        <v>1473.4548495322811</v>
      </c>
      <c r="H25" s="56">
        <f t="shared" si="26"/>
        <v>384.21874683187326</v>
      </c>
      <c r="I25" s="56">
        <f t="shared" si="26"/>
        <v>436.82906324174019</v>
      </c>
      <c r="J25" s="56">
        <f t="shared" si="26"/>
        <v>3907.7422264723564</v>
      </c>
      <c r="K25" s="56">
        <f t="shared" si="26"/>
        <v>19050</v>
      </c>
      <c r="L25" s="56">
        <f t="shared" si="26"/>
        <v>82249.893905368343</v>
      </c>
      <c r="M25" s="56">
        <f t="shared" si="26"/>
        <v>720.0631987642389</v>
      </c>
      <c r="N25" s="56">
        <f t="shared" si="26"/>
        <v>2116.3844717268739</v>
      </c>
      <c r="O25" s="56">
        <f t="shared" si="26"/>
        <v>1594.1052811410707</v>
      </c>
      <c r="P25" s="56">
        <f t="shared" si="26"/>
        <v>4430.552951632184</v>
      </c>
      <c r="Q25" s="56">
        <f t="shared" si="26"/>
        <v>999.08628527124949</v>
      </c>
      <c r="R25" s="56">
        <f t="shared" si="26"/>
        <v>1234.5862664087495</v>
      </c>
      <c r="S25" s="56">
        <f t="shared" si="26"/>
        <v>589.05677059687468</v>
      </c>
      <c r="T25" s="56">
        <f t="shared" si="26"/>
        <v>979.63855722687447</v>
      </c>
      <c r="U25" s="56">
        <f t="shared" si="26"/>
        <v>79.602266296874959</v>
      </c>
      <c r="V25" s="56">
        <f t="shared" si="26"/>
        <v>83.847720499374958</v>
      </c>
      <c r="W25" s="56">
        <f t="shared" si="26"/>
        <v>9.5522719556249953</v>
      </c>
      <c r="X25" s="56">
        <f t="shared" si="26"/>
        <v>3975.3701382556233</v>
      </c>
      <c r="Y25" s="56">
        <f t="shared" si="26"/>
        <v>90655.816995256144</v>
      </c>
    </row>
    <row r="26" spans="1:25">
      <c r="A26" s="224" t="s">
        <v>282</v>
      </c>
      <c r="B26" s="224" t="s">
        <v>354</v>
      </c>
      <c r="C26" s="95">
        <f>동탄!F25</f>
        <v>1208.4904979874996</v>
      </c>
      <c r="D26" s="95">
        <f>화성!F25</f>
        <v>353.54385858749987</v>
      </c>
      <c r="E26" s="95">
        <f>파주!F25</f>
        <v>448.70059071249983</v>
      </c>
      <c r="F26" s="95">
        <f>광교!F25</f>
        <v>144.30361574999998</v>
      </c>
      <c r="G26" s="95">
        <f>판교!F25</f>
        <v>1461.8583682499996</v>
      </c>
      <c r="H26" s="95">
        <f>삼송!F25</f>
        <v>741.38596787499966</v>
      </c>
      <c r="I26" s="95">
        <f>양산!F25</f>
        <v>2.0913567499999992</v>
      </c>
      <c r="J26" s="95">
        <f>대구!F25</f>
        <v>668.18848162499978</v>
      </c>
      <c r="K26" s="95">
        <f>청주!F25</f>
        <v>3102.5277386249991</v>
      </c>
      <c r="L26" s="92">
        <f>SUM(C26:K26)</f>
        <v>8131.090476162497</v>
      </c>
      <c r="M26" s="95">
        <f>수원!F25</f>
        <v>44.964170124999988</v>
      </c>
      <c r="N26" s="95">
        <f>광주전남!F25</f>
        <v>555.25521712499983</v>
      </c>
      <c r="O26" s="95">
        <f>강남!F25</f>
        <v>1307.0979687499994</v>
      </c>
      <c r="P26" s="96">
        <f t="shared" ref="P26" si="27">SUM(M26:O26)</f>
        <v>1907.3173559999991</v>
      </c>
      <c r="Q26" s="95">
        <f>중앙!F25</f>
        <v>1089.9780499999997</v>
      </c>
      <c r="R26" s="95">
        <f>고양!F25</f>
        <v>723.21794999999986</v>
      </c>
      <c r="S26" s="95">
        <f>용인!F25</f>
        <v>563.53307499999983</v>
      </c>
      <c r="T26" s="95">
        <f>분당!F25</f>
        <v>0</v>
      </c>
      <c r="U26" s="95">
        <f>세종!F25</f>
        <v>0</v>
      </c>
      <c r="V26" s="95">
        <f>김해!F25</f>
        <v>269.91894999999994</v>
      </c>
      <c r="W26" s="95">
        <f>평택!F25</f>
        <v>0</v>
      </c>
      <c r="X26" s="96">
        <f t="shared" ref="X26" si="28">SUM(Q26:W26)</f>
        <v>2646.6480249999991</v>
      </c>
      <c r="Y26" s="96">
        <f t="shared" ref="Y26" si="29">L26+P26+X26</f>
        <v>12685.055857162495</v>
      </c>
    </row>
    <row r="28" spans="1:25">
      <c r="M28" s="108"/>
      <c r="N28" s="108"/>
      <c r="O28" s="108"/>
    </row>
    <row r="29" spans="1:25">
      <c r="C29" s="262"/>
      <c r="D29" s="262"/>
      <c r="E29" s="262"/>
      <c r="F29" s="262"/>
      <c r="G29" s="262"/>
      <c r="H29" s="262"/>
      <c r="I29" s="262"/>
      <c r="J29" s="262"/>
      <c r="K29" s="262"/>
      <c r="M29" s="108"/>
      <c r="N29" s="108"/>
      <c r="O29" s="108"/>
    </row>
    <row r="30" spans="1:25">
      <c r="C30" s="262"/>
      <c r="D30" s="262"/>
      <c r="E30" s="262"/>
      <c r="F30" s="262"/>
      <c r="G30" s="262"/>
      <c r="H30" s="262"/>
      <c r="I30" s="262"/>
      <c r="J30" s="262"/>
      <c r="K30" s="109"/>
      <c r="M30" s="108"/>
      <c r="N30" s="108"/>
      <c r="O30" s="108"/>
    </row>
    <row r="31" spans="1:25">
      <c r="B31" s="247" t="s">
        <v>33</v>
      </c>
      <c r="C31" s="21">
        <f>INT(C4*0.9)-90</f>
        <v>804</v>
      </c>
      <c r="D31" s="21">
        <f t="shared" ref="D31:O31" si="30">INT(D4*0.9)</f>
        <v>345</v>
      </c>
      <c r="E31" s="21">
        <f>INT(E4*0.9)-120</f>
        <v>625</v>
      </c>
      <c r="F31" s="21">
        <f t="shared" si="30"/>
        <v>41</v>
      </c>
      <c r="G31" s="21">
        <f t="shared" si="30"/>
        <v>287</v>
      </c>
      <c r="H31" s="21">
        <f t="shared" si="30"/>
        <v>270</v>
      </c>
      <c r="I31" s="21">
        <f t="shared" si="30"/>
        <v>153</v>
      </c>
      <c r="J31" s="21">
        <f t="shared" si="30"/>
        <v>2</v>
      </c>
      <c r="K31" s="21">
        <f t="shared" si="30"/>
        <v>28</v>
      </c>
      <c r="L31" s="21"/>
      <c r="M31" s="21">
        <f t="shared" si="30"/>
        <v>287</v>
      </c>
      <c r="N31" s="21">
        <f t="shared" si="30"/>
        <v>224</v>
      </c>
      <c r="O31" s="21">
        <f t="shared" si="30"/>
        <v>151</v>
      </c>
      <c r="P31" s="21"/>
      <c r="Q31" s="21">
        <f t="shared" ref="Q31:W31" si="31">INT(Q4*0.9)</f>
        <v>194</v>
      </c>
      <c r="R31" s="21">
        <f t="shared" si="31"/>
        <v>99</v>
      </c>
      <c r="S31" s="21">
        <f t="shared" si="31"/>
        <v>80</v>
      </c>
      <c r="T31" s="21">
        <f t="shared" si="31"/>
        <v>37</v>
      </c>
      <c r="U31" s="21">
        <f t="shared" si="31"/>
        <v>30</v>
      </c>
      <c r="V31" s="21">
        <f t="shared" si="31"/>
        <v>141</v>
      </c>
      <c r="W31" s="21">
        <f t="shared" si="31"/>
        <v>0</v>
      </c>
      <c r="Y31" s="21">
        <f>SUM(C31:X31)</f>
        <v>3798</v>
      </c>
    </row>
    <row r="32" spans="1:25">
      <c r="B32" s="247" t="s">
        <v>95</v>
      </c>
      <c r="C32" s="21">
        <f t="shared" ref="C32:K32" si="32">INT(C5*0.9)</f>
        <v>6626</v>
      </c>
      <c r="D32" s="21">
        <f t="shared" si="32"/>
        <v>3614</v>
      </c>
      <c r="E32" s="21">
        <f t="shared" si="32"/>
        <v>1964</v>
      </c>
      <c r="F32" s="21">
        <f t="shared" si="32"/>
        <v>895</v>
      </c>
      <c r="G32" s="21">
        <f t="shared" si="32"/>
        <v>801</v>
      </c>
      <c r="H32" s="21">
        <f t="shared" si="32"/>
        <v>594</v>
      </c>
      <c r="I32" s="21">
        <f t="shared" si="32"/>
        <v>763</v>
      </c>
      <c r="J32" s="21">
        <f t="shared" si="32"/>
        <v>1027</v>
      </c>
      <c r="K32" s="21">
        <f t="shared" si="32"/>
        <v>1027</v>
      </c>
      <c r="L32" s="21"/>
      <c r="M32" s="21">
        <f t="shared" ref="M32:O32" si="33">INT(M5*0.9)</f>
        <v>801</v>
      </c>
      <c r="N32" s="21">
        <f t="shared" si="33"/>
        <v>1141</v>
      </c>
      <c r="O32" s="21">
        <f t="shared" si="33"/>
        <v>1721</v>
      </c>
      <c r="P32" s="21"/>
      <c r="Q32" s="21">
        <f t="shared" ref="Q32:W32" si="34">INT(Q5*0.9)</f>
        <v>1264</v>
      </c>
      <c r="R32" s="21">
        <f t="shared" si="34"/>
        <v>597</v>
      </c>
      <c r="S32" s="21">
        <f t="shared" si="34"/>
        <v>444</v>
      </c>
      <c r="T32" s="21">
        <f t="shared" si="34"/>
        <v>575</v>
      </c>
      <c r="U32" s="21">
        <f t="shared" si="34"/>
        <v>107</v>
      </c>
      <c r="V32" s="21">
        <f t="shared" si="34"/>
        <v>289</v>
      </c>
      <c r="W32" s="21">
        <f t="shared" si="34"/>
        <v>155</v>
      </c>
      <c r="Y32" s="21">
        <f t="shared" ref="Y32:Y39" si="35">SUM(C32:X32)</f>
        <v>24405</v>
      </c>
    </row>
    <row r="33" spans="2:26">
      <c r="B33" s="247" t="s">
        <v>96</v>
      </c>
      <c r="C33" s="21">
        <f>C6</f>
        <v>8463.3129526837456</v>
      </c>
      <c r="D33" s="21">
        <f t="shared" ref="D33:Y33" si="36">D6</f>
        <v>6537.9994718499966</v>
      </c>
      <c r="E33" s="21">
        <f t="shared" si="36"/>
        <v>6110.2699609481215</v>
      </c>
      <c r="F33" s="21">
        <f t="shared" si="36"/>
        <v>2511.1861607787487</v>
      </c>
      <c r="G33" s="21">
        <f t="shared" si="36"/>
        <v>2606.7088803349984</v>
      </c>
      <c r="H33" s="21">
        <f t="shared" si="36"/>
        <v>1880.736211707499</v>
      </c>
      <c r="I33" s="21">
        <f t="shared" si="36"/>
        <v>2343.4907197799989</v>
      </c>
      <c r="J33" s="21">
        <f t="shared" si="36"/>
        <v>3877.1610504331229</v>
      </c>
      <c r="K33" s="21">
        <f t="shared" si="36"/>
        <v>3522.665624524373</v>
      </c>
      <c r="L33" s="21"/>
      <c r="M33" s="21">
        <f t="shared" si="36"/>
        <v>2606.7088803349984</v>
      </c>
      <c r="N33" s="21">
        <f t="shared" si="36"/>
        <v>1855.2634864924989</v>
      </c>
      <c r="O33" s="21">
        <f t="shared" si="36"/>
        <v>1302.2930766168743</v>
      </c>
      <c r="P33" s="21"/>
      <c r="Q33" s="21">
        <f t="shared" si="36"/>
        <v>1129.2908178649993</v>
      </c>
      <c r="R33" s="21">
        <f t="shared" si="36"/>
        <v>741.89312188687461</v>
      </c>
      <c r="S33" s="21">
        <f t="shared" si="36"/>
        <v>718.54312377312465</v>
      </c>
      <c r="T33" s="21">
        <f t="shared" si="36"/>
        <v>641.06358457749968</v>
      </c>
      <c r="U33" s="21">
        <f t="shared" si="36"/>
        <v>289.75224932062486</v>
      </c>
      <c r="V33" s="21">
        <f t="shared" si="36"/>
        <v>42.454542024999981</v>
      </c>
      <c r="W33" s="21">
        <f t="shared" si="36"/>
        <v>42.454542024999981</v>
      </c>
      <c r="X33" s="21"/>
      <c r="Y33" s="21">
        <f t="shared" si="36"/>
        <v>47223.2484579581</v>
      </c>
    </row>
    <row r="34" spans="2:26">
      <c r="B34" s="247" t="s">
        <v>97</v>
      </c>
      <c r="C34" s="21">
        <f t="shared" ref="C34:K34" si="37">INT(C7*0.9)</f>
        <v>4868</v>
      </c>
      <c r="D34" s="21">
        <f t="shared" si="37"/>
        <v>350</v>
      </c>
      <c r="E34" s="21">
        <f t="shared" si="37"/>
        <v>608</v>
      </c>
      <c r="F34" s="21">
        <f t="shared" si="37"/>
        <v>176</v>
      </c>
      <c r="G34" s="21">
        <f t="shared" si="37"/>
        <v>176</v>
      </c>
      <c r="H34" s="21">
        <f t="shared" si="37"/>
        <v>149</v>
      </c>
      <c r="I34" s="21">
        <f t="shared" si="37"/>
        <v>219</v>
      </c>
      <c r="J34" s="21">
        <f t="shared" si="37"/>
        <v>250</v>
      </c>
      <c r="K34" s="21">
        <f t="shared" si="37"/>
        <v>191</v>
      </c>
      <c r="L34" s="21"/>
      <c r="M34" s="21">
        <f t="shared" ref="M34:O34" si="38">INT(M7*0.9)</f>
        <v>176</v>
      </c>
      <c r="N34" s="21">
        <f t="shared" si="38"/>
        <v>195</v>
      </c>
      <c r="O34" s="21">
        <f t="shared" si="38"/>
        <v>552</v>
      </c>
      <c r="P34" s="21"/>
      <c r="Q34" s="21">
        <f t="shared" ref="Q34:W34" si="39">INT(Q7*0.9)</f>
        <v>646</v>
      </c>
      <c r="R34" s="21">
        <f t="shared" si="39"/>
        <v>506</v>
      </c>
      <c r="S34" s="21">
        <f t="shared" si="39"/>
        <v>111</v>
      </c>
      <c r="T34" s="21">
        <f t="shared" si="39"/>
        <v>79</v>
      </c>
      <c r="U34" s="21">
        <f t="shared" si="39"/>
        <v>57</v>
      </c>
      <c r="V34" s="21">
        <f t="shared" si="39"/>
        <v>49</v>
      </c>
      <c r="W34" s="21">
        <f t="shared" si="39"/>
        <v>87</v>
      </c>
      <c r="Y34" s="21">
        <f t="shared" si="35"/>
        <v>9445</v>
      </c>
    </row>
    <row r="35" spans="2:26">
      <c r="B35" s="247" t="s">
        <v>281</v>
      </c>
      <c r="C35" s="21">
        <f t="shared" ref="C35:K35" si="40">INT(C8*0.9)</f>
        <v>2292</v>
      </c>
      <c r="D35" s="21">
        <f t="shared" si="40"/>
        <v>1151</v>
      </c>
      <c r="E35" s="21">
        <f t="shared" si="40"/>
        <v>676</v>
      </c>
      <c r="F35" s="21">
        <f t="shared" si="40"/>
        <v>1168</v>
      </c>
      <c r="G35" s="21">
        <f t="shared" si="40"/>
        <v>441</v>
      </c>
      <c r="H35" s="21">
        <f t="shared" si="40"/>
        <v>368</v>
      </c>
      <c r="I35" s="21">
        <f t="shared" si="40"/>
        <v>842</v>
      </c>
      <c r="J35" s="21">
        <f t="shared" si="40"/>
        <v>726</v>
      </c>
      <c r="K35" s="21">
        <f t="shared" si="40"/>
        <v>350</v>
      </c>
      <c r="L35" s="21"/>
      <c r="M35" s="21">
        <f t="shared" ref="M35:O35" si="41">INT(M8*0.9)</f>
        <v>441</v>
      </c>
      <c r="N35" s="21">
        <f t="shared" si="41"/>
        <v>670</v>
      </c>
      <c r="O35" s="21">
        <f t="shared" si="41"/>
        <v>599</v>
      </c>
      <c r="P35" s="21"/>
      <c r="Q35" s="21">
        <f t="shared" ref="Q35:W35" si="42">INT(Q8*0.9)</f>
        <v>990</v>
      </c>
      <c r="R35" s="21">
        <f t="shared" si="42"/>
        <v>1174</v>
      </c>
      <c r="S35" s="21">
        <f t="shared" si="42"/>
        <v>209</v>
      </c>
      <c r="T35" s="21">
        <f t="shared" si="42"/>
        <v>417</v>
      </c>
      <c r="U35" s="21">
        <f t="shared" si="42"/>
        <v>315</v>
      </c>
      <c r="V35" s="21">
        <f t="shared" si="42"/>
        <v>248</v>
      </c>
      <c r="W35" s="21">
        <f t="shared" si="42"/>
        <v>26</v>
      </c>
      <c r="Y35" s="21">
        <f t="shared" si="35"/>
        <v>13103</v>
      </c>
    </row>
    <row r="36" spans="2:26">
      <c r="B36" s="247" t="s">
        <v>279</v>
      </c>
      <c r="C36" s="21">
        <f t="shared" ref="C36:K36" si="43">INT(C9*0.9)</f>
        <v>619</v>
      </c>
      <c r="D36" s="21">
        <f t="shared" si="43"/>
        <v>548</v>
      </c>
      <c r="E36" s="21">
        <f t="shared" si="43"/>
        <v>512</v>
      </c>
      <c r="F36" s="21">
        <f t="shared" si="43"/>
        <v>210</v>
      </c>
      <c r="G36" s="21">
        <f t="shared" si="43"/>
        <v>218</v>
      </c>
      <c r="H36" s="21">
        <f t="shared" si="43"/>
        <v>47</v>
      </c>
      <c r="I36" s="21">
        <f t="shared" si="43"/>
        <v>195</v>
      </c>
      <c r="J36" s="21">
        <f t="shared" si="43"/>
        <v>324</v>
      </c>
      <c r="K36" s="21">
        <f t="shared" si="43"/>
        <v>295</v>
      </c>
      <c r="L36" s="21"/>
      <c r="M36" s="21">
        <f t="shared" ref="M36:O36" si="44">INT(M9*0.9)</f>
        <v>218</v>
      </c>
      <c r="N36" s="21">
        <f t="shared" si="44"/>
        <v>149</v>
      </c>
      <c r="O36" s="21">
        <f t="shared" si="44"/>
        <v>105</v>
      </c>
      <c r="P36" s="21"/>
      <c r="Q36" s="21">
        <f t="shared" ref="Q36:W36" si="45">INT(Q9*0.9)</f>
        <v>91</v>
      </c>
      <c r="R36" s="21">
        <f t="shared" si="45"/>
        <v>60</v>
      </c>
      <c r="S36" s="21">
        <f t="shared" si="45"/>
        <v>58</v>
      </c>
      <c r="T36" s="21">
        <f t="shared" si="45"/>
        <v>51</v>
      </c>
      <c r="U36" s="21">
        <f t="shared" si="45"/>
        <v>23</v>
      </c>
      <c r="V36" s="21">
        <f t="shared" si="45"/>
        <v>3</v>
      </c>
      <c r="W36" s="21">
        <f t="shared" si="45"/>
        <v>3</v>
      </c>
      <c r="Y36" s="21">
        <f t="shared" si="35"/>
        <v>3729</v>
      </c>
    </row>
    <row r="37" spans="2:26">
      <c r="B37" s="247" t="s">
        <v>280</v>
      </c>
      <c r="C37" s="21">
        <f t="shared" ref="C37:K37" si="46">INT(C10*0.9)</f>
        <v>79</v>
      </c>
      <c r="D37" s="21">
        <f t="shared" si="46"/>
        <v>61</v>
      </c>
      <c r="E37" s="21">
        <f t="shared" si="46"/>
        <v>57</v>
      </c>
      <c r="F37" s="21">
        <f t="shared" si="46"/>
        <v>22</v>
      </c>
      <c r="G37" s="21">
        <f t="shared" si="46"/>
        <v>23</v>
      </c>
      <c r="H37" s="21">
        <f t="shared" si="46"/>
        <v>5</v>
      </c>
      <c r="I37" s="21">
        <f t="shared" si="46"/>
        <v>21</v>
      </c>
      <c r="J37" s="21">
        <f t="shared" si="46"/>
        <v>36</v>
      </c>
      <c r="K37" s="21">
        <f t="shared" si="46"/>
        <v>32</v>
      </c>
      <c r="L37" s="21"/>
      <c r="M37" s="21">
        <f t="shared" ref="M37:O37" si="47">INT(M10*0.9)</f>
        <v>23</v>
      </c>
      <c r="N37" s="21">
        <f t="shared" si="47"/>
        <v>16</v>
      </c>
      <c r="O37" s="21">
        <f t="shared" si="47"/>
        <v>11</v>
      </c>
      <c r="P37" s="21"/>
      <c r="Q37" s="21">
        <f t="shared" ref="Q37:W37" si="48">INT(Q10*0.9)</f>
        <v>10</v>
      </c>
      <c r="R37" s="21">
        <f t="shared" si="48"/>
        <v>6</v>
      </c>
      <c r="S37" s="21">
        <f t="shared" si="48"/>
        <v>6</v>
      </c>
      <c r="T37" s="21">
        <f t="shared" si="48"/>
        <v>5</v>
      </c>
      <c r="U37" s="21">
        <f t="shared" si="48"/>
        <v>2</v>
      </c>
      <c r="V37" s="21">
        <f t="shared" si="48"/>
        <v>0</v>
      </c>
      <c r="W37" s="21">
        <f t="shared" si="48"/>
        <v>0</v>
      </c>
      <c r="Y37" s="21">
        <f t="shared" si="35"/>
        <v>415</v>
      </c>
    </row>
    <row r="38" spans="2:26">
      <c r="C38" s="21"/>
      <c r="D38" s="21"/>
      <c r="E38" s="21"/>
      <c r="F38" s="21"/>
      <c r="G38" s="21"/>
      <c r="H38" s="21"/>
      <c r="I38" s="21"/>
      <c r="J38" s="21"/>
      <c r="K38" s="21"/>
      <c r="L38" s="246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Y38" s="21"/>
    </row>
    <row r="39" spans="2:26">
      <c r="B39" s="247" t="s">
        <v>99</v>
      </c>
      <c r="C39" s="21">
        <f t="shared" ref="C39:K39" si="49">INT(C12*0.9)</f>
        <v>413</v>
      </c>
      <c r="D39" s="21">
        <f t="shared" si="49"/>
        <v>347</v>
      </c>
      <c r="E39" s="21">
        <f t="shared" si="49"/>
        <v>527</v>
      </c>
      <c r="F39" s="21">
        <f t="shared" si="49"/>
        <v>220</v>
      </c>
      <c r="G39" s="21">
        <f t="shared" si="49"/>
        <v>201</v>
      </c>
      <c r="H39" s="21">
        <f t="shared" si="49"/>
        <v>215</v>
      </c>
      <c r="I39" s="21">
        <f t="shared" si="49"/>
        <v>627</v>
      </c>
      <c r="J39" s="21">
        <f t="shared" si="49"/>
        <v>397</v>
      </c>
      <c r="K39" s="21">
        <f t="shared" si="49"/>
        <v>413</v>
      </c>
      <c r="L39" s="21"/>
      <c r="M39" s="21">
        <f t="shared" ref="M39:O39" si="50">INT(M12*0.9)</f>
        <v>201</v>
      </c>
      <c r="N39" s="21">
        <f t="shared" si="50"/>
        <v>731</v>
      </c>
      <c r="O39" s="21">
        <f t="shared" si="50"/>
        <v>223</v>
      </c>
      <c r="P39" s="21"/>
      <c r="Q39" s="21">
        <f t="shared" ref="Q39:W39" si="51">INT(Q12*0.9)</f>
        <v>223</v>
      </c>
      <c r="R39" s="21">
        <f t="shared" si="51"/>
        <v>94</v>
      </c>
      <c r="S39" s="21">
        <f t="shared" si="51"/>
        <v>179</v>
      </c>
      <c r="T39" s="21">
        <f t="shared" si="51"/>
        <v>61</v>
      </c>
      <c r="U39" s="21">
        <f t="shared" si="51"/>
        <v>73</v>
      </c>
      <c r="V39" s="21">
        <f t="shared" si="51"/>
        <v>150</v>
      </c>
      <c r="W39" s="21">
        <f t="shared" si="51"/>
        <v>47</v>
      </c>
      <c r="Y39" s="21">
        <f t="shared" si="35"/>
        <v>5342</v>
      </c>
    </row>
    <row r="40" spans="2:26"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Y40" s="21">
        <f>SUM(Y31:Y39)</f>
        <v>107460.24845795811</v>
      </c>
      <c r="Z40" s="21">
        <f>Y13-Y40</f>
        <v>7003.3183788690367</v>
      </c>
    </row>
    <row r="41" spans="2:26">
      <c r="C41" s="252">
        <f>C14</f>
        <v>19</v>
      </c>
      <c r="D41" s="252">
        <f t="shared" ref="D41:W41" si="52">D14</f>
        <v>0</v>
      </c>
      <c r="E41" s="252">
        <f t="shared" si="52"/>
        <v>0</v>
      </c>
      <c r="F41" s="252">
        <f t="shared" si="52"/>
        <v>28</v>
      </c>
      <c r="G41" s="252">
        <f t="shared" si="52"/>
        <v>6</v>
      </c>
      <c r="H41" s="252">
        <f t="shared" si="52"/>
        <v>0</v>
      </c>
      <c r="I41" s="252">
        <f t="shared" si="52"/>
        <v>11</v>
      </c>
      <c r="J41" s="252">
        <f t="shared" si="52"/>
        <v>0</v>
      </c>
      <c r="K41" s="252">
        <f t="shared" si="52"/>
        <v>0</v>
      </c>
      <c r="L41" s="252"/>
      <c r="M41" s="252">
        <f t="shared" si="52"/>
        <v>0</v>
      </c>
      <c r="N41" s="252">
        <f t="shared" si="52"/>
        <v>0</v>
      </c>
      <c r="O41" s="252">
        <f t="shared" si="52"/>
        <v>0</v>
      </c>
      <c r="P41" s="252"/>
      <c r="Q41" s="252">
        <f t="shared" si="52"/>
        <v>0</v>
      </c>
      <c r="R41" s="252">
        <f t="shared" si="52"/>
        <v>0</v>
      </c>
      <c r="S41" s="252">
        <f t="shared" si="52"/>
        <v>0</v>
      </c>
      <c r="T41" s="252">
        <f t="shared" si="52"/>
        <v>0</v>
      </c>
      <c r="U41" s="252">
        <f t="shared" si="52"/>
        <v>0</v>
      </c>
      <c r="V41" s="252">
        <f t="shared" si="52"/>
        <v>0</v>
      </c>
      <c r="W41" s="252">
        <f t="shared" si="52"/>
        <v>0</v>
      </c>
    </row>
    <row r="42" spans="2:26">
      <c r="C42" s="252">
        <f t="shared" ref="C42:W42" si="53">C15</f>
        <v>0</v>
      </c>
      <c r="D42" s="252">
        <f t="shared" si="53"/>
        <v>15</v>
      </c>
      <c r="E42" s="252">
        <f t="shared" si="53"/>
        <v>0</v>
      </c>
      <c r="F42" s="252">
        <f t="shared" si="53"/>
        <v>0</v>
      </c>
      <c r="G42" s="252">
        <f t="shared" si="53"/>
        <v>0</v>
      </c>
      <c r="H42" s="252">
        <f t="shared" si="53"/>
        <v>0</v>
      </c>
      <c r="I42" s="252">
        <f t="shared" si="53"/>
        <v>0</v>
      </c>
      <c r="J42" s="252">
        <f t="shared" si="53"/>
        <v>0</v>
      </c>
      <c r="K42" s="252">
        <f t="shared" si="53"/>
        <v>0</v>
      </c>
      <c r="L42" s="252"/>
      <c r="M42" s="252">
        <f t="shared" si="53"/>
        <v>0</v>
      </c>
      <c r="N42" s="252">
        <f t="shared" si="53"/>
        <v>0</v>
      </c>
      <c r="O42" s="252">
        <f t="shared" si="53"/>
        <v>0</v>
      </c>
      <c r="P42" s="252"/>
      <c r="Q42" s="252">
        <f t="shared" si="53"/>
        <v>0</v>
      </c>
      <c r="R42" s="252">
        <f t="shared" si="53"/>
        <v>0</v>
      </c>
      <c r="S42" s="252">
        <f t="shared" si="53"/>
        <v>0</v>
      </c>
      <c r="T42" s="252">
        <f t="shared" si="53"/>
        <v>0</v>
      </c>
      <c r="U42" s="252">
        <f t="shared" si="53"/>
        <v>0</v>
      </c>
      <c r="V42" s="252">
        <f t="shared" si="53"/>
        <v>0</v>
      </c>
      <c r="W42" s="252">
        <f t="shared" si="53"/>
        <v>0</v>
      </c>
    </row>
    <row r="43" spans="2:26">
      <c r="C43" s="252">
        <f t="shared" ref="C43:W43" si="54">C16</f>
        <v>20754.969000000001</v>
      </c>
      <c r="D43" s="252">
        <f t="shared" si="54"/>
        <v>0</v>
      </c>
      <c r="E43" s="252">
        <f t="shared" si="54"/>
        <v>2221</v>
      </c>
      <c r="F43" s="252">
        <f t="shared" si="54"/>
        <v>1547</v>
      </c>
      <c r="G43" s="252">
        <f t="shared" si="54"/>
        <v>0</v>
      </c>
      <c r="H43" s="252">
        <f t="shared" si="54"/>
        <v>0</v>
      </c>
      <c r="I43" s="252">
        <f t="shared" si="54"/>
        <v>0</v>
      </c>
      <c r="J43" s="252">
        <f t="shared" si="54"/>
        <v>0</v>
      </c>
      <c r="K43" s="252">
        <f t="shared" si="54"/>
        <v>0</v>
      </c>
      <c r="L43" s="252"/>
      <c r="M43" s="252">
        <f t="shared" si="54"/>
        <v>0</v>
      </c>
      <c r="N43" s="252">
        <f t="shared" si="54"/>
        <v>0</v>
      </c>
      <c r="O43" s="252">
        <f t="shared" si="54"/>
        <v>0</v>
      </c>
      <c r="P43" s="252"/>
      <c r="Q43" s="252">
        <f t="shared" si="54"/>
        <v>0</v>
      </c>
      <c r="R43" s="252">
        <f t="shared" si="54"/>
        <v>0</v>
      </c>
      <c r="S43" s="252">
        <f t="shared" si="54"/>
        <v>0</v>
      </c>
      <c r="T43" s="252">
        <f t="shared" si="54"/>
        <v>0</v>
      </c>
      <c r="U43" s="252">
        <f t="shared" si="54"/>
        <v>0</v>
      </c>
      <c r="V43" s="252">
        <f t="shared" si="54"/>
        <v>0</v>
      </c>
      <c r="W43" s="252">
        <f t="shared" si="54"/>
        <v>0</v>
      </c>
    </row>
    <row r="44" spans="2:26">
      <c r="B44" s="249" t="s">
        <v>64</v>
      </c>
      <c r="C44" s="252">
        <f>INT(C17*0.9)</f>
        <v>584</v>
      </c>
      <c r="D44" s="252">
        <f t="shared" ref="D44:W44" si="55">INT(D17*0.9)</f>
        <v>995</v>
      </c>
      <c r="E44" s="252">
        <f t="shared" si="55"/>
        <v>1012</v>
      </c>
      <c r="F44" s="252">
        <f t="shared" si="55"/>
        <v>673</v>
      </c>
      <c r="G44" s="252">
        <f t="shared" si="55"/>
        <v>1078</v>
      </c>
      <c r="H44" s="252">
        <f t="shared" si="55"/>
        <v>265</v>
      </c>
      <c r="I44" s="252">
        <f t="shared" si="55"/>
        <v>162</v>
      </c>
      <c r="J44" s="252">
        <f t="shared" si="55"/>
        <v>1281</v>
      </c>
      <c r="K44" s="252">
        <f t="shared" si="55"/>
        <v>635</v>
      </c>
      <c r="L44" s="252"/>
      <c r="M44" s="252">
        <f t="shared" si="55"/>
        <v>330</v>
      </c>
      <c r="N44" s="252">
        <f t="shared" si="55"/>
        <v>1411</v>
      </c>
      <c r="O44" s="252">
        <f t="shared" si="55"/>
        <v>1271</v>
      </c>
      <c r="P44" s="252"/>
      <c r="Q44" s="252">
        <f t="shared" si="55"/>
        <v>873</v>
      </c>
      <c r="R44" s="252">
        <f t="shared" si="55"/>
        <v>1083</v>
      </c>
      <c r="S44" s="252">
        <f t="shared" si="55"/>
        <v>530</v>
      </c>
      <c r="T44" s="252">
        <f t="shared" si="55"/>
        <v>881</v>
      </c>
      <c r="U44" s="252">
        <f t="shared" si="55"/>
        <v>71</v>
      </c>
      <c r="V44" s="252">
        <f t="shared" si="55"/>
        <v>75</v>
      </c>
      <c r="W44" s="252">
        <f t="shared" si="55"/>
        <v>8</v>
      </c>
    </row>
    <row r="45" spans="2:26">
      <c r="C45" s="21">
        <f>C43+C44</f>
        <v>21338.969000000001</v>
      </c>
      <c r="D45" s="21">
        <f t="shared" ref="D45:W45" si="56">D43+D44</f>
        <v>995</v>
      </c>
      <c r="E45" s="21">
        <f t="shared" si="56"/>
        <v>3233</v>
      </c>
      <c r="F45" s="21">
        <f t="shared" si="56"/>
        <v>2220</v>
      </c>
      <c r="G45" s="21">
        <f t="shared" si="56"/>
        <v>1078</v>
      </c>
      <c r="H45" s="21">
        <f t="shared" si="56"/>
        <v>265</v>
      </c>
      <c r="I45" s="21">
        <f t="shared" si="56"/>
        <v>162</v>
      </c>
      <c r="J45" s="21">
        <f t="shared" si="56"/>
        <v>1281</v>
      </c>
      <c r="K45" s="21">
        <f t="shared" si="56"/>
        <v>635</v>
      </c>
      <c r="L45" s="21">
        <f t="shared" si="56"/>
        <v>0</v>
      </c>
      <c r="M45" s="21">
        <f t="shared" si="56"/>
        <v>330</v>
      </c>
      <c r="N45" s="21">
        <f t="shared" si="56"/>
        <v>1411</v>
      </c>
      <c r="O45" s="21">
        <f t="shared" si="56"/>
        <v>1271</v>
      </c>
      <c r="P45" s="21">
        <f t="shared" si="56"/>
        <v>0</v>
      </c>
      <c r="Q45" s="21">
        <f t="shared" si="56"/>
        <v>873</v>
      </c>
      <c r="R45" s="21">
        <f t="shared" si="56"/>
        <v>1083</v>
      </c>
      <c r="S45" s="21">
        <f t="shared" si="56"/>
        <v>530</v>
      </c>
      <c r="T45" s="21">
        <f t="shared" si="56"/>
        <v>881</v>
      </c>
      <c r="U45" s="21">
        <f t="shared" si="56"/>
        <v>71</v>
      </c>
      <c r="V45" s="21">
        <f t="shared" si="56"/>
        <v>75</v>
      </c>
      <c r="W45" s="21">
        <f t="shared" si="56"/>
        <v>8</v>
      </c>
    </row>
    <row r="46" spans="2:26">
      <c r="C46" s="252">
        <f t="shared" ref="C46:W46" si="57">C19</f>
        <v>5074.9999999999991</v>
      </c>
      <c r="D46" s="252">
        <f t="shared" si="57"/>
        <v>0</v>
      </c>
      <c r="E46" s="252">
        <f t="shared" si="57"/>
        <v>0</v>
      </c>
      <c r="F46" s="252">
        <f t="shared" si="57"/>
        <v>0</v>
      </c>
      <c r="G46" s="252">
        <f t="shared" si="57"/>
        <v>0</v>
      </c>
      <c r="H46" s="252">
        <f t="shared" si="57"/>
        <v>0</v>
      </c>
      <c r="I46" s="252">
        <f t="shared" si="57"/>
        <v>0</v>
      </c>
      <c r="J46" s="252">
        <f t="shared" si="57"/>
        <v>0</v>
      </c>
      <c r="K46" s="252">
        <f t="shared" si="57"/>
        <v>0</v>
      </c>
      <c r="L46" s="252"/>
      <c r="M46" s="252">
        <f t="shared" si="57"/>
        <v>0</v>
      </c>
      <c r="N46" s="252">
        <f t="shared" si="57"/>
        <v>0</v>
      </c>
      <c r="O46" s="252">
        <f t="shared" si="57"/>
        <v>0</v>
      </c>
      <c r="P46" s="252"/>
      <c r="Q46" s="252">
        <f t="shared" si="57"/>
        <v>0</v>
      </c>
      <c r="R46" s="252">
        <f t="shared" si="57"/>
        <v>0</v>
      </c>
      <c r="S46" s="252">
        <f t="shared" si="57"/>
        <v>0</v>
      </c>
      <c r="T46" s="252">
        <f t="shared" si="57"/>
        <v>0</v>
      </c>
      <c r="U46" s="252">
        <f t="shared" si="57"/>
        <v>0</v>
      </c>
      <c r="V46" s="252">
        <f t="shared" si="57"/>
        <v>0</v>
      </c>
      <c r="W46" s="252">
        <f t="shared" si="57"/>
        <v>0</v>
      </c>
    </row>
    <row r="47" spans="2:26">
      <c r="C47" s="252">
        <f t="shared" ref="C47:W47" si="58">C20</f>
        <v>297.41656779239798</v>
      </c>
      <c r="D47" s="252">
        <f t="shared" si="58"/>
        <v>76</v>
      </c>
      <c r="E47" s="252">
        <f t="shared" si="58"/>
        <v>431.86516887499988</v>
      </c>
      <c r="F47" s="252">
        <f t="shared" si="58"/>
        <v>12.20829404191957</v>
      </c>
      <c r="G47" s="252">
        <f t="shared" si="58"/>
        <v>35.515037212856932</v>
      </c>
      <c r="H47" s="252">
        <f t="shared" si="58"/>
        <v>19</v>
      </c>
      <c r="I47" s="252">
        <f t="shared" si="58"/>
        <v>5</v>
      </c>
      <c r="J47" s="252">
        <f t="shared" si="58"/>
        <v>328</v>
      </c>
      <c r="K47" s="252">
        <f t="shared" si="58"/>
        <v>3</v>
      </c>
      <c r="L47" s="252"/>
      <c r="M47" s="252">
        <f t="shared" si="58"/>
        <v>150</v>
      </c>
      <c r="N47" s="252">
        <f t="shared" si="58"/>
        <v>77.689143903124531</v>
      </c>
      <c r="O47" s="252">
        <f t="shared" si="58"/>
        <v>30</v>
      </c>
      <c r="P47" s="252"/>
      <c r="Q47" s="252">
        <f t="shared" si="58"/>
        <v>0</v>
      </c>
      <c r="R47" s="252">
        <f t="shared" si="58"/>
        <v>21</v>
      </c>
      <c r="S47" s="252">
        <f t="shared" si="58"/>
        <v>0</v>
      </c>
      <c r="T47" s="252">
        <f t="shared" si="58"/>
        <v>0</v>
      </c>
      <c r="U47" s="252">
        <f t="shared" si="58"/>
        <v>0</v>
      </c>
      <c r="V47" s="252">
        <f t="shared" si="58"/>
        <v>0</v>
      </c>
      <c r="W47" s="252">
        <f t="shared" si="58"/>
        <v>0</v>
      </c>
    </row>
    <row r="48" spans="2:26">
      <c r="C48" s="252">
        <f t="shared" ref="C48:W48" si="59">C21</f>
        <v>0</v>
      </c>
      <c r="D48" s="252">
        <f t="shared" si="59"/>
        <v>20511</v>
      </c>
      <c r="E48" s="252">
        <f t="shared" si="59"/>
        <v>0</v>
      </c>
      <c r="F48" s="252">
        <f t="shared" si="59"/>
        <v>0</v>
      </c>
      <c r="G48" s="252">
        <f t="shared" si="59"/>
        <v>0</v>
      </c>
      <c r="H48" s="252">
        <f t="shared" si="59"/>
        <v>0</v>
      </c>
      <c r="I48" s="252">
        <f t="shared" si="59"/>
        <v>0</v>
      </c>
      <c r="J48" s="252">
        <f t="shared" si="59"/>
        <v>0</v>
      </c>
      <c r="K48" s="252">
        <f t="shared" si="59"/>
        <v>17899</v>
      </c>
      <c r="L48" s="252"/>
      <c r="M48" s="252">
        <f t="shared" si="59"/>
        <v>0</v>
      </c>
      <c r="N48" s="252">
        <f t="shared" si="59"/>
        <v>0</v>
      </c>
      <c r="O48" s="252">
        <f t="shared" si="59"/>
        <v>0</v>
      </c>
      <c r="P48" s="252"/>
      <c r="Q48" s="252">
        <f t="shared" si="59"/>
        <v>0</v>
      </c>
      <c r="R48" s="252">
        <f t="shared" si="59"/>
        <v>0</v>
      </c>
      <c r="S48" s="252">
        <f t="shared" si="59"/>
        <v>0</v>
      </c>
      <c r="T48" s="252">
        <f t="shared" si="59"/>
        <v>0</v>
      </c>
      <c r="U48" s="252">
        <f t="shared" si="59"/>
        <v>0</v>
      </c>
      <c r="V48" s="252">
        <f t="shared" si="59"/>
        <v>0</v>
      </c>
      <c r="W48" s="252">
        <f t="shared" si="59"/>
        <v>0</v>
      </c>
    </row>
    <row r="49" spans="3:25">
      <c r="C49" s="252">
        <f t="shared" ref="C49:W49" si="60">C22</f>
        <v>867.5</v>
      </c>
      <c r="D49" s="252">
        <f t="shared" si="60"/>
        <v>1084.6957178310986</v>
      </c>
      <c r="E49" s="252">
        <f t="shared" si="60"/>
        <v>18</v>
      </c>
      <c r="F49" s="252">
        <f t="shared" si="60"/>
        <v>162.36137650598138</v>
      </c>
      <c r="G49" s="252">
        <f t="shared" si="60"/>
        <v>180</v>
      </c>
      <c r="H49" s="252">
        <f t="shared" si="60"/>
        <v>50</v>
      </c>
      <c r="I49" s="252">
        <f t="shared" si="60"/>
        <v>149.82906324174019</v>
      </c>
      <c r="J49" s="252">
        <f t="shared" si="60"/>
        <v>1985.811203219374</v>
      </c>
      <c r="K49" s="252">
        <f t="shared" si="60"/>
        <v>358</v>
      </c>
      <c r="L49" s="252"/>
      <c r="M49" s="252">
        <f t="shared" si="60"/>
        <v>159.20453259374992</v>
      </c>
      <c r="N49" s="252">
        <f t="shared" si="60"/>
        <v>386</v>
      </c>
      <c r="O49" s="252">
        <f t="shared" si="60"/>
        <v>107</v>
      </c>
      <c r="P49" s="252"/>
      <c r="Q49" s="252">
        <f t="shared" si="60"/>
        <v>29</v>
      </c>
      <c r="R49" s="252">
        <f t="shared" si="60"/>
        <v>0</v>
      </c>
      <c r="S49" s="252">
        <f t="shared" si="60"/>
        <v>0</v>
      </c>
      <c r="T49" s="252">
        <f t="shared" si="60"/>
        <v>0</v>
      </c>
      <c r="U49" s="252">
        <f t="shared" si="60"/>
        <v>0</v>
      </c>
      <c r="V49" s="252">
        <f t="shared" si="60"/>
        <v>0</v>
      </c>
      <c r="W49" s="252">
        <f t="shared" si="60"/>
        <v>0</v>
      </c>
    </row>
    <row r="50" spans="3:25">
      <c r="C50" s="252">
        <f t="shared" ref="C50:W50" si="61">C23</f>
        <v>2</v>
      </c>
      <c r="D50" s="252">
        <f t="shared" si="61"/>
        <v>107</v>
      </c>
      <c r="E50" s="252">
        <f t="shared" si="61"/>
        <v>126</v>
      </c>
      <c r="F50" s="252">
        <f t="shared" si="61"/>
        <v>13</v>
      </c>
      <c r="G50" s="252">
        <f t="shared" si="61"/>
        <v>54</v>
      </c>
      <c r="H50" s="252">
        <f t="shared" si="61"/>
        <v>20</v>
      </c>
      <c r="I50" s="252">
        <f t="shared" si="61"/>
        <v>91</v>
      </c>
      <c r="J50" s="252">
        <f t="shared" si="61"/>
        <v>170</v>
      </c>
      <c r="K50" s="252">
        <f t="shared" si="61"/>
        <v>84</v>
      </c>
      <c r="L50" s="252"/>
      <c r="M50" s="252">
        <f t="shared" si="61"/>
        <v>43.5</v>
      </c>
      <c r="N50" s="252">
        <f t="shared" si="61"/>
        <v>84</v>
      </c>
      <c r="O50" s="252">
        <f t="shared" si="61"/>
        <v>44.393796516071163</v>
      </c>
      <c r="P50" s="252"/>
      <c r="Q50" s="252">
        <f t="shared" si="61"/>
        <v>0</v>
      </c>
      <c r="R50" s="252">
        <f t="shared" si="61"/>
        <v>10</v>
      </c>
      <c r="S50" s="252">
        <f t="shared" si="61"/>
        <v>0</v>
      </c>
      <c r="T50" s="252">
        <f t="shared" si="61"/>
        <v>0</v>
      </c>
      <c r="U50" s="252">
        <f t="shared" si="61"/>
        <v>0</v>
      </c>
      <c r="V50" s="252">
        <f t="shared" si="61"/>
        <v>0</v>
      </c>
      <c r="W50" s="252">
        <f t="shared" si="61"/>
        <v>0</v>
      </c>
    </row>
    <row r="51" spans="3:25">
      <c r="C51" s="252">
        <f t="shared" ref="C51:W51" si="62">C24</f>
        <v>869.5</v>
      </c>
      <c r="D51" s="252">
        <f t="shared" si="62"/>
        <v>21702.695717831099</v>
      </c>
      <c r="E51" s="252">
        <f t="shared" si="62"/>
        <v>144</v>
      </c>
      <c r="F51" s="252">
        <f t="shared" si="62"/>
        <v>175.36137650598138</v>
      </c>
      <c r="G51" s="252">
        <f t="shared" si="62"/>
        <v>234</v>
      </c>
      <c r="H51" s="252">
        <f t="shared" si="62"/>
        <v>70</v>
      </c>
      <c r="I51" s="252">
        <f t="shared" si="62"/>
        <v>240.82906324174019</v>
      </c>
      <c r="J51" s="252">
        <f t="shared" si="62"/>
        <v>2155.811203219374</v>
      </c>
      <c r="K51" s="252">
        <f t="shared" si="62"/>
        <v>18341</v>
      </c>
      <c r="L51" s="252"/>
      <c r="M51" s="252">
        <f t="shared" si="62"/>
        <v>202.70453259374992</v>
      </c>
      <c r="N51" s="252">
        <f t="shared" si="62"/>
        <v>470</v>
      </c>
      <c r="O51" s="252">
        <f t="shared" si="62"/>
        <v>151.39379651607118</v>
      </c>
      <c r="P51" s="252"/>
      <c r="Q51" s="252">
        <f t="shared" si="62"/>
        <v>29</v>
      </c>
      <c r="R51" s="252">
        <f t="shared" si="62"/>
        <v>10</v>
      </c>
      <c r="S51" s="252">
        <f t="shared" si="62"/>
        <v>0</v>
      </c>
      <c r="T51" s="252">
        <f t="shared" si="62"/>
        <v>0</v>
      </c>
      <c r="U51" s="252">
        <f t="shared" si="62"/>
        <v>0</v>
      </c>
      <c r="V51" s="252">
        <f t="shared" si="62"/>
        <v>0</v>
      </c>
      <c r="W51" s="252">
        <f t="shared" si="62"/>
        <v>0</v>
      </c>
    </row>
    <row r="52" spans="3:25">
      <c r="C52" s="56">
        <f>C41+C42+C46+C45+C47+C51</f>
        <v>27599.8855677924</v>
      </c>
      <c r="D52" s="56">
        <f t="shared" ref="D52:W52" si="63">D41+D42+D46+D45+D47+D51</f>
        <v>22788.695717831099</v>
      </c>
      <c r="E52" s="56">
        <f t="shared" si="63"/>
        <v>3808.8651688749997</v>
      </c>
      <c r="F52" s="56">
        <f t="shared" si="63"/>
        <v>2435.5696705479008</v>
      </c>
      <c r="G52" s="56">
        <f t="shared" si="63"/>
        <v>1353.5150372128569</v>
      </c>
      <c r="H52" s="56">
        <f t="shared" si="63"/>
        <v>354</v>
      </c>
      <c r="I52" s="56">
        <f t="shared" si="63"/>
        <v>418.82906324174019</v>
      </c>
      <c r="J52" s="56">
        <f t="shared" si="63"/>
        <v>3764.811203219374</v>
      </c>
      <c r="K52" s="56">
        <f t="shared" si="63"/>
        <v>18979</v>
      </c>
      <c r="L52" s="56">
        <f t="shared" si="63"/>
        <v>0</v>
      </c>
      <c r="M52" s="56">
        <f t="shared" si="63"/>
        <v>682.70453259374995</v>
      </c>
      <c r="N52" s="56">
        <f t="shared" si="63"/>
        <v>1958.6891439031244</v>
      </c>
      <c r="O52" s="56">
        <f t="shared" si="63"/>
        <v>1452.3937965160712</v>
      </c>
      <c r="P52" s="56">
        <f t="shared" si="63"/>
        <v>0</v>
      </c>
      <c r="Q52" s="56">
        <f t="shared" si="63"/>
        <v>902</v>
      </c>
      <c r="R52" s="56">
        <f t="shared" si="63"/>
        <v>1114</v>
      </c>
      <c r="S52" s="56">
        <f t="shared" si="63"/>
        <v>530</v>
      </c>
      <c r="T52" s="56">
        <f t="shared" si="63"/>
        <v>881</v>
      </c>
      <c r="U52" s="56">
        <f t="shared" si="63"/>
        <v>71</v>
      </c>
      <c r="V52" s="56">
        <f t="shared" si="63"/>
        <v>75</v>
      </c>
      <c r="W52" s="56">
        <f t="shared" si="63"/>
        <v>8</v>
      </c>
      <c r="Y52" s="21">
        <f>SUM(C52:W52)</f>
        <v>89177.95890173332</v>
      </c>
    </row>
    <row r="53" spans="3:25">
      <c r="C53" s="252">
        <f t="shared" ref="C53:W53" si="64">C26</f>
        <v>1208.4904979874996</v>
      </c>
      <c r="D53" s="252">
        <f t="shared" si="64"/>
        <v>353.54385858749987</v>
      </c>
      <c r="E53" s="252">
        <f t="shared" si="64"/>
        <v>448.70059071249983</v>
      </c>
      <c r="F53" s="252">
        <f t="shared" si="64"/>
        <v>144.30361574999998</v>
      </c>
      <c r="G53" s="252">
        <f t="shared" si="64"/>
        <v>1461.8583682499996</v>
      </c>
      <c r="H53" s="252">
        <f t="shared" si="64"/>
        <v>741.38596787499966</v>
      </c>
      <c r="I53" s="252">
        <f t="shared" si="64"/>
        <v>2.0913567499999992</v>
      </c>
      <c r="J53" s="252">
        <f t="shared" si="64"/>
        <v>668.18848162499978</v>
      </c>
      <c r="K53" s="252">
        <f t="shared" si="64"/>
        <v>3102.5277386249991</v>
      </c>
      <c r="L53" s="252"/>
      <c r="M53" s="252">
        <f t="shared" si="64"/>
        <v>44.964170124999988</v>
      </c>
      <c r="N53" s="252">
        <f t="shared" si="64"/>
        <v>555.25521712499983</v>
      </c>
      <c r="O53" s="252">
        <f t="shared" si="64"/>
        <v>1307.0979687499994</v>
      </c>
      <c r="P53" s="252"/>
      <c r="Q53" s="252">
        <f t="shared" si="64"/>
        <v>1089.9780499999997</v>
      </c>
      <c r="R53" s="252">
        <f t="shared" si="64"/>
        <v>723.21794999999986</v>
      </c>
      <c r="S53" s="252">
        <f t="shared" si="64"/>
        <v>563.53307499999983</v>
      </c>
      <c r="T53" s="252">
        <f t="shared" si="64"/>
        <v>0</v>
      </c>
      <c r="U53" s="252">
        <f t="shared" si="64"/>
        <v>0</v>
      </c>
      <c r="V53" s="252">
        <f t="shared" si="64"/>
        <v>269.91894999999994</v>
      </c>
      <c r="W53" s="252">
        <f t="shared" si="64"/>
        <v>0</v>
      </c>
      <c r="Y53" s="21">
        <f>SUM(C53:X53)</f>
        <v>12685.055857162493</v>
      </c>
    </row>
    <row r="54" spans="3:25">
      <c r="C54" s="252">
        <f t="shared" ref="C54:W54" si="65">C27</f>
        <v>0</v>
      </c>
      <c r="D54" s="252">
        <f t="shared" si="65"/>
        <v>0</v>
      </c>
      <c r="E54" s="252">
        <f t="shared" si="65"/>
        <v>0</v>
      </c>
      <c r="F54" s="252">
        <f t="shared" si="65"/>
        <v>0</v>
      </c>
      <c r="G54" s="252">
        <f t="shared" si="65"/>
        <v>0</v>
      </c>
      <c r="H54" s="252">
        <f t="shared" si="65"/>
        <v>0</v>
      </c>
      <c r="I54" s="252">
        <f t="shared" si="65"/>
        <v>0</v>
      </c>
      <c r="J54" s="252">
        <f t="shared" si="65"/>
        <v>0</v>
      </c>
      <c r="K54" s="252">
        <f t="shared" si="65"/>
        <v>0</v>
      </c>
      <c r="L54" s="252"/>
      <c r="M54" s="252">
        <f t="shared" si="65"/>
        <v>0</v>
      </c>
      <c r="N54" s="252">
        <f t="shared" si="65"/>
        <v>0</v>
      </c>
      <c r="O54" s="252">
        <f t="shared" si="65"/>
        <v>0</v>
      </c>
      <c r="P54" s="252"/>
      <c r="Q54" s="252">
        <f t="shared" si="65"/>
        <v>0</v>
      </c>
      <c r="R54" s="252">
        <f t="shared" si="65"/>
        <v>0</v>
      </c>
      <c r="S54" s="252">
        <f t="shared" si="65"/>
        <v>0</v>
      </c>
      <c r="T54" s="252">
        <f t="shared" si="65"/>
        <v>0</v>
      </c>
      <c r="U54" s="252">
        <f t="shared" si="65"/>
        <v>0</v>
      </c>
      <c r="V54" s="252">
        <f t="shared" si="65"/>
        <v>0</v>
      </c>
      <c r="W54" s="252">
        <f t="shared" si="65"/>
        <v>0</v>
      </c>
    </row>
    <row r="55" spans="3:25">
      <c r="C55" s="252">
        <f t="shared" ref="C55:W55" si="66">C28</f>
        <v>0</v>
      </c>
      <c r="D55" s="252">
        <f t="shared" si="66"/>
        <v>0</v>
      </c>
      <c r="E55" s="252">
        <f t="shared" si="66"/>
        <v>0</v>
      </c>
      <c r="F55" s="252">
        <f t="shared" si="66"/>
        <v>0</v>
      </c>
      <c r="G55" s="252">
        <f t="shared" si="66"/>
        <v>0</v>
      </c>
      <c r="H55" s="252">
        <f t="shared" si="66"/>
        <v>0</v>
      </c>
      <c r="I55" s="252">
        <f t="shared" si="66"/>
        <v>0</v>
      </c>
      <c r="J55" s="252">
        <f t="shared" si="66"/>
        <v>0</v>
      </c>
      <c r="K55" s="252">
        <f t="shared" si="66"/>
        <v>0</v>
      </c>
      <c r="L55" s="252"/>
      <c r="M55" s="252">
        <f t="shared" si="66"/>
        <v>0</v>
      </c>
      <c r="N55" s="252">
        <f t="shared" si="66"/>
        <v>0</v>
      </c>
      <c r="O55" s="252">
        <f t="shared" si="66"/>
        <v>0</v>
      </c>
      <c r="P55" s="252"/>
      <c r="Q55" s="252">
        <f t="shared" si="66"/>
        <v>0</v>
      </c>
      <c r="R55" s="252">
        <f t="shared" si="66"/>
        <v>0</v>
      </c>
      <c r="S55" s="252">
        <f t="shared" si="66"/>
        <v>0</v>
      </c>
      <c r="T55" s="252">
        <f t="shared" si="66"/>
        <v>0</v>
      </c>
      <c r="U55" s="252">
        <f t="shared" si="66"/>
        <v>0</v>
      </c>
      <c r="V55" s="252">
        <f t="shared" si="66"/>
        <v>0</v>
      </c>
      <c r="W55" s="252">
        <f t="shared" si="66"/>
        <v>0</v>
      </c>
    </row>
    <row r="56" spans="3:25">
      <c r="C56" s="252">
        <f t="shared" ref="C56:W56" si="67">C29</f>
        <v>0</v>
      </c>
      <c r="D56" s="252">
        <f t="shared" si="67"/>
        <v>0</v>
      </c>
      <c r="E56" s="252">
        <f t="shared" si="67"/>
        <v>0</v>
      </c>
      <c r="F56" s="252">
        <f t="shared" si="67"/>
        <v>0</v>
      </c>
      <c r="G56" s="252">
        <f t="shared" si="67"/>
        <v>0</v>
      </c>
      <c r="H56" s="252">
        <f t="shared" si="67"/>
        <v>0</v>
      </c>
      <c r="I56" s="252">
        <f t="shared" si="67"/>
        <v>0</v>
      </c>
      <c r="J56" s="252">
        <f t="shared" si="67"/>
        <v>0</v>
      </c>
      <c r="K56" s="252">
        <f t="shared" si="67"/>
        <v>0</v>
      </c>
      <c r="L56" s="252"/>
      <c r="M56" s="252">
        <f t="shared" si="67"/>
        <v>0</v>
      </c>
      <c r="N56" s="252">
        <f t="shared" si="67"/>
        <v>0</v>
      </c>
      <c r="O56" s="252">
        <f t="shared" si="67"/>
        <v>0</v>
      </c>
      <c r="P56" s="252"/>
      <c r="Q56" s="252">
        <f t="shared" si="67"/>
        <v>0</v>
      </c>
      <c r="R56" s="252">
        <f t="shared" si="67"/>
        <v>0</v>
      </c>
      <c r="S56" s="252">
        <f t="shared" si="67"/>
        <v>0</v>
      </c>
      <c r="T56" s="252">
        <f t="shared" si="67"/>
        <v>0</v>
      </c>
      <c r="U56" s="252">
        <f t="shared" si="67"/>
        <v>0</v>
      </c>
      <c r="V56" s="252">
        <f t="shared" si="67"/>
        <v>0</v>
      </c>
      <c r="W56" s="252">
        <f t="shared" si="67"/>
        <v>0</v>
      </c>
    </row>
  </sheetData>
  <mergeCells count="11">
    <mergeCell ref="C29:K29"/>
    <mergeCell ref="C30:J30"/>
    <mergeCell ref="A20:B20"/>
    <mergeCell ref="A21:A24"/>
    <mergeCell ref="A25:B25"/>
    <mergeCell ref="A16:A18"/>
    <mergeCell ref="A3:B3"/>
    <mergeCell ref="A4:A11"/>
    <mergeCell ref="A13:B13"/>
    <mergeCell ref="A14:B14"/>
    <mergeCell ref="A15:B15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2:Z56"/>
  <sheetViews>
    <sheetView zoomScale="85" zoomScaleNormal="85" workbookViewId="0">
      <pane xSplit="2" ySplit="3" topLeftCell="C13" activePane="bottomRight" state="frozen"/>
      <selection activeCell="Q56" sqref="Q56"/>
      <selection pane="topRight" activeCell="Q56" sqref="Q56"/>
      <selection pane="bottomLeft" activeCell="Q56" sqref="Q56"/>
      <selection pane="bottomRight" activeCell="G15" sqref="G15"/>
    </sheetView>
  </sheetViews>
  <sheetFormatPr defaultRowHeight="16.899999999999999"/>
  <cols>
    <col min="1" max="1" width="17.375" customWidth="1"/>
    <col min="2" max="2" width="19.25" bestFit="1" customWidth="1"/>
    <col min="3" max="3" width="9.75" customWidth="1"/>
    <col min="25" max="25" width="10.5" bestFit="1" customWidth="1"/>
  </cols>
  <sheetData>
    <row r="2" spans="1:25">
      <c r="Y2" t="s">
        <v>77</v>
      </c>
    </row>
    <row r="3" spans="1:25">
      <c r="A3" s="264" t="s">
        <v>218</v>
      </c>
      <c r="B3" s="264"/>
      <c r="C3" s="88" t="s">
        <v>0</v>
      </c>
      <c r="D3" s="88" t="s">
        <v>18</v>
      </c>
      <c r="E3" s="88" t="s">
        <v>19</v>
      </c>
      <c r="F3" s="88" t="s">
        <v>3</v>
      </c>
      <c r="G3" s="88" t="s">
        <v>5</v>
      </c>
      <c r="H3" s="88" t="s">
        <v>20</v>
      </c>
      <c r="I3" s="88" t="s">
        <v>7</v>
      </c>
      <c r="J3" s="88" t="s">
        <v>22</v>
      </c>
      <c r="K3" s="88" t="s">
        <v>23</v>
      </c>
      <c r="L3" s="88" t="s">
        <v>85</v>
      </c>
      <c r="M3" s="88" t="s">
        <v>21</v>
      </c>
      <c r="N3" s="88" t="s">
        <v>24</v>
      </c>
      <c r="O3" s="88" t="s">
        <v>25</v>
      </c>
      <c r="P3" s="88" t="s">
        <v>85</v>
      </c>
      <c r="Q3" s="88" t="s">
        <v>26</v>
      </c>
      <c r="R3" s="88" t="s">
        <v>27</v>
      </c>
      <c r="S3" s="88" t="s">
        <v>28</v>
      </c>
      <c r="T3" s="88" t="s">
        <v>29</v>
      </c>
      <c r="U3" s="88" t="s">
        <v>30</v>
      </c>
      <c r="V3" s="88" t="s">
        <v>31</v>
      </c>
      <c r="W3" s="88" t="s">
        <v>32</v>
      </c>
      <c r="X3" s="88" t="s">
        <v>17</v>
      </c>
      <c r="Y3" s="88" t="s">
        <v>41</v>
      </c>
    </row>
    <row r="4" spans="1:25">
      <c r="A4" s="265" t="s">
        <v>93</v>
      </c>
      <c r="B4" s="89" t="s">
        <v>33</v>
      </c>
      <c r="C4" s="90">
        <f>동탄!G6</f>
        <v>1009.3567366443745</v>
      </c>
      <c r="D4" s="90">
        <f>화성!G6</f>
        <v>389.52042307937478</v>
      </c>
      <c r="E4" s="90">
        <f>파주!G6</f>
        <v>840.59993209499953</v>
      </c>
      <c r="F4" s="90">
        <f>광교!G6</f>
        <v>46.699996227499973</v>
      </c>
      <c r="G4" s="90">
        <f>판교!G6</f>
        <v>324.7772464912498</v>
      </c>
      <c r="H4" s="90">
        <f>삼송!G6</f>
        <v>304.61133902937485</v>
      </c>
      <c r="I4" s="90">
        <f>양산!G6</f>
        <v>173.0022587518749</v>
      </c>
      <c r="J4" s="90">
        <f>대구!G6</f>
        <v>3.1840906518749983</v>
      </c>
      <c r="K4" s="90">
        <f>청주!G6</f>
        <v>31.840906518749982</v>
      </c>
      <c r="L4" s="91">
        <f>SUM(C4:K4)</f>
        <v>3123.5929294893731</v>
      </c>
      <c r="M4" s="90">
        <f>수원!G6</f>
        <v>324.77724649124985</v>
      </c>
      <c r="N4" s="90">
        <f>광주전남!G6</f>
        <v>253.66588859937485</v>
      </c>
      <c r="O4" s="90">
        <f>강남!G6</f>
        <v>170.8795316506249</v>
      </c>
      <c r="P4" s="91">
        <f t="shared" ref="P4:P24" si="0">SUM(M4:O4)</f>
        <v>749.32266674124969</v>
      </c>
      <c r="Q4" s="90">
        <f>중앙!G6</f>
        <v>219.70225497937489</v>
      </c>
      <c r="R4" s="90">
        <f>고양!G6</f>
        <v>112.50453636624994</v>
      </c>
      <c r="S4" s="90">
        <f>용인!G6</f>
        <v>91.277265353749954</v>
      </c>
      <c r="T4" s="90">
        <f>분당!G6</f>
        <v>42.454542024999981</v>
      </c>
      <c r="U4" s="90">
        <f>세종!G6</f>
        <v>33.963633619999982</v>
      </c>
      <c r="V4" s="90">
        <f>김해!G6</f>
        <v>159.20453259374992</v>
      </c>
      <c r="W4" s="90">
        <f>평택!G6</f>
        <v>0</v>
      </c>
      <c r="X4" s="91">
        <f t="shared" ref="X4:X24" si="1">SUM(Q4:W4)</f>
        <v>659.10676493812468</v>
      </c>
      <c r="Y4" s="92">
        <f>L4+P4+X4</f>
        <v>4532.022361168747</v>
      </c>
    </row>
    <row r="5" spans="1:25">
      <c r="A5" s="265"/>
      <c r="B5" s="89" t="s">
        <v>95</v>
      </c>
      <c r="C5" s="90">
        <f>동탄!G7</f>
        <v>3508.8594339919309</v>
      </c>
      <c r="D5" s="90">
        <f>화성!G7</f>
        <v>1403.6097628977509</v>
      </c>
      <c r="E5" s="90">
        <f>파주!G7</f>
        <v>4267.7428370631224</v>
      </c>
      <c r="F5" s="90">
        <f>광교!G7</f>
        <v>1125.7617840591711</v>
      </c>
      <c r="G5" s="90">
        <f>판교!G7</f>
        <v>1812.5265718318469</v>
      </c>
      <c r="H5" s="90">
        <f>삼송!G7</f>
        <v>670.07065041608075</v>
      </c>
      <c r="I5" s="90">
        <f>양산!G7</f>
        <v>860.76583955687454</v>
      </c>
      <c r="J5" s="90">
        <f>대구!G7</f>
        <v>1115.4491543606789</v>
      </c>
      <c r="K5" s="90">
        <f>청주!G7</f>
        <v>1159.1575881795868</v>
      </c>
      <c r="L5" s="91">
        <f t="shared" ref="L5:L9" si="2">SUM(C5:K5)</f>
        <v>15923.943622357043</v>
      </c>
      <c r="M5" s="90">
        <f>수원!G7</f>
        <v>904.27757928056315</v>
      </c>
      <c r="N5" s="90">
        <f>광주전남!G7</f>
        <v>1287.4339869081243</v>
      </c>
      <c r="O5" s="90">
        <f>강남!G7</f>
        <v>1941.2339340931239</v>
      </c>
      <c r="P5" s="91">
        <f t="shared" si="0"/>
        <v>4132.9455002818113</v>
      </c>
      <c r="Q5" s="90">
        <f>중앙!G7</f>
        <v>1426.4726120399991</v>
      </c>
      <c r="R5" s="90">
        <f>고양!G7</f>
        <v>673.96585464687462</v>
      </c>
      <c r="S5" s="90">
        <f>용인!G7</f>
        <v>500.96359589499974</v>
      </c>
      <c r="T5" s="90">
        <f>분당!G7</f>
        <v>648.49312943187465</v>
      </c>
      <c r="U5" s="90">
        <f>세종!G7</f>
        <v>120.99544477124994</v>
      </c>
      <c r="V5" s="90">
        <f>김해!G7</f>
        <v>326.8999735924998</v>
      </c>
      <c r="W5" s="90">
        <f>평택!G7</f>
        <v>175.12498585312491</v>
      </c>
      <c r="X5" s="91">
        <f t="shared" si="1"/>
        <v>3872.9155962306227</v>
      </c>
      <c r="Y5" s="91">
        <f t="shared" ref="Y5:Y24" si="3">L5+P5+X5</f>
        <v>23929.804718869476</v>
      </c>
    </row>
    <row r="6" spans="1:25">
      <c r="A6" s="265"/>
      <c r="B6" s="89" t="s">
        <v>96</v>
      </c>
      <c r="C6" s="90">
        <f>동탄!G8</f>
        <v>8590.2626469740007</v>
      </c>
      <c r="D6" s="90">
        <f>화성!G8</f>
        <v>6636.0694639277453</v>
      </c>
      <c r="E6" s="90">
        <f>파주!G8</f>
        <v>6201.9240103623424</v>
      </c>
      <c r="F6" s="90">
        <f>광교!G8</f>
        <v>2548.8539531904294</v>
      </c>
      <c r="G6" s="90">
        <f>판교!G8</f>
        <v>2645.8095135400231</v>
      </c>
      <c r="H6" s="90">
        <f>삼송!G8</f>
        <v>1908.9472548831113</v>
      </c>
      <c r="I6" s="90">
        <f>양산!G8</f>
        <v>2378.6430805766986</v>
      </c>
      <c r="J6" s="90">
        <f>대구!G8</f>
        <v>3935.3184661896194</v>
      </c>
      <c r="K6" s="90">
        <f>청주!G8</f>
        <v>3575.5056088922383</v>
      </c>
      <c r="L6" s="91">
        <f>SUM(C6:K6)</f>
        <v>38421.333998536204</v>
      </c>
      <c r="M6" s="90">
        <f>수원!G8</f>
        <v>2645.8095135400231</v>
      </c>
      <c r="N6" s="90">
        <f>광주전남!G8</f>
        <v>1883.0924387898863</v>
      </c>
      <c r="O6" s="90">
        <f>강남!G8</f>
        <v>1321.8274727661274</v>
      </c>
      <c r="P6" s="91">
        <f t="shared" si="0"/>
        <v>5850.7294250960367</v>
      </c>
      <c r="Q6" s="90">
        <f>중앙!G8</f>
        <v>1146.2301801329743</v>
      </c>
      <c r="R6" s="90">
        <f>고양!G8</f>
        <v>753.02151871517765</v>
      </c>
      <c r="S6" s="90">
        <f>용인!G8</f>
        <v>729.32127062972143</v>
      </c>
      <c r="T6" s="90">
        <f>분당!G8</f>
        <v>650.67953834616208</v>
      </c>
      <c r="U6" s="90">
        <f>세종!G8</f>
        <v>294.09853306043419</v>
      </c>
      <c r="V6" s="90">
        <f>김해!G8</f>
        <v>43.091360155374971</v>
      </c>
      <c r="W6" s="90">
        <f>평택!G8</f>
        <v>43.091360155374971</v>
      </c>
      <c r="X6" s="91">
        <f t="shared" si="1"/>
        <v>3659.5337611952191</v>
      </c>
      <c r="Y6" s="91">
        <f t="shared" si="3"/>
        <v>47931.597184827457</v>
      </c>
    </row>
    <row r="7" spans="1:25">
      <c r="A7" s="265"/>
      <c r="B7" s="89" t="s">
        <v>97</v>
      </c>
      <c r="C7" s="90">
        <f>동탄!G9</f>
        <v>5487.8652164379728</v>
      </c>
      <c r="D7" s="90">
        <f>화성!G9</f>
        <v>394.8272408324998</v>
      </c>
      <c r="E7" s="90">
        <f>파주!G9</f>
        <v>686.70221725437466</v>
      </c>
      <c r="F7" s="90">
        <f>광교!G9</f>
        <v>199.53634751749991</v>
      </c>
      <c r="G7" s="90">
        <f>판교!G9</f>
        <v>199.53634751749991</v>
      </c>
      <c r="H7" s="90">
        <f>삼송!G9</f>
        <v>168.75680454937492</v>
      </c>
      <c r="I7" s="90">
        <f>양산!G9</f>
        <v>247.29770729562486</v>
      </c>
      <c r="J7" s="90">
        <f>대구!G9</f>
        <v>282.32270446624983</v>
      </c>
      <c r="K7" s="90">
        <f>청주!G9</f>
        <v>215.45680077687487</v>
      </c>
      <c r="L7" s="91">
        <f t="shared" si="2"/>
        <v>7882.3013866479714</v>
      </c>
      <c r="M7" s="90">
        <f>수원!G9</f>
        <v>199.53634751749991</v>
      </c>
      <c r="N7" s="90">
        <f>광주전남!G9</f>
        <v>220.76361852999989</v>
      </c>
      <c r="O7" s="90">
        <f>강남!G9</f>
        <v>623.02040421687468</v>
      </c>
      <c r="P7" s="91">
        <f t="shared" si="0"/>
        <v>1043.3203702643746</v>
      </c>
      <c r="Q7" s="90">
        <f>중앙!G9</f>
        <v>729.15675927937457</v>
      </c>
      <c r="R7" s="90">
        <f>고양!G9</f>
        <v>571.01359023624968</v>
      </c>
      <c r="S7" s="90">
        <f>용인!G9</f>
        <v>126.30226252437494</v>
      </c>
      <c r="T7" s="90">
        <f>분당!G9</f>
        <v>89.154538252499947</v>
      </c>
      <c r="U7" s="90">
        <f>세종!G9</f>
        <v>64.743176588124967</v>
      </c>
      <c r="V7" s="90">
        <f>김해!G9</f>
        <v>56.252268183124968</v>
      </c>
      <c r="W7" s="90">
        <f>평택!G9</f>
        <v>98.706810208124949</v>
      </c>
      <c r="X7" s="91">
        <f t="shared" si="1"/>
        <v>1735.3294052718741</v>
      </c>
      <c r="Y7" s="91">
        <f t="shared" si="3"/>
        <v>10660.951162184219</v>
      </c>
    </row>
    <row r="8" spans="1:25">
      <c r="A8" s="265"/>
      <c r="B8" s="89" t="s">
        <v>281</v>
      </c>
      <c r="C8" s="90">
        <f>동탄!G10</f>
        <v>2405.0745941662917</v>
      </c>
      <c r="D8" s="90">
        <f>화성!G10</f>
        <v>903.18413601662041</v>
      </c>
      <c r="E8" s="90">
        <f>파주!G10</f>
        <v>762.46345516352221</v>
      </c>
      <c r="F8" s="90">
        <f>광교!G10</f>
        <v>1318.2135298762494</v>
      </c>
      <c r="G8" s="90">
        <f>판교!G10</f>
        <v>497.77950524312473</v>
      </c>
      <c r="H8" s="90">
        <f>삼송!G10</f>
        <v>416.05451184499975</v>
      </c>
      <c r="I8" s="90">
        <f>양산!G10</f>
        <v>949.92037780937449</v>
      </c>
      <c r="J8" s="90">
        <f>대구!G10</f>
        <v>819.37266108249958</v>
      </c>
      <c r="K8" s="90">
        <f>청주!G10</f>
        <v>394.8272408324998</v>
      </c>
      <c r="L8" s="91">
        <f t="shared" si="2"/>
        <v>8466.8900120351827</v>
      </c>
      <c r="M8" s="90">
        <f>수원!G10</f>
        <v>497.77950524312473</v>
      </c>
      <c r="N8" s="90">
        <f>광주전남!G10</f>
        <v>755.6908480449996</v>
      </c>
      <c r="O8" s="90">
        <f>강남!G10</f>
        <v>676.08858174812462</v>
      </c>
      <c r="P8" s="91">
        <f t="shared" si="0"/>
        <v>1929.5589350362491</v>
      </c>
      <c r="Q8" s="90">
        <f>중앙!G10</f>
        <v>1116.5544552574995</v>
      </c>
      <c r="R8" s="90">
        <f>고양!G10</f>
        <v>1324.5817111799993</v>
      </c>
      <c r="S8" s="90">
        <f>용인!G10</f>
        <v>236.68407178937488</v>
      </c>
      <c r="T8" s="90">
        <f>분당!G10</f>
        <v>471.24541647749976</v>
      </c>
      <c r="U8" s="90">
        <f>세종!G10</f>
        <v>355.55678945937478</v>
      </c>
      <c r="V8" s="90">
        <f>김해!G10</f>
        <v>280.19997736499982</v>
      </c>
      <c r="W8" s="90">
        <f>평택!G10</f>
        <v>29.718179417499982</v>
      </c>
      <c r="X8" s="91">
        <f t="shared" si="1"/>
        <v>3814.5406009462481</v>
      </c>
      <c r="Y8" s="91">
        <f t="shared" si="3"/>
        <v>14210.98954801768</v>
      </c>
    </row>
    <row r="9" spans="1:25">
      <c r="A9" s="265"/>
      <c r="B9" s="220" t="s">
        <v>279</v>
      </c>
      <c r="C9" s="90">
        <f>동탄!G11</f>
        <v>800.42201488609021</v>
      </c>
      <c r="D9" s="90">
        <f>화성!G11</f>
        <v>618.36101822963076</v>
      </c>
      <c r="E9" s="90">
        <f>파주!G11</f>
        <v>577.42422608202469</v>
      </c>
      <c r="F9" s="90">
        <f>광교!G11</f>
        <v>237.00248085456235</v>
      </c>
      <c r="G9" s="90">
        <f>판교!G11</f>
        <v>246.69803688952172</v>
      </c>
      <c r="H9" s="90">
        <f>삼송!G11</f>
        <v>53.864200194218711</v>
      </c>
      <c r="I9" s="90">
        <f>양산!G11</f>
        <v>220.84322079629675</v>
      </c>
      <c r="J9" s="90">
        <f>대구!G11</f>
        <v>366.27656132068728</v>
      </c>
      <c r="K9" s="90">
        <f>청주!G11</f>
        <v>332.88075720027166</v>
      </c>
      <c r="L9" s="91">
        <f t="shared" si="2"/>
        <v>3453.772516453304</v>
      </c>
      <c r="M9" s="90">
        <f>수원!G11</f>
        <v>246.69803688952172</v>
      </c>
      <c r="N9" s="90">
        <f>광주전남!G11</f>
        <v>169.13358860984678</v>
      </c>
      <c r="O9" s="90">
        <f>강남!G11</f>
        <v>118.50124042728118</v>
      </c>
      <c r="P9" s="91">
        <f t="shared" si="0"/>
        <v>534.33286592664967</v>
      </c>
      <c r="Q9" s="90">
        <f>중앙!G11</f>
        <v>103.41926437289995</v>
      </c>
      <c r="R9" s="90">
        <f>고양!G11</f>
        <v>67.868892244715582</v>
      </c>
      <c r="S9" s="90">
        <f>용인!G11</f>
        <v>65.714324236946837</v>
      </c>
      <c r="T9" s="90">
        <f>분당!G11</f>
        <v>58.173336209756215</v>
      </c>
      <c r="U9" s="90">
        <f>세종!G11</f>
        <v>26.932100097109355</v>
      </c>
      <c r="V9" s="90">
        <f>김해!G11</f>
        <v>4.3091360155374971</v>
      </c>
      <c r="W9" s="90">
        <f>평택!G11</f>
        <v>4.3091360155374971</v>
      </c>
      <c r="X9" s="91">
        <f t="shared" si="1"/>
        <v>330.72618919250289</v>
      </c>
      <c r="Y9" s="91">
        <f t="shared" si="3"/>
        <v>4318.8315715724566</v>
      </c>
    </row>
    <row r="10" spans="1:25">
      <c r="A10" s="265"/>
      <c r="B10" s="220" t="s">
        <v>280</v>
      </c>
      <c r="C10" s="90">
        <f>동탄!G12</f>
        <v>89.41457232240306</v>
      </c>
      <c r="D10" s="90">
        <f>화성!G12</f>
        <v>68.946176248599954</v>
      </c>
      <c r="E10" s="90">
        <f>파주!G12</f>
        <v>64.63704023306245</v>
      </c>
      <c r="F10" s="90">
        <f>광교!G12</f>
        <v>25.854816093224986</v>
      </c>
      <c r="G10" s="90">
        <f>판교!G12</f>
        <v>26.932100097109355</v>
      </c>
      <c r="H10" s="90">
        <f>삼송!G12</f>
        <v>6.4637040233062466</v>
      </c>
      <c r="I10" s="90">
        <f>양산!G12</f>
        <v>24.77753208934061</v>
      </c>
      <c r="J10" s="90">
        <f>대구!G12</f>
        <v>40.936792147606219</v>
      </c>
      <c r="K10" s="90">
        <f>청주!G12</f>
        <v>36.627656132068729</v>
      </c>
      <c r="L10" s="91">
        <f t="shared" ref="L10" si="4">SUM(C10:K10)</f>
        <v>384.59038938672171</v>
      </c>
      <c r="M10" s="90">
        <f>수원!G12</f>
        <v>26.932100097109359</v>
      </c>
      <c r="N10" s="90">
        <f>광주전남!G12</f>
        <v>18.313828066034365</v>
      </c>
      <c r="O10" s="90">
        <f>강남!G12</f>
        <v>12.927408046612493</v>
      </c>
      <c r="P10" s="91">
        <f t="shared" ref="P10" si="5">SUM(M10:O10)</f>
        <v>58.173336209756215</v>
      </c>
      <c r="Q10" s="90">
        <f>중앙!G12</f>
        <v>11.850124042728117</v>
      </c>
      <c r="R10" s="90">
        <f>고양!G12</f>
        <v>7.5409880271906209</v>
      </c>
      <c r="S10" s="90">
        <f>용인!G12</f>
        <v>7.5409880271906209</v>
      </c>
      <c r="T10" s="90">
        <f>분당!G12</f>
        <v>6.4637040233062466</v>
      </c>
      <c r="U10" s="90">
        <f>세종!G12</f>
        <v>3.2318520116531233</v>
      </c>
      <c r="V10" s="90">
        <f>김해!G12</f>
        <v>1.0772840038843743</v>
      </c>
      <c r="W10" s="90">
        <f>평택!G12</f>
        <v>1.0772840038843743</v>
      </c>
      <c r="X10" s="91">
        <f t="shared" ref="X10" si="6">SUM(Q10:W10)</f>
        <v>38.782224139837474</v>
      </c>
      <c r="Y10" s="91">
        <f t="shared" ref="Y10" si="7">L10+P10+X10</f>
        <v>481.54594973631538</v>
      </c>
    </row>
    <row r="11" spans="1:25">
      <c r="A11" s="265"/>
      <c r="B11" s="93" t="s">
        <v>35</v>
      </c>
      <c r="C11" s="94">
        <f>SUM(C4:C10)</f>
        <v>21891.255215423062</v>
      </c>
      <c r="D11" s="94">
        <f t="shared" ref="D11:M11" si="8">SUM(D4:D10)</f>
        <v>10414.518221232222</v>
      </c>
      <c r="E11" s="94">
        <f t="shared" si="8"/>
        <v>13401.49371825345</v>
      </c>
      <c r="F11" s="94">
        <f t="shared" si="8"/>
        <v>5501.9229078186372</v>
      </c>
      <c r="G11" s="94">
        <f t="shared" si="8"/>
        <v>5754.0593216103762</v>
      </c>
      <c r="H11" s="94">
        <f t="shared" si="8"/>
        <v>3528.7684649404669</v>
      </c>
      <c r="I11" s="94">
        <f t="shared" si="8"/>
        <v>4855.2500168760853</v>
      </c>
      <c r="J11" s="94">
        <f t="shared" si="8"/>
        <v>6562.8604302192161</v>
      </c>
      <c r="K11" s="94">
        <f t="shared" si="8"/>
        <v>5746.29655853229</v>
      </c>
      <c r="L11" s="94">
        <f>SUM(C11:K11)</f>
        <v>77656.42485490581</v>
      </c>
      <c r="M11" s="94">
        <f t="shared" si="8"/>
        <v>4845.8103290590925</v>
      </c>
      <c r="N11" s="94">
        <f t="shared" ref="N11" si="9">SUM(N4:N10)</f>
        <v>4588.0941975482656</v>
      </c>
      <c r="O11" s="94">
        <f t="shared" ref="O11" si="10">SUM(O4:O10)</f>
        <v>4864.4785729487685</v>
      </c>
      <c r="P11" s="94">
        <f t="shared" si="0"/>
        <v>14298.383099556127</v>
      </c>
      <c r="Q11" s="94">
        <f t="shared" ref="Q11" si="11">SUM(Q4:Q10)</f>
        <v>4753.3856501048513</v>
      </c>
      <c r="R11" s="94">
        <f t="shared" ref="R11" si="12">SUM(R4:R10)</f>
        <v>3510.4970914164569</v>
      </c>
      <c r="S11" s="94">
        <f t="shared" ref="S11" si="13">SUM(S4:S10)</f>
        <v>1757.8037784563585</v>
      </c>
      <c r="T11" s="94">
        <f t="shared" ref="T11" si="14">SUM(T4:T10)</f>
        <v>1966.6642047660989</v>
      </c>
      <c r="U11" s="94">
        <f t="shared" ref="U11" si="15">SUM(U4:U10)</f>
        <v>899.52152960794638</v>
      </c>
      <c r="V11" s="94">
        <f t="shared" ref="V11" si="16">SUM(V4:V10)</f>
        <v>871.03453190917151</v>
      </c>
      <c r="W11" s="94">
        <f t="shared" ref="W11" si="17">SUM(W4:W10)</f>
        <v>352.02775565354671</v>
      </c>
      <c r="X11" s="94">
        <f t="shared" si="1"/>
        <v>14110.934541914432</v>
      </c>
      <c r="Y11" s="94">
        <f t="shared" si="3"/>
        <v>106065.74249637638</v>
      </c>
    </row>
    <row r="12" spans="1:25">
      <c r="A12" s="89" t="s">
        <v>98</v>
      </c>
      <c r="B12" s="89" t="s">
        <v>99</v>
      </c>
      <c r="C12" s="95">
        <f>동탄!G13</f>
        <v>466.13486341874722</v>
      </c>
      <c r="D12" s="95">
        <f>화성!G13</f>
        <v>391.64315018062479</v>
      </c>
      <c r="E12" s="95">
        <f>파주!G13</f>
        <v>595.42495190062471</v>
      </c>
      <c r="F12" s="95">
        <f>광교!G13</f>
        <v>248.35907084624986</v>
      </c>
      <c r="G12" s="95">
        <f>판교!G13</f>
        <v>227.13179983374988</v>
      </c>
      <c r="H12" s="95">
        <f>삼송!G13</f>
        <v>243.05225309312488</v>
      </c>
      <c r="I12" s="95">
        <f>양산!G13</f>
        <v>707.92948826687461</v>
      </c>
      <c r="J12" s="95">
        <f>대구!G13</f>
        <v>447.89541836374974</v>
      </c>
      <c r="K12" s="95">
        <f>청주!G13</f>
        <v>465.93859872437474</v>
      </c>
      <c r="L12" s="92">
        <f>SUM(C12:K12)</f>
        <v>3793.5095946281208</v>
      </c>
      <c r="M12" s="95">
        <f>수원!G13</f>
        <v>227.13179983374988</v>
      </c>
      <c r="N12" s="95">
        <f>광주전남!G13</f>
        <v>824.67947883562454</v>
      </c>
      <c r="O12" s="95">
        <f>강남!G13</f>
        <v>251.54316149812487</v>
      </c>
      <c r="P12" s="92">
        <f t="shared" si="0"/>
        <v>1303.3544401674992</v>
      </c>
      <c r="Q12" s="95">
        <f>중앙!G13</f>
        <v>252.60452504874988</v>
      </c>
      <c r="R12" s="95">
        <f>고양!G13</f>
        <v>106.13635506249994</v>
      </c>
      <c r="S12" s="95">
        <f>용인!G13</f>
        <v>202.72043816937489</v>
      </c>
      <c r="T12" s="95">
        <f>분당!G13</f>
        <v>68.988630790624967</v>
      </c>
      <c r="U12" s="95">
        <f>세종!G13</f>
        <v>82.786356948749955</v>
      </c>
      <c r="V12" s="95">
        <f>김해!G13</f>
        <v>169.81816809999992</v>
      </c>
      <c r="W12" s="95">
        <f>평택!G13</f>
        <v>54.129541081874969</v>
      </c>
      <c r="X12" s="92">
        <f t="shared" si="1"/>
        <v>937.18401520187444</v>
      </c>
      <c r="Y12" s="92">
        <f t="shared" si="3"/>
        <v>6034.0480499974947</v>
      </c>
    </row>
    <row r="13" spans="1:25">
      <c r="A13" s="255" t="s">
        <v>110</v>
      </c>
      <c r="B13" s="255"/>
      <c r="C13" s="58">
        <f t="shared" ref="C13:H13" si="18">C12+C11</f>
        <v>22357.39007884181</v>
      </c>
      <c r="D13" s="58">
        <f t="shared" si="18"/>
        <v>10806.161371412847</v>
      </c>
      <c r="E13" s="58">
        <f t="shared" si="18"/>
        <v>13996.918670154075</v>
      </c>
      <c r="F13" s="58">
        <f t="shared" si="18"/>
        <v>5750.281978664887</v>
      </c>
      <c r="G13" s="58">
        <f t="shared" si="18"/>
        <v>5981.1911214441261</v>
      </c>
      <c r="H13" s="58">
        <f t="shared" si="18"/>
        <v>3771.8207180335917</v>
      </c>
      <c r="I13" s="58">
        <f>I12+I11</f>
        <v>5563.1795051429599</v>
      </c>
      <c r="J13" s="58">
        <f>J12+J11</f>
        <v>7010.7558485829659</v>
      </c>
      <c r="K13" s="58">
        <f>K12+K11</f>
        <v>6212.2351572566649</v>
      </c>
      <c r="L13" s="58">
        <f>SUM(C13:K13)</f>
        <v>81449.934449533932</v>
      </c>
      <c r="M13" s="58">
        <f>M12+M11</f>
        <v>5072.9421288928424</v>
      </c>
      <c r="N13" s="58">
        <f>N12+N11</f>
        <v>5412.7736763838902</v>
      </c>
      <c r="O13" s="58">
        <f>O12+O11</f>
        <v>5116.0217344468938</v>
      </c>
      <c r="P13" s="58">
        <f t="shared" si="0"/>
        <v>15601.737539723628</v>
      </c>
      <c r="Q13" s="58">
        <f t="shared" ref="Q13:W13" si="19">Q12+Q11</f>
        <v>5005.9901751536008</v>
      </c>
      <c r="R13" s="58">
        <f t="shared" si="19"/>
        <v>3616.633446478957</v>
      </c>
      <c r="S13" s="58">
        <f t="shared" si="19"/>
        <v>1960.5242166257333</v>
      </c>
      <c r="T13" s="58">
        <f t="shared" si="19"/>
        <v>2035.6528355567239</v>
      </c>
      <c r="U13" s="58">
        <f t="shared" si="19"/>
        <v>982.3078865566963</v>
      </c>
      <c r="V13" s="58">
        <f t="shared" si="19"/>
        <v>1040.8527000091715</v>
      </c>
      <c r="W13" s="58">
        <f t="shared" si="19"/>
        <v>406.15729673542165</v>
      </c>
      <c r="X13" s="58">
        <f t="shared" si="1"/>
        <v>15048.118557116306</v>
      </c>
      <c r="Y13" s="58">
        <f>L13+P13+X13</f>
        <v>112099.79054637387</v>
      </c>
    </row>
    <row r="14" spans="1:25">
      <c r="A14" s="263" t="s">
        <v>65</v>
      </c>
      <c r="B14" s="263"/>
      <c r="C14" s="95">
        <f>동탄!G15</f>
        <v>0</v>
      </c>
      <c r="D14" s="95">
        <f>화성!G15</f>
        <v>22</v>
      </c>
      <c r="E14" s="95">
        <f>파주!G15</f>
        <v>0</v>
      </c>
      <c r="F14" s="95">
        <f>광교!G15</f>
        <v>28</v>
      </c>
      <c r="G14" s="95">
        <f>판교!G15</f>
        <v>6</v>
      </c>
      <c r="H14" s="95">
        <f>삼송!G15</f>
        <v>0</v>
      </c>
      <c r="I14" s="95">
        <f>양산!G15</f>
        <v>11</v>
      </c>
      <c r="J14" s="95">
        <f>대구!G15</f>
        <v>0</v>
      </c>
      <c r="K14" s="95">
        <f>청주!G15</f>
        <v>0</v>
      </c>
      <c r="L14" s="92">
        <f>SUM(C14:K14)</f>
        <v>67</v>
      </c>
      <c r="M14" s="95">
        <f>수원!G15</f>
        <v>0</v>
      </c>
      <c r="N14" s="95">
        <f>광주전남!G15</f>
        <v>0</v>
      </c>
      <c r="O14" s="95">
        <f>강남!G15</f>
        <v>0</v>
      </c>
      <c r="P14" s="96">
        <f t="shared" si="0"/>
        <v>0</v>
      </c>
      <c r="Q14" s="95">
        <f>중앙!G15</f>
        <v>0</v>
      </c>
      <c r="R14" s="95">
        <f>고양!G15</f>
        <v>0</v>
      </c>
      <c r="S14" s="95">
        <f>용인!G15</f>
        <v>0</v>
      </c>
      <c r="T14" s="95">
        <f>분당!G15</f>
        <v>0</v>
      </c>
      <c r="U14" s="95">
        <f>세종!G15</f>
        <v>0</v>
      </c>
      <c r="V14" s="95">
        <f>김해!G15</f>
        <v>0</v>
      </c>
      <c r="W14" s="95">
        <f>평택!G15</f>
        <v>0</v>
      </c>
      <c r="X14" s="96">
        <f t="shared" si="1"/>
        <v>0</v>
      </c>
      <c r="Y14" s="96">
        <f t="shared" si="3"/>
        <v>67</v>
      </c>
    </row>
    <row r="15" spans="1:25">
      <c r="A15" s="263" t="s">
        <v>66</v>
      </c>
      <c r="B15" s="263"/>
      <c r="C15" s="95">
        <f>동탄!G16</f>
        <v>0</v>
      </c>
      <c r="D15" s="95">
        <f>화성!G16</f>
        <v>15</v>
      </c>
      <c r="E15" s="95">
        <f>파주!G16</f>
        <v>0</v>
      </c>
      <c r="F15" s="95">
        <f>광교!G16</f>
        <v>0</v>
      </c>
      <c r="G15" s="95">
        <f>판교!G16</f>
        <v>0</v>
      </c>
      <c r="H15" s="95">
        <f>삼송!G16</f>
        <v>0</v>
      </c>
      <c r="I15" s="95">
        <f>양산!G16</f>
        <v>0</v>
      </c>
      <c r="J15" s="95">
        <f>대구!G16</f>
        <v>0</v>
      </c>
      <c r="K15" s="95">
        <f>청주!G16</f>
        <v>0</v>
      </c>
      <c r="L15" s="92">
        <f t="shared" ref="L15:L18" si="20">SUM(C15:K15)</f>
        <v>15</v>
      </c>
      <c r="M15" s="95">
        <f>수원!G16</f>
        <v>0</v>
      </c>
      <c r="N15" s="95">
        <f>광주전남!G16</f>
        <v>0</v>
      </c>
      <c r="O15" s="95">
        <f>강남!G16</f>
        <v>0</v>
      </c>
      <c r="P15" s="96">
        <f t="shared" si="0"/>
        <v>0</v>
      </c>
      <c r="Q15" s="95">
        <f>중앙!G16</f>
        <v>0</v>
      </c>
      <c r="R15" s="95">
        <f>고양!G16</f>
        <v>0</v>
      </c>
      <c r="S15" s="95">
        <f>용인!G16</f>
        <v>0</v>
      </c>
      <c r="T15" s="95">
        <f>분당!G16</f>
        <v>0</v>
      </c>
      <c r="U15" s="95">
        <f>세종!G16</f>
        <v>0</v>
      </c>
      <c r="V15" s="95">
        <f>김해!G16</f>
        <v>0</v>
      </c>
      <c r="W15" s="95">
        <f>평택!G16</f>
        <v>0</v>
      </c>
      <c r="X15" s="96">
        <f t="shared" si="1"/>
        <v>0</v>
      </c>
      <c r="Y15" s="96">
        <f t="shared" si="3"/>
        <v>15</v>
      </c>
    </row>
    <row r="16" spans="1:25">
      <c r="A16" s="263" t="s">
        <v>34</v>
      </c>
      <c r="B16" s="97" t="s">
        <v>81</v>
      </c>
      <c r="C16" s="95">
        <f>동탄!G17</f>
        <v>3912</v>
      </c>
      <c r="D16" s="95">
        <f>화성!G17</f>
        <v>1366</v>
      </c>
      <c r="E16" s="95">
        <f>파주!G17</f>
        <v>0</v>
      </c>
      <c r="F16" s="95">
        <f>광교!G17</f>
        <v>0</v>
      </c>
      <c r="G16" s="95">
        <f>판교!G17</f>
        <v>0</v>
      </c>
      <c r="H16" s="95">
        <f>삼송!G17</f>
        <v>0</v>
      </c>
      <c r="I16" s="95">
        <f>양산!G17</f>
        <v>0</v>
      </c>
      <c r="J16" s="95">
        <f>대구!G17</f>
        <v>0</v>
      </c>
      <c r="K16" s="95">
        <f>청주!G17</f>
        <v>6575</v>
      </c>
      <c r="L16" s="92">
        <f>SUM(C16:K16)</f>
        <v>11853</v>
      </c>
      <c r="M16" s="95">
        <f>수원!G17</f>
        <v>0</v>
      </c>
      <c r="N16" s="95">
        <f>광주전남!G17</f>
        <v>0</v>
      </c>
      <c r="O16" s="95">
        <f>강남!G17</f>
        <v>0</v>
      </c>
      <c r="P16" s="96">
        <f t="shared" si="0"/>
        <v>0</v>
      </c>
      <c r="Q16" s="95">
        <f>중앙!G17</f>
        <v>0</v>
      </c>
      <c r="R16" s="95">
        <f>고양!G17</f>
        <v>0</v>
      </c>
      <c r="S16" s="95">
        <f>용인!G17</f>
        <v>0</v>
      </c>
      <c r="T16" s="95">
        <f>분당!G17</f>
        <v>0</v>
      </c>
      <c r="U16" s="95">
        <f>세종!G17</f>
        <v>0</v>
      </c>
      <c r="V16" s="95">
        <f>김해!G17</f>
        <v>0</v>
      </c>
      <c r="W16" s="95">
        <f>평택!G17</f>
        <v>0</v>
      </c>
      <c r="X16" s="96">
        <f t="shared" si="1"/>
        <v>0</v>
      </c>
      <c r="Y16" s="96">
        <f t="shared" si="3"/>
        <v>11853</v>
      </c>
    </row>
    <row r="17" spans="1:25">
      <c r="A17" s="263"/>
      <c r="B17" s="97" t="s">
        <v>64</v>
      </c>
      <c r="C17" s="95">
        <f>동탄!G18</f>
        <v>343.01699261827054</v>
      </c>
      <c r="D17" s="95">
        <f>화성!G18</f>
        <v>1719.9862541817722</v>
      </c>
      <c r="E17" s="95">
        <f>파주!G18</f>
        <v>1045.6472833476589</v>
      </c>
      <c r="F17" s="95">
        <f>광교!G18</f>
        <v>1076.9269127851123</v>
      </c>
      <c r="G17" s="95">
        <f>판교!G18</f>
        <v>1625.5288024570261</v>
      </c>
      <c r="H17" s="95">
        <f>삼송!G18</f>
        <v>299.64702803435131</v>
      </c>
      <c r="I17" s="95">
        <f>양산!G18</f>
        <v>180</v>
      </c>
      <c r="J17" s="95">
        <f>대구!G18</f>
        <v>3539.360505038976</v>
      </c>
      <c r="K17" s="95">
        <f>청주!G18</f>
        <v>706</v>
      </c>
      <c r="L17" s="92">
        <f>SUM(C17:K17)</f>
        <v>10536.113778463168</v>
      </c>
      <c r="M17" s="95">
        <f>수원!G18</f>
        <v>372.86904616304616</v>
      </c>
      <c r="N17" s="95">
        <f>광주전남!G18</f>
        <v>1592.2257577411051</v>
      </c>
      <c r="O17" s="95">
        <f>강남!G18</f>
        <v>1433.9021568943742</v>
      </c>
      <c r="P17" s="96">
        <f t="shared" si="0"/>
        <v>3398.9969607985258</v>
      </c>
      <c r="Q17" s="95">
        <f>중앙!G18</f>
        <v>984.63757955031815</v>
      </c>
      <c r="R17" s="95">
        <f>고양!G18</f>
        <v>1221.6400604048804</v>
      </c>
      <c r="S17" s="95">
        <f>용인!G18</f>
        <v>597.89262215582778</v>
      </c>
      <c r="T17" s="95">
        <f>분당!G18</f>
        <v>994.33313558527743</v>
      </c>
      <c r="U17" s="95">
        <f>세종!G18</f>
        <v>80.796300291328066</v>
      </c>
      <c r="V17" s="95">
        <f>김해!G18</f>
        <v>85.10543630686557</v>
      </c>
      <c r="W17" s="95">
        <f>평택!G18</f>
        <v>9.6955560349593686</v>
      </c>
      <c r="X17" s="96">
        <f t="shared" si="1"/>
        <v>3974.1006903294565</v>
      </c>
      <c r="Y17" s="96">
        <f t="shared" si="3"/>
        <v>17909.211429591152</v>
      </c>
    </row>
    <row r="18" spans="1:25">
      <c r="A18" s="263"/>
      <c r="B18" s="93" t="s">
        <v>35</v>
      </c>
      <c r="C18" s="98">
        <f t="shared" ref="C18:H18" si="21">SUM(C16:C17)</f>
        <v>4255.0169926182707</v>
      </c>
      <c r="D18" s="98">
        <f t="shared" si="21"/>
        <v>3085.986254181772</v>
      </c>
      <c r="E18" s="98">
        <f t="shared" si="21"/>
        <v>1045.6472833476589</v>
      </c>
      <c r="F18" s="98">
        <f t="shared" si="21"/>
        <v>1076.9269127851123</v>
      </c>
      <c r="G18" s="98">
        <f t="shared" si="21"/>
        <v>1625.5288024570261</v>
      </c>
      <c r="H18" s="98">
        <f t="shared" si="21"/>
        <v>299.64702803435131</v>
      </c>
      <c r="I18" s="98">
        <f>SUM(I16:I17)</f>
        <v>180</v>
      </c>
      <c r="J18" s="98">
        <f>SUM(J16:J17)</f>
        <v>3539.360505038976</v>
      </c>
      <c r="K18" s="98">
        <f>SUM(K16:K17)</f>
        <v>7281</v>
      </c>
      <c r="L18" s="98">
        <f t="shared" si="20"/>
        <v>22389.113778463165</v>
      </c>
      <c r="M18" s="98">
        <f>SUM(M16:M17)</f>
        <v>372.86904616304616</v>
      </c>
      <c r="N18" s="98">
        <f>SUM(N16:N17)</f>
        <v>1592.2257577411051</v>
      </c>
      <c r="O18" s="98">
        <f>SUM(O16:O17)</f>
        <v>1433.9021568943742</v>
      </c>
      <c r="P18" s="99">
        <f t="shared" si="0"/>
        <v>3398.9969607985258</v>
      </c>
      <c r="Q18" s="98">
        <f t="shared" ref="Q18:W18" si="22">SUM(Q16:Q17)</f>
        <v>984.63757955031815</v>
      </c>
      <c r="R18" s="98">
        <f t="shared" si="22"/>
        <v>1221.6400604048804</v>
      </c>
      <c r="S18" s="98">
        <f t="shared" si="22"/>
        <v>597.89262215582778</v>
      </c>
      <c r="T18" s="98">
        <f t="shared" si="22"/>
        <v>994.33313558527743</v>
      </c>
      <c r="U18" s="98">
        <f t="shared" si="22"/>
        <v>80.796300291328066</v>
      </c>
      <c r="V18" s="98">
        <f t="shared" si="22"/>
        <v>85.10543630686557</v>
      </c>
      <c r="W18" s="98">
        <f t="shared" si="22"/>
        <v>9.6955560349593686</v>
      </c>
      <c r="X18" s="99">
        <f t="shared" si="1"/>
        <v>3974.1006903294565</v>
      </c>
      <c r="Y18" s="99">
        <f t="shared" si="3"/>
        <v>29762.211429591145</v>
      </c>
    </row>
    <row r="19" spans="1:25">
      <c r="A19" s="89" t="s">
        <v>102</v>
      </c>
      <c r="B19" s="89" t="s">
        <v>103</v>
      </c>
      <c r="C19" s="100">
        <f>동탄!G19</f>
        <v>0</v>
      </c>
      <c r="D19" s="100">
        <f>화성!G19</f>
        <v>0</v>
      </c>
      <c r="E19" s="100">
        <f>파주!G19</f>
        <v>0</v>
      </c>
      <c r="F19" s="100">
        <f>광교!G19</f>
        <v>3885.2729311672092</v>
      </c>
      <c r="G19" s="100">
        <f>판교!G19</f>
        <v>0</v>
      </c>
      <c r="H19" s="100">
        <f>삼송!G19</f>
        <v>0</v>
      </c>
      <c r="I19" s="100">
        <f>양산!G19</f>
        <v>0</v>
      </c>
      <c r="J19" s="100">
        <f>대구!G19</f>
        <v>4826.342849454446</v>
      </c>
      <c r="K19" s="100">
        <f>청주!G19</f>
        <v>0</v>
      </c>
      <c r="L19" s="92">
        <f>SUM(C19:K19)</f>
        <v>8711.6157806216543</v>
      </c>
      <c r="M19" s="100">
        <f>수원!G19</f>
        <v>0</v>
      </c>
      <c r="N19" s="100">
        <f>광주전남!G19</f>
        <v>0</v>
      </c>
      <c r="O19" s="100">
        <f>강남!G19</f>
        <v>0</v>
      </c>
      <c r="P19" s="96">
        <f t="shared" si="0"/>
        <v>0</v>
      </c>
      <c r="Q19" s="100">
        <f>중앙!G19</f>
        <v>0</v>
      </c>
      <c r="R19" s="100">
        <f>고양!G19</f>
        <v>0</v>
      </c>
      <c r="S19" s="100">
        <f>용인!G19</f>
        <v>0</v>
      </c>
      <c r="T19" s="100">
        <f>분당!G19</f>
        <v>0</v>
      </c>
      <c r="U19" s="100">
        <f>세종!G19</f>
        <v>0</v>
      </c>
      <c r="V19" s="100">
        <f>김해!G19</f>
        <v>0</v>
      </c>
      <c r="W19" s="100">
        <f>평택!G19</f>
        <v>0</v>
      </c>
      <c r="X19" s="96">
        <f t="shared" si="1"/>
        <v>0</v>
      </c>
      <c r="Y19" s="96">
        <f t="shared" si="3"/>
        <v>8711.6157806216543</v>
      </c>
    </row>
    <row r="20" spans="1:25">
      <c r="A20" s="263" t="s">
        <v>63</v>
      </c>
      <c r="B20" s="263"/>
      <c r="C20" s="95">
        <f>동탄!G20</f>
        <v>12.391418452548363</v>
      </c>
      <c r="D20" s="95">
        <f>화성!G20</f>
        <v>76</v>
      </c>
      <c r="E20" s="95">
        <f>파주!G20</f>
        <v>438.34314640812482</v>
      </c>
      <c r="F20" s="95">
        <f>광교!G20</f>
        <v>12.391418452548363</v>
      </c>
      <c r="G20" s="95">
        <f>판교!G20</f>
        <v>78.854481061671393</v>
      </c>
      <c r="H20" s="95">
        <f>삼송!G20</f>
        <v>19</v>
      </c>
      <c r="I20" s="95">
        <f>양산!G20</f>
        <v>3</v>
      </c>
      <c r="J20" s="95">
        <f>대구!G20</f>
        <v>102</v>
      </c>
      <c r="K20" s="95">
        <f>청주!G20</f>
        <v>16</v>
      </c>
      <c r="L20" s="92">
        <f>SUM(C20:K20)</f>
        <v>757.98046437489302</v>
      </c>
      <c r="M20" s="95">
        <f>수원!G20</f>
        <v>150</v>
      </c>
      <c r="N20" s="95">
        <f>광주전남!G20</f>
        <v>78.854481061671393</v>
      </c>
      <c r="O20" s="95">
        <f>강남!G20</f>
        <v>30</v>
      </c>
      <c r="P20" s="96">
        <f t="shared" si="0"/>
        <v>258.85448106167138</v>
      </c>
      <c r="Q20" s="95">
        <f>중앙!G20</f>
        <v>0</v>
      </c>
      <c r="R20" s="95">
        <f>고양!G20</f>
        <v>21</v>
      </c>
      <c r="S20" s="95">
        <f>용인!G20</f>
        <v>0</v>
      </c>
      <c r="T20" s="95">
        <f>분당!G20</f>
        <v>0</v>
      </c>
      <c r="U20" s="95">
        <f>세종!G20</f>
        <v>0</v>
      </c>
      <c r="V20" s="95">
        <f>김해!G20</f>
        <v>0</v>
      </c>
      <c r="W20" s="95">
        <f>평택!G20</f>
        <v>0</v>
      </c>
      <c r="X20" s="96">
        <f t="shared" si="1"/>
        <v>21</v>
      </c>
      <c r="Y20" s="96">
        <f t="shared" si="3"/>
        <v>1037.8349454365643</v>
      </c>
    </row>
    <row r="21" spans="1:25">
      <c r="A21" s="263" t="s">
        <v>36</v>
      </c>
      <c r="B21" s="97" t="s">
        <v>38</v>
      </c>
      <c r="C21" s="95">
        <f>동탄!G21</f>
        <v>0</v>
      </c>
      <c r="D21" s="95">
        <f>화성!G21</f>
        <v>0</v>
      </c>
      <c r="E21" s="95">
        <f>파주!G21</f>
        <v>17351</v>
      </c>
      <c r="F21" s="95">
        <f>광교!G21</f>
        <v>13568</v>
      </c>
      <c r="G21" s="95">
        <f>판교!G21</f>
        <v>0</v>
      </c>
      <c r="H21" s="95">
        <f>삼송!G21</f>
        <v>0</v>
      </c>
      <c r="I21" s="95">
        <f>양산!G21</f>
        <v>0</v>
      </c>
      <c r="J21" s="95">
        <f>대구!G21</f>
        <v>0</v>
      </c>
      <c r="K21" s="95">
        <f>청주!G21</f>
        <v>0</v>
      </c>
      <c r="L21" s="92">
        <f>SUM(C21:K21)</f>
        <v>30919</v>
      </c>
      <c r="M21" s="95">
        <f>수원!G21</f>
        <v>0</v>
      </c>
      <c r="N21" s="95">
        <f>광주전남!G21</f>
        <v>0</v>
      </c>
      <c r="O21" s="95">
        <f>강남!G21</f>
        <v>0</v>
      </c>
      <c r="P21" s="96">
        <f t="shared" si="0"/>
        <v>0</v>
      </c>
      <c r="Q21" s="95">
        <f>중앙!G21</f>
        <v>0</v>
      </c>
      <c r="R21" s="95">
        <f>고양!G21</f>
        <v>0</v>
      </c>
      <c r="S21" s="95">
        <f>용인!G21</f>
        <v>0</v>
      </c>
      <c r="T21" s="95">
        <f>분당!G21</f>
        <v>0</v>
      </c>
      <c r="U21" s="95">
        <f>세종!G21</f>
        <v>0</v>
      </c>
      <c r="V21" s="95">
        <f>김해!G21</f>
        <v>0</v>
      </c>
      <c r="W21" s="95">
        <f>평택!G21</f>
        <v>0</v>
      </c>
      <c r="X21" s="96">
        <f t="shared" si="1"/>
        <v>0</v>
      </c>
      <c r="Y21" s="96">
        <f t="shared" si="3"/>
        <v>30919</v>
      </c>
    </row>
    <row r="22" spans="1:25">
      <c r="A22" s="263"/>
      <c r="B22" s="97" t="s">
        <v>39</v>
      </c>
      <c r="C22" s="95">
        <f>동탄!G22</f>
        <v>363</v>
      </c>
      <c r="D22" s="95">
        <f>화성!G22</f>
        <v>633.08883366656175</v>
      </c>
      <c r="E22" s="95">
        <f>파주!G22</f>
        <v>619.29346139919278</v>
      </c>
      <c r="F22" s="95">
        <f>광교!G22</f>
        <v>164.79679715357111</v>
      </c>
      <c r="G22" s="95">
        <f>판교!G22</f>
        <v>180</v>
      </c>
      <c r="H22" s="95">
        <f>삼송!G22</f>
        <v>50</v>
      </c>
      <c r="I22" s="95">
        <f>양산!G22</f>
        <v>152.07649919036626</v>
      </c>
      <c r="J22" s="95">
        <f>대구!G22</f>
        <v>342.5</v>
      </c>
      <c r="K22" s="95">
        <f>청주!G22</f>
        <v>1610</v>
      </c>
      <c r="L22" s="92">
        <f>SUM(C22:K22)</f>
        <v>4114.755591409692</v>
      </c>
      <c r="M22" s="95">
        <f>수원!G22</f>
        <v>171.50849630913527</v>
      </c>
      <c r="N22" s="95">
        <f>광주전남!G22</f>
        <v>386</v>
      </c>
      <c r="O22" s="95">
        <f>강남!G22</f>
        <v>107</v>
      </c>
      <c r="P22" s="96">
        <f t="shared" si="0"/>
        <v>664.50849630913524</v>
      </c>
      <c r="Q22" s="95">
        <f>중앙!G22</f>
        <v>29</v>
      </c>
      <c r="R22" s="95">
        <f>고양!G22</f>
        <v>0</v>
      </c>
      <c r="S22" s="95">
        <f>용인!G22</f>
        <v>0</v>
      </c>
      <c r="T22" s="95">
        <f>분당!G22</f>
        <v>0</v>
      </c>
      <c r="U22" s="95">
        <f>세종!G22</f>
        <v>0</v>
      </c>
      <c r="V22" s="95">
        <f>김해!G22</f>
        <v>0</v>
      </c>
      <c r="W22" s="95">
        <f>평택!G22</f>
        <v>0</v>
      </c>
      <c r="X22" s="96">
        <f t="shared" si="1"/>
        <v>29</v>
      </c>
      <c r="Y22" s="96">
        <f t="shared" si="3"/>
        <v>4808.2640877188269</v>
      </c>
    </row>
    <row r="23" spans="1:25">
      <c r="A23" s="263"/>
      <c r="B23" s="97" t="s">
        <v>37</v>
      </c>
      <c r="C23" s="95">
        <f>동탄!G23</f>
        <v>2</v>
      </c>
      <c r="D23" s="95">
        <f>화성!G23</f>
        <v>79</v>
      </c>
      <c r="E23" s="95">
        <f>파주!G23</f>
        <v>155</v>
      </c>
      <c r="F23" s="95">
        <f>광교!G23</f>
        <v>13</v>
      </c>
      <c r="G23" s="95">
        <f>판교!G23</f>
        <v>144</v>
      </c>
      <c r="H23" s="95">
        <f>삼송!G23</f>
        <v>20</v>
      </c>
      <c r="I23" s="95">
        <f>양산!G23</f>
        <v>91</v>
      </c>
      <c r="J23" s="95">
        <f>대구!G23</f>
        <v>43.5</v>
      </c>
      <c r="K23" s="95">
        <f>청주!G23</f>
        <v>170</v>
      </c>
      <c r="L23" s="92">
        <f>SUM(C23:K23)</f>
        <v>717.5</v>
      </c>
      <c r="M23" s="95">
        <f>수원!G23</f>
        <v>6</v>
      </c>
      <c r="N23" s="95">
        <f>광주전남!G23</f>
        <v>84</v>
      </c>
      <c r="O23" s="95">
        <f>강남!G23</f>
        <v>45.059703463812227</v>
      </c>
      <c r="P23" s="96">
        <f t="shared" si="0"/>
        <v>135.05970346381224</v>
      </c>
      <c r="Q23" s="95">
        <f>중앙!G23</f>
        <v>0</v>
      </c>
      <c r="R23" s="95">
        <f>고양!G23</f>
        <v>10</v>
      </c>
      <c r="S23" s="95">
        <f>용인!G23</f>
        <v>0</v>
      </c>
      <c r="T23" s="95">
        <f>분당!G23</f>
        <v>0</v>
      </c>
      <c r="U23" s="95">
        <f>세종!G23</f>
        <v>0</v>
      </c>
      <c r="V23" s="95">
        <f>김해!G23</f>
        <v>0</v>
      </c>
      <c r="W23" s="95">
        <f>평택!G23</f>
        <v>0</v>
      </c>
      <c r="X23" s="96">
        <f t="shared" si="1"/>
        <v>10</v>
      </c>
      <c r="Y23" s="96">
        <f t="shared" si="3"/>
        <v>862.55970346381218</v>
      </c>
    </row>
    <row r="24" spans="1:25">
      <c r="A24" s="263"/>
      <c r="B24" s="93" t="s">
        <v>35</v>
      </c>
      <c r="C24" s="98">
        <f t="shared" ref="C24:H24" si="23">SUM(C21:C23)</f>
        <v>365</v>
      </c>
      <c r="D24" s="98">
        <f t="shared" si="23"/>
        <v>712.08883366656175</v>
      </c>
      <c r="E24" s="98">
        <f t="shared" si="23"/>
        <v>18125.293461399193</v>
      </c>
      <c r="F24" s="98">
        <f t="shared" si="23"/>
        <v>13745.796797153571</v>
      </c>
      <c r="G24" s="98">
        <f t="shared" si="23"/>
        <v>324</v>
      </c>
      <c r="H24" s="98">
        <f t="shared" si="23"/>
        <v>70</v>
      </c>
      <c r="I24" s="98">
        <f>SUM(I21:I23)</f>
        <v>243.07649919036626</v>
      </c>
      <c r="J24" s="98">
        <f>SUM(J21:J23)</f>
        <v>386</v>
      </c>
      <c r="K24" s="98">
        <f>SUM(K21:K23)</f>
        <v>1780</v>
      </c>
      <c r="L24" s="98">
        <f t="shared" ref="L24" si="24">SUM(C24:K24)</f>
        <v>35751.255591409688</v>
      </c>
      <c r="M24" s="98">
        <f>SUM(M21:M23)</f>
        <v>177.50849630913527</v>
      </c>
      <c r="N24" s="98">
        <f>SUM(N21:N23)</f>
        <v>470</v>
      </c>
      <c r="O24" s="98">
        <f>SUM(O21:O23)</f>
        <v>152.05970346381224</v>
      </c>
      <c r="P24" s="99">
        <f t="shared" si="0"/>
        <v>799.56819977294754</v>
      </c>
      <c r="Q24" s="98">
        <f t="shared" ref="Q24:W24" si="25">SUM(Q21:Q23)</f>
        <v>29</v>
      </c>
      <c r="R24" s="98">
        <f t="shared" si="25"/>
        <v>10</v>
      </c>
      <c r="S24" s="98">
        <f t="shared" si="25"/>
        <v>0</v>
      </c>
      <c r="T24" s="98">
        <f t="shared" si="25"/>
        <v>0</v>
      </c>
      <c r="U24" s="98">
        <f t="shared" si="25"/>
        <v>0</v>
      </c>
      <c r="V24" s="98">
        <f t="shared" si="25"/>
        <v>0</v>
      </c>
      <c r="W24" s="98">
        <f t="shared" si="25"/>
        <v>0</v>
      </c>
      <c r="X24" s="99">
        <f t="shared" si="1"/>
        <v>39</v>
      </c>
      <c r="Y24" s="99">
        <f t="shared" si="3"/>
        <v>36589.823791182636</v>
      </c>
    </row>
    <row r="25" spans="1:25">
      <c r="A25" s="255" t="s">
        <v>115</v>
      </c>
      <c r="B25" s="255"/>
      <c r="C25" s="56">
        <f>C14+C15+C19+C18+C20+C24</f>
        <v>4632.4084110708191</v>
      </c>
      <c r="D25" s="56">
        <f t="shared" ref="D25:Y25" si="26">D14+D15+D19+D18+D20+D24</f>
        <v>3911.0750878483336</v>
      </c>
      <c r="E25" s="56">
        <f t="shared" si="26"/>
        <v>19609.283891154977</v>
      </c>
      <c r="F25" s="56">
        <f t="shared" si="26"/>
        <v>18748.388059558441</v>
      </c>
      <c r="G25" s="56">
        <f t="shared" si="26"/>
        <v>2034.3832835186975</v>
      </c>
      <c r="H25" s="56">
        <f t="shared" si="26"/>
        <v>388.64702803435131</v>
      </c>
      <c r="I25" s="56">
        <f t="shared" si="26"/>
        <v>437.07649919036623</v>
      </c>
      <c r="J25" s="56">
        <f t="shared" si="26"/>
        <v>8853.703354493422</v>
      </c>
      <c r="K25" s="56">
        <f t="shared" si="26"/>
        <v>9077</v>
      </c>
      <c r="L25" s="56">
        <f t="shared" si="26"/>
        <v>67691.965614869405</v>
      </c>
      <c r="M25" s="56">
        <f t="shared" si="26"/>
        <v>700.3775424721814</v>
      </c>
      <c r="N25" s="56">
        <f t="shared" si="26"/>
        <v>2141.0802388027764</v>
      </c>
      <c r="O25" s="56">
        <f t="shared" si="26"/>
        <v>1615.9618603581864</v>
      </c>
      <c r="P25" s="56">
        <f t="shared" si="26"/>
        <v>4457.4196416331451</v>
      </c>
      <c r="Q25" s="56">
        <f t="shared" si="26"/>
        <v>1013.6375795503182</v>
      </c>
      <c r="R25" s="56">
        <f t="shared" si="26"/>
        <v>1252.6400604048804</v>
      </c>
      <c r="S25" s="56">
        <f t="shared" si="26"/>
        <v>597.89262215582778</v>
      </c>
      <c r="T25" s="56">
        <f t="shared" si="26"/>
        <v>994.33313558527743</v>
      </c>
      <c r="U25" s="56">
        <f t="shared" si="26"/>
        <v>80.796300291328066</v>
      </c>
      <c r="V25" s="56">
        <f t="shared" si="26"/>
        <v>85.10543630686557</v>
      </c>
      <c r="W25" s="56">
        <f t="shared" si="26"/>
        <v>9.6955560349593686</v>
      </c>
      <c r="X25" s="56">
        <f t="shared" si="26"/>
        <v>4034.1006903294565</v>
      </c>
      <c r="Y25" s="56">
        <f t="shared" si="26"/>
        <v>76183.485946831992</v>
      </c>
    </row>
    <row r="26" spans="1:25">
      <c r="A26" s="224" t="s">
        <v>282</v>
      </c>
      <c r="B26" s="224" t="s">
        <v>354</v>
      </c>
      <c r="C26" s="95">
        <f>동탄!G25</f>
        <v>1226.6178554573119</v>
      </c>
      <c r="D26" s="95">
        <f>화성!G25</f>
        <v>358.84701646631231</v>
      </c>
      <c r="E26" s="95">
        <f>파주!G25</f>
        <v>455.43109957318728</v>
      </c>
      <c r="F26" s="95">
        <f>광교!G25</f>
        <v>146.46816998624996</v>
      </c>
      <c r="G26" s="95">
        <f>판교!G25</f>
        <v>1483.7862437737494</v>
      </c>
      <c r="H26" s="95">
        <f>삼송!G25</f>
        <v>752.50675739312453</v>
      </c>
      <c r="I26" s="95">
        <f>양산!G25</f>
        <v>2.1227271012499989</v>
      </c>
      <c r="J26" s="95">
        <f>대구!G25</f>
        <v>678.21130884937475</v>
      </c>
      <c r="K26" s="95">
        <f>청주!G25</f>
        <v>3149.0656547043736</v>
      </c>
      <c r="L26" s="92">
        <f>SUM(C26:K26)</f>
        <v>8253.0568333049341</v>
      </c>
      <c r="M26" s="95">
        <f>수원!G25</f>
        <v>45.638632676874984</v>
      </c>
      <c r="N26" s="95">
        <f>광주전남!G25</f>
        <v>563.58404538187483</v>
      </c>
      <c r="O26" s="95">
        <f>강남!G25</f>
        <v>1326.7044382812492</v>
      </c>
      <c r="P26" s="96">
        <f t="shared" ref="P26" si="27">SUM(M26:O26)</f>
        <v>1935.927116339999</v>
      </c>
      <c r="Q26" s="95">
        <f>중앙!G25</f>
        <v>1106.3277207499996</v>
      </c>
      <c r="R26" s="95">
        <f>고양!G25</f>
        <v>734.06621924999979</v>
      </c>
      <c r="S26" s="95">
        <f>용인!G25</f>
        <v>571.98607112499974</v>
      </c>
      <c r="T26" s="95">
        <f>분당!G25</f>
        <v>0</v>
      </c>
      <c r="U26" s="95">
        <f>세종!G25</f>
        <v>0</v>
      </c>
      <c r="V26" s="95">
        <f>김해!G25</f>
        <v>273.96773424999992</v>
      </c>
      <c r="W26" s="95">
        <f>평택!G25</f>
        <v>0</v>
      </c>
      <c r="X26" s="96">
        <f t="shared" ref="X26" si="28">SUM(Q26:W26)</f>
        <v>2686.3477453749992</v>
      </c>
      <c r="Y26" s="96">
        <f t="shared" ref="Y26" si="29">L26+P26+X26</f>
        <v>12875.331695019933</v>
      </c>
    </row>
    <row r="29" spans="1:25">
      <c r="C29" s="262"/>
      <c r="D29" s="262"/>
      <c r="E29" s="262"/>
      <c r="F29" s="262"/>
      <c r="G29" s="262"/>
      <c r="H29" s="262"/>
      <c r="I29" s="262"/>
      <c r="J29" s="262"/>
      <c r="K29" s="262"/>
    </row>
    <row r="30" spans="1:25">
      <c r="C30" s="262"/>
      <c r="D30" s="262"/>
      <c r="E30" s="262"/>
      <c r="F30" s="262"/>
      <c r="G30" s="262"/>
      <c r="H30" s="262"/>
      <c r="I30" s="262"/>
      <c r="J30" s="262"/>
      <c r="K30" s="246"/>
    </row>
    <row r="31" spans="1:25">
      <c r="B31" s="247" t="s">
        <v>33</v>
      </c>
      <c r="C31" s="21">
        <f>INT(C4*0.9)-300</f>
        <v>608</v>
      </c>
      <c r="D31" s="21">
        <f t="shared" ref="D31:O32" si="30">INT(D4*0.9)</f>
        <v>350</v>
      </c>
      <c r="E31" s="21">
        <f>INT(E4*0.9)-250</f>
        <v>506</v>
      </c>
      <c r="F31" s="21">
        <f t="shared" si="30"/>
        <v>42</v>
      </c>
      <c r="G31" s="21">
        <f t="shared" si="30"/>
        <v>292</v>
      </c>
      <c r="H31" s="21">
        <f t="shared" si="30"/>
        <v>274</v>
      </c>
      <c r="I31" s="21">
        <f t="shared" si="30"/>
        <v>155</v>
      </c>
      <c r="J31" s="21">
        <f t="shared" si="30"/>
        <v>2</v>
      </c>
      <c r="K31" s="21">
        <f t="shared" si="30"/>
        <v>28</v>
      </c>
      <c r="L31" s="21"/>
      <c r="M31" s="21">
        <f t="shared" si="30"/>
        <v>292</v>
      </c>
      <c r="N31" s="21">
        <f t="shared" si="30"/>
        <v>228</v>
      </c>
      <c r="O31" s="21">
        <f t="shared" si="30"/>
        <v>153</v>
      </c>
      <c r="P31" s="21"/>
      <c r="Q31" s="21">
        <f t="shared" ref="Q31:W32" si="31">INT(Q4*0.9)</f>
        <v>197</v>
      </c>
      <c r="R31" s="21">
        <f t="shared" si="31"/>
        <v>101</v>
      </c>
      <c r="S31" s="21">
        <f t="shared" si="31"/>
        <v>82</v>
      </c>
      <c r="T31" s="21">
        <f t="shared" si="31"/>
        <v>38</v>
      </c>
      <c r="U31" s="21">
        <f t="shared" si="31"/>
        <v>30</v>
      </c>
      <c r="V31" s="21">
        <f t="shared" si="31"/>
        <v>143</v>
      </c>
      <c r="W31" s="21">
        <f t="shared" si="31"/>
        <v>0</v>
      </c>
      <c r="Y31" s="21">
        <f>SUM(C31:X31)</f>
        <v>3521</v>
      </c>
    </row>
    <row r="32" spans="1:25">
      <c r="B32" s="247" t="s">
        <v>95</v>
      </c>
      <c r="C32" s="21">
        <f t="shared" ref="C32:K32" si="32">INT(C5*0.9)</f>
        <v>3157</v>
      </c>
      <c r="D32" s="21">
        <f t="shared" si="32"/>
        <v>1263</v>
      </c>
      <c r="E32" s="21">
        <f t="shared" si="32"/>
        <v>3840</v>
      </c>
      <c r="F32" s="21">
        <f t="shared" si="32"/>
        <v>1013</v>
      </c>
      <c r="G32" s="21">
        <f t="shared" si="32"/>
        <v>1631</v>
      </c>
      <c r="H32" s="21">
        <f t="shared" si="32"/>
        <v>603</v>
      </c>
      <c r="I32" s="21">
        <f t="shared" si="32"/>
        <v>774</v>
      </c>
      <c r="J32" s="21">
        <f t="shared" si="32"/>
        <v>1003</v>
      </c>
      <c r="K32" s="21">
        <f t="shared" si="32"/>
        <v>1043</v>
      </c>
      <c r="L32" s="21"/>
      <c r="M32" s="21">
        <f t="shared" si="30"/>
        <v>813</v>
      </c>
      <c r="N32" s="21">
        <f t="shared" si="30"/>
        <v>1158</v>
      </c>
      <c r="O32" s="21">
        <f t="shared" si="30"/>
        <v>1747</v>
      </c>
      <c r="P32" s="21"/>
      <c r="Q32" s="21">
        <f t="shared" si="31"/>
        <v>1283</v>
      </c>
      <c r="R32" s="21">
        <f t="shared" si="31"/>
        <v>606</v>
      </c>
      <c r="S32" s="21">
        <f t="shared" si="31"/>
        <v>450</v>
      </c>
      <c r="T32" s="21">
        <f t="shared" si="31"/>
        <v>583</v>
      </c>
      <c r="U32" s="21">
        <f t="shared" si="31"/>
        <v>108</v>
      </c>
      <c r="V32" s="21">
        <f t="shared" si="31"/>
        <v>294</v>
      </c>
      <c r="W32" s="21">
        <f t="shared" si="31"/>
        <v>157</v>
      </c>
      <c r="Y32" s="21">
        <f t="shared" ref="Y32:Y39" si="33">SUM(C32:X32)</f>
        <v>21526</v>
      </c>
    </row>
    <row r="33" spans="2:26">
      <c r="B33" s="247" t="s">
        <v>96</v>
      </c>
      <c r="C33" s="21">
        <f>C6</f>
        <v>8590.2626469740007</v>
      </c>
      <c r="D33" s="21">
        <f t="shared" ref="D33:Y33" si="34">D6</f>
        <v>6636.0694639277453</v>
      </c>
      <c r="E33" s="21">
        <f t="shared" si="34"/>
        <v>6201.9240103623424</v>
      </c>
      <c r="F33" s="21">
        <f t="shared" si="34"/>
        <v>2548.8539531904294</v>
      </c>
      <c r="G33" s="21">
        <f t="shared" si="34"/>
        <v>2645.8095135400231</v>
      </c>
      <c r="H33" s="21">
        <f t="shared" si="34"/>
        <v>1908.9472548831113</v>
      </c>
      <c r="I33" s="21">
        <f t="shared" si="34"/>
        <v>2378.6430805766986</v>
      </c>
      <c r="J33" s="21">
        <f t="shared" si="34"/>
        <v>3935.3184661896194</v>
      </c>
      <c r="K33" s="21">
        <f t="shared" si="34"/>
        <v>3575.5056088922383</v>
      </c>
      <c r="L33" s="21"/>
      <c r="M33" s="21">
        <f t="shared" si="34"/>
        <v>2645.8095135400231</v>
      </c>
      <c r="N33" s="21">
        <f t="shared" si="34"/>
        <v>1883.0924387898863</v>
      </c>
      <c r="O33" s="21">
        <f t="shared" si="34"/>
        <v>1321.8274727661274</v>
      </c>
      <c r="P33" s="21"/>
      <c r="Q33" s="21">
        <f t="shared" si="34"/>
        <v>1146.2301801329743</v>
      </c>
      <c r="R33" s="21">
        <f t="shared" si="34"/>
        <v>753.02151871517765</v>
      </c>
      <c r="S33" s="21">
        <f t="shared" si="34"/>
        <v>729.32127062972143</v>
      </c>
      <c r="T33" s="21">
        <f t="shared" si="34"/>
        <v>650.67953834616208</v>
      </c>
      <c r="U33" s="21">
        <f t="shared" si="34"/>
        <v>294.09853306043419</v>
      </c>
      <c r="V33" s="21">
        <f t="shared" si="34"/>
        <v>43.091360155374971</v>
      </c>
      <c r="W33" s="21">
        <f t="shared" si="34"/>
        <v>43.091360155374971</v>
      </c>
      <c r="X33" s="21"/>
      <c r="Y33" s="21">
        <f t="shared" si="34"/>
        <v>47931.597184827457</v>
      </c>
    </row>
    <row r="34" spans="2:26">
      <c r="B34" s="247" t="s">
        <v>97</v>
      </c>
      <c r="C34" s="21">
        <f t="shared" ref="C34:K37" si="35">INT(C7*0.9)</f>
        <v>4939</v>
      </c>
      <c r="D34" s="21">
        <f t="shared" si="35"/>
        <v>355</v>
      </c>
      <c r="E34" s="21">
        <f t="shared" si="35"/>
        <v>618</v>
      </c>
      <c r="F34" s="21">
        <f t="shared" si="35"/>
        <v>179</v>
      </c>
      <c r="G34" s="21">
        <f t="shared" si="35"/>
        <v>179</v>
      </c>
      <c r="H34" s="21">
        <f t="shared" si="35"/>
        <v>151</v>
      </c>
      <c r="I34" s="21">
        <f t="shared" si="35"/>
        <v>222</v>
      </c>
      <c r="J34" s="21">
        <f t="shared" si="35"/>
        <v>254</v>
      </c>
      <c r="K34" s="21">
        <f t="shared" si="35"/>
        <v>193</v>
      </c>
      <c r="L34" s="21"/>
      <c r="M34" s="21">
        <f t="shared" ref="M34:O37" si="36">INT(M7*0.9)</f>
        <v>179</v>
      </c>
      <c r="N34" s="21">
        <f t="shared" si="36"/>
        <v>198</v>
      </c>
      <c r="O34" s="21">
        <f t="shared" si="36"/>
        <v>560</v>
      </c>
      <c r="P34" s="21"/>
      <c r="Q34" s="21">
        <f t="shared" ref="Q34:W37" si="37">INT(Q7*0.9)</f>
        <v>656</v>
      </c>
      <c r="R34" s="21">
        <f t="shared" si="37"/>
        <v>513</v>
      </c>
      <c r="S34" s="21">
        <f t="shared" si="37"/>
        <v>113</v>
      </c>
      <c r="T34" s="21">
        <f t="shared" si="37"/>
        <v>80</v>
      </c>
      <c r="U34" s="21">
        <f t="shared" si="37"/>
        <v>58</v>
      </c>
      <c r="V34" s="21">
        <f t="shared" si="37"/>
        <v>50</v>
      </c>
      <c r="W34" s="21">
        <f t="shared" si="37"/>
        <v>88</v>
      </c>
      <c r="Y34" s="21">
        <f t="shared" si="33"/>
        <v>9585</v>
      </c>
    </row>
    <row r="35" spans="2:26">
      <c r="B35" s="247" t="s">
        <v>281</v>
      </c>
      <c r="C35" s="21">
        <f t="shared" si="35"/>
        <v>2164</v>
      </c>
      <c r="D35" s="21">
        <f t="shared" si="35"/>
        <v>812</v>
      </c>
      <c r="E35" s="21">
        <f t="shared" si="35"/>
        <v>686</v>
      </c>
      <c r="F35" s="21">
        <f t="shared" si="35"/>
        <v>1186</v>
      </c>
      <c r="G35" s="21">
        <f t="shared" si="35"/>
        <v>448</v>
      </c>
      <c r="H35" s="21">
        <f t="shared" si="35"/>
        <v>374</v>
      </c>
      <c r="I35" s="21">
        <f t="shared" si="35"/>
        <v>854</v>
      </c>
      <c r="J35" s="21">
        <f t="shared" si="35"/>
        <v>737</v>
      </c>
      <c r="K35" s="21">
        <f t="shared" si="35"/>
        <v>355</v>
      </c>
      <c r="L35" s="21"/>
      <c r="M35" s="21">
        <f t="shared" si="36"/>
        <v>448</v>
      </c>
      <c r="N35" s="21">
        <f t="shared" si="36"/>
        <v>680</v>
      </c>
      <c r="O35" s="21">
        <f t="shared" si="36"/>
        <v>608</v>
      </c>
      <c r="P35" s="21"/>
      <c r="Q35" s="21">
        <f t="shared" si="37"/>
        <v>1004</v>
      </c>
      <c r="R35" s="21">
        <f t="shared" si="37"/>
        <v>1192</v>
      </c>
      <c r="S35" s="21">
        <f t="shared" si="37"/>
        <v>213</v>
      </c>
      <c r="T35" s="21">
        <f t="shared" si="37"/>
        <v>424</v>
      </c>
      <c r="U35" s="21">
        <f t="shared" si="37"/>
        <v>320</v>
      </c>
      <c r="V35" s="21">
        <f t="shared" si="37"/>
        <v>252</v>
      </c>
      <c r="W35" s="21">
        <f t="shared" si="37"/>
        <v>26</v>
      </c>
      <c r="Y35" s="21">
        <f t="shared" si="33"/>
        <v>12783</v>
      </c>
    </row>
    <row r="36" spans="2:26">
      <c r="B36" s="247" t="s">
        <v>279</v>
      </c>
      <c r="C36" s="21">
        <f t="shared" si="35"/>
        <v>720</v>
      </c>
      <c r="D36" s="21">
        <f t="shared" si="35"/>
        <v>556</v>
      </c>
      <c r="E36" s="21">
        <f t="shared" si="35"/>
        <v>519</v>
      </c>
      <c r="F36" s="21">
        <f t="shared" si="35"/>
        <v>213</v>
      </c>
      <c r="G36" s="21">
        <f t="shared" si="35"/>
        <v>222</v>
      </c>
      <c r="H36" s="21">
        <f t="shared" si="35"/>
        <v>48</v>
      </c>
      <c r="I36" s="21">
        <f t="shared" si="35"/>
        <v>198</v>
      </c>
      <c r="J36" s="21">
        <f t="shared" si="35"/>
        <v>329</v>
      </c>
      <c r="K36" s="21">
        <f t="shared" si="35"/>
        <v>299</v>
      </c>
      <c r="L36" s="21"/>
      <c r="M36" s="21">
        <f t="shared" si="36"/>
        <v>222</v>
      </c>
      <c r="N36" s="21">
        <f t="shared" si="36"/>
        <v>152</v>
      </c>
      <c r="O36" s="21">
        <f t="shared" si="36"/>
        <v>106</v>
      </c>
      <c r="P36" s="21"/>
      <c r="Q36" s="21">
        <f t="shared" si="37"/>
        <v>93</v>
      </c>
      <c r="R36" s="21">
        <f t="shared" si="37"/>
        <v>61</v>
      </c>
      <c r="S36" s="21">
        <f t="shared" si="37"/>
        <v>59</v>
      </c>
      <c r="T36" s="21">
        <f t="shared" si="37"/>
        <v>52</v>
      </c>
      <c r="U36" s="21">
        <f t="shared" si="37"/>
        <v>24</v>
      </c>
      <c r="V36" s="21">
        <f t="shared" si="37"/>
        <v>3</v>
      </c>
      <c r="W36" s="21">
        <f t="shared" si="37"/>
        <v>3</v>
      </c>
      <c r="Y36" s="21">
        <f t="shared" si="33"/>
        <v>3879</v>
      </c>
    </row>
    <row r="37" spans="2:26">
      <c r="B37" s="247" t="s">
        <v>280</v>
      </c>
      <c r="C37" s="21">
        <f t="shared" si="35"/>
        <v>80</v>
      </c>
      <c r="D37" s="21">
        <f t="shared" si="35"/>
        <v>62</v>
      </c>
      <c r="E37" s="21">
        <f t="shared" si="35"/>
        <v>58</v>
      </c>
      <c r="F37" s="21">
        <f t="shared" si="35"/>
        <v>23</v>
      </c>
      <c r="G37" s="21">
        <f t="shared" si="35"/>
        <v>24</v>
      </c>
      <c r="H37" s="21">
        <f t="shared" si="35"/>
        <v>5</v>
      </c>
      <c r="I37" s="21">
        <f t="shared" si="35"/>
        <v>22</v>
      </c>
      <c r="J37" s="21">
        <f t="shared" si="35"/>
        <v>36</v>
      </c>
      <c r="K37" s="21">
        <f t="shared" si="35"/>
        <v>32</v>
      </c>
      <c r="L37" s="21"/>
      <c r="M37" s="21">
        <f t="shared" si="36"/>
        <v>24</v>
      </c>
      <c r="N37" s="21">
        <f t="shared" si="36"/>
        <v>16</v>
      </c>
      <c r="O37" s="21">
        <f t="shared" si="36"/>
        <v>11</v>
      </c>
      <c r="P37" s="21"/>
      <c r="Q37" s="21">
        <f t="shared" si="37"/>
        <v>10</v>
      </c>
      <c r="R37" s="21">
        <f t="shared" si="37"/>
        <v>6</v>
      </c>
      <c r="S37" s="21">
        <f t="shared" si="37"/>
        <v>6</v>
      </c>
      <c r="T37" s="21">
        <f t="shared" si="37"/>
        <v>5</v>
      </c>
      <c r="U37" s="21">
        <f t="shared" si="37"/>
        <v>2</v>
      </c>
      <c r="V37" s="21">
        <f t="shared" si="37"/>
        <v>0</v>
      </c>
      <c r="W37" s="21">
        <f t="shared" si="37"/>
        <v>0</v>
      </c>
      <c r="Y37" s="21">
        <f t="shared" si="33"/>
        <v>422</v>
      </c>
    </row>
    <row r="38" spans="2:26">
      <c r="C38" s="21"/>
      <c r="D38" s="21"/>
      <c r="E38" s="21"/>
      <c r="F38" s="21"/>
      <c r="G38" s="21"/>
      <c r="H38" s="21"/>
      <c r="I38" s="21"/>
      <c r="J38" s="21"/>
      <c r="K38" s="21"/>
      <c r="L38" s="246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Y38" s="21"/>
    </row>
    <row r="39" spans="2:26">
      <c r="B39" s="247" t="s">
        <v>99</v>
      </c>
      <c r="C39" s="21">
        <f t="shared" ref="C39:K39" si="38">INT(C12*0.9)</f>
        <v>419</v>
      </c>
      <c r="D39" s="21">
        <f t="shared" si="38"/>
        <v>352</v>
      </c>
      <c r="E39" s="21">
        <f t="shared" si="38"/>
        <v>535</v>
      </c>
      <c r="F39" s="21">
        <f t="shared" si="38"/>
        <v>223</v>
      </c>
      <c r="G39" s="21">
        <f t="shared" si="38"/>
        <v>204</v>
      </c>
      <c r="H39" s="21">
        <f t="shared" si="38"/>
        <v>218</v>
      </c>
      <c r="I39" s="21">
        <f t="shared" si="38"/>
        <v>637</v>
      </c>
      <c r="J39" s="21">
        <f t="shared" si="38"/>
        <v>403</v>
      </c>
      <c r="K39" s="21">
        <f t="shared" si="38"/>
        <v>419</v>
      </c>
      <c r="L39" s="21"/>
      <c r="M39" s="21">
        <f t="shared" ref="M39:O39" si="39">INT(M12*0.9)</f>
        <v>204</v>
      </c>
      <c r="N39" s="21">
        <f t="shared" si="39"/>
        <v>742</v>
      </c>
      <c r="O39" s="21">
        <f t="shared" si="39"/>
        <v>226</v>
      </c>
      <c r="P39" s="21"/>
      <c r="Q39" s="21">
        <f t="shared" ref="Q39:W39" si="40">INT(Q12*0.9)</f>
        <v>227</v>
      </c>
      <c r="R39" s="21">
        <f t="shared" si="40"/>
        <v>95</v>
      </c>
      <c r="S39" s="21">
        <f t="shared" si="40"/>
        <v>182</v>
      </c>
      <c r="T39" s="21">
        <f t="shared" si="40"/>
        <v>62</v>
      </c>
      <c r="U39" s="21">
        <f t="shared" si="40"/>
        <v>74</v>
      </c>
      <c r="V39" s="21">
        <f t="shared" si="40"/>
        <v>152</v>
      </c>
      <c r="W39" s="21">
        <f t="shared" si="40"/>
        <v>48</v>
      </c>
      <c r="Y39" s="21">
        <f t="shared" si="33"/>
        <v>5422</v>
      </c>
    </row>
    <row r="40" spans="2:26"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Y40" s="21">
        <f>SUM(Y31:Y39)</f>
        <v>105069.59718482746</v>
      </c>
      <c r="Z40" s="21">
        <f>Y13-Y40</f>
        <v>7030.1933615464077</v>
      </c>
    </row>
    <row r="41" spans="2:26">
      <c r="C41" s="21">
        <f>C14</f>
        <v>0</v>
      </c>
      <c r="D41" s="21">
        <f t="shared" ref="D41:W41" si="41">D14</f>
        <v>22</v>
      </c>
      <c r="E41" s="21">
        <f t="shared" si="41"/>
        <v>0</v>
      </c>
      <c r="F41" s="21">
        <f t="shared" si="41"/>
        <v>28</v>
      </c>
      <c r="G41" s="21">
        <f t="shared" si="41"/>
        <v>6</v>
      </c>
      <c r="H41" s="21">
        <f t="shared" si="41"/>
        <v>0</v>
      </c>
      <c r="I41" s="21">
        <f t="shared" si="41"/>
        <v>11</v>
      </c>
      <c r="J41" s="21">
        <f t="shared" si="41"/>
        <v>0</v>
      </c>
      <c r="K41" s="21">
        <f t="shared" si="41"/>
        <v>0</v>
      </c>
      <c r="L41" s="21"/>
      <c r="M41" s="21">
        <f t="shared" si="41"/>
        <v>0</v>
      </c>
      <c r="N41" s="21">
        <f t="shared" si="41"/>
        <v>0</v>
      </c>
      <c r="O41" s="21">
        <f t="shared" si="41"/>
        <v>0</v>
      </c>
      <c r="P41" s="21"/>
      <c r="Q41" s="21">
        <f t="shared" si="41"/>
        <v>0</v>
      </c>
      <c r="R41" s="21">
        <f t="shared" si="41"/>
        <v>0</v>
      </c>
      <c r="S41" s="21">
        <f t="shared" si="41"/>
        <v>0</v>
      </c>
      <c r="T41" s="21">
        <f t="shared" si="41"/>
        <v>0</v>
      </c>
      <c r="U41" s="21">
        <f t="shared" si="41"/>
        <v>0</v>
      </c>
      <c r="V41" s="21">
        <f t="shared" si="41"/>
        <v>0</v>
      </c>
      <c r="W41" s="21">
        <f t="shared" si="41"/>
        <v>0</v>
      </c>
      <c r="Y41" s="21">
        <f t="shared" ref="Y41:Y51" si="42">SUM(C41:W41)</f>
        <v>67</v>
      </c>
    </row>
    <row r="42" spans="2:26">
      <c r="C42" s="21">
        <f t="shared" ref="C42:W42" si="43">C15</f>
        <v>0</v>
      </c>
      <c r="D42" s="21">
        <f t="shared" si="43"/>
        <v>15</v>
      </c>
      <c r="E42" s="21">
        <f t="shared" si="43"/>
        <v>0</v>
      </c>
      <c r="F42" s="21">
        <f t="shared" si="43"/>
        <v>0</v>
      </c>
      <c r="G42" s="21">
        <f t="shared" si="43"/>
        <v>0</v>
      </c>
      <c r="H42" s="21">
        <f t="shared" si="43"/>
        <v>0</v>
      </c>
      <c r="I42" s="21">
        <f t="shared" si="43"/>
        <v>0</v>
      </c>
      <c r="J42" s="21">
        <f t="shared" si="43"/>
        <v>0</v>
      </c>
      <c r="K42" s="21">
        <f t="shared" si="43"/>
        <v>0</v>
      </c>
      <c r="L42" s="21"/>
      <c r="M42" s="21">
        <f t="shared" si="43"/>
        <v>0</v>
      </c>
      <c r="N42" s="21">
        <f t="shared" si="43"/>
        <v>0</v>
      </c>
      <c r="O42" s="21">
        <f t="shared" si="43"/>
        <v>0</v>
      </c>
      <c r="P42" s="21"/>
      <c r="Q42" s="21">
        <f t="shared" si="43"/>
        <v>0</v>
      </c>
      <c r="R42" s="21">
        <f t="shared" si="43"/>
        <v>0</v>
      </c>
      <c r="S42" s="21">
        <f t="shared" si="43"/>
        <v>0</v>
      </c>
      <c r="T42" s="21">
        <f t="shared" si="43"/>
        <v>0</v>
      </c>
      <c r="U42" s="21">
        <f t="shared" si="43"/>
        <v>0</v>
      </c>
      <c r="V42" s="21">
        <f t="shared" si="43"/>
        <v>0</v>
      </c>
      <c r="W42" s="21">
        <f t="shared" si="43"/>
        <v>0</v>
      </c>
      <c r="Y42" s="21">
        <f t="shared" si="42"/>
        <v>15</v>
      </c>
    </row>
    <row r="43" spans="2:26">
      <c r="C43" s="21">
        <f t="shared" ref="C43:W43" si="44">C16</f>
        <v>3912</v>
      </c>
      <c r="D43" s="21">
        <f t="shared" si="44"/>
        <v>1366</v>
      </c>
      <c r="E43" s="21">
        <f t="shared" si="44"/>
        <v>0</v>
      </c>
      <c r="F43" s="21">
        <f t="shared" si="44"/>
        <v>0</v>
      </c>
      <c r="G43" s="21">
        <f t="shared" si="44"/>
        <v>0</v>
      </c>
      <c r="H43" s="21">
        <f t="shared" si="44"/>
        <v>0</v>
      </c>
      <c r="I43" s="21">
        <f t="shared" si="44"/>
        <v>0</v>
      </c>
      <c r="J43" s="21">
        <f t="shared" si="44"/>
        <v>0</v>
      </c>
      <c r="K43" s="21">
        <f t="shared" si="44"/>
        <v>6575</v>
      </c>
      <c r="L43" s="21"/>
      <c r="M43" s="21">
        <f t="shared" si="44"/>
        <v>0</v>
      </c>
      <c r="N43" s="21">
        <f t="shared" si="44"/>
        <v>0</v>
      </c>
      <c r="O43" s="21">
        <f t="shared" si="44"/>
        <v>0</v>
      </c>
      <c r="P43" s="21"/>
      <c r="Q43" s="21">
        <f t="shared" si="44"/>
        <v>0</v>
      </c>
      <c r="R43" s="21">
        <f t="shared" si="44"/>
        <v>0</v>
      </c>
      <c r="S43" s="21">
        <f t="shared" si="44"/>
        <v>0</v>
      </c>
      <c r="T43" s="21">
        <f t="shared" si="44"/>
        <v>0</v>
      </c>
      <c r="U43" s="21">
        <f t="shared" si="44"/>
        <v>0</v>
      </c>
      <c r="V43" s="21">
        <f t="shared" si="44"/>
        <v>0</v>
      </c>
      <c r="W43" s="21">
        <f t="shared" si="44"/>
        <v>0</v>
      </c>
      <c r="Y43" s="21">
        <f t="shared" si="42"/>
        <v>11853</v>
      </c>
    </row>
    <row r="44" spans="2:26">
      <c r="B44" s="249" t="s">
        <v>64</v>
      </c>
      <c r="C44" s="21">
        <f>INT(C17*0.9)</f>
        <v>308</v>
      </c>
      <c r="D44" s="21">
        <f t="shared" ref="D44:W44" si="45">INT(D17*0.9)</f>
        <v>1547</v>
      </c>
      <c r="E44" s="21">
        <f t="shared" si="45"/>
        <v>941</v>
      </c>
      <c r="F44" s="21">
        <f t="shared" si="45"/>
        <v>969</v>
      </c>
      <c r="G44" s="21">
        <f t="shared" si="45"/>
        <v>1462</v>
      </c>
      <c r="H44" s="21">
        <f t="shared" si="45"/>
        <v>269</v>
      </c>
      <c r="I44" s="21">
        <f t="shared" si="45"/>
        <v>162</v>
      </c>
      <c r="J44" s="21">
        <f t="shared" si="45"/>
        <v>3185</v>
      </c>
      <c r="K44" s="21">
        <f t="shared" si="45"/>
        <v>635</v>
      </c>
      <c r="L44" s="21"/>
      <c r="M44" s="21">
        <f t="shared" si="45"/>
        <v>335</v>
      </c>
      <c r="N44" s="21">
        <f t="shared" si="45"/>
        <v>1433</v>
      </c>
      <c r="O44" s="21">
        <f t="shared" si="45"/>
        <v>1290</v>
      </c>
      <c r="P44" s="21"/>
      <c r="Q44" s="21">
        <f t="shared" si="45"/>
        <v>886</v>
      </c>
      <c r="R44" s="21">
        <f t="shared" si="45"/>
        <v>1099</v>
      </c>
      <c r="S44" s="21">
        <f t="shared" si="45"/>
        <v>538</v>
      </c>
      <c r="T44" s="21">
        <f t="shared" si="45"/>
        <v>894</v>
      </c>
      <c r="U44" s="21">
        <f t="shared" si="45"/>
        <v>72</v>
      </c>
      <c r="V44" s="21">
        <f t="shared" si="45"/>
        <v>76</v>
      </c>
      <c r="W44" s="21">
        <f t="shared" si="45"/>
        <v>8</v>
      </c>
      <c r="Y44" s="21">
        <f t="shared" si="42"/>
        <v>16109</v>
      </c>
    </row>
    <row r="45" spans="2:26">
      <c r="C45" s="21">
        <f>C43+C44</f>
        <v>4220</v>
      </c>
      <c r="D45" s="21">
        <f t="shared" ref="D45:W45" si="46">D43+D44</f>
        <v>2913</v>
      </c>
      <c r="E45" s="21">
        <f t="shared" si="46"/>
        <v>941</v>
      </c>
      <c r="F45" s="21">
        <f t="shared" si="46"/>
        <v>969</v>
      </c>
      <c r="G45" s="21">
        <f t="shared" si="46"/>
        <v>1462</v>
      </c>
      <c r="H45" s="21">
        <f t="shared" si="46"/>
        <v>269</v>
      </c>
      <c r="I45" s="21">
        <f t="shared" si="46"/>
        <v>162</v>
      </c>
      <c r="J45" s="21">
        <f t="shared" si="46"/>
        <v>3185</v>
      </c>
      <c r="K45" s="21">
        <f t="shared" si="46"/>
        <v>7210</v>
      </c>
      <c r="L45" s="21">
        <f t="shared" si="46"/>
        <v>0</v>
      </c>
      <c r="M45" s="21">
        <f t="shared" si="46"/>
        <v>335</v>
      </c>
      <c r="N45" s="21">
        <f t="shared" si="46"/>
        <v>1433</v>
      </c>
      <c r="O45" s="21">
        <f t="shared" si="46"/>
        <v>1290</v>
      </c>
      <c r="P45" s="21">
        <f t="shared" si="46"/>
        <v>0</v>
      </c>
      <c r="Q45" s="21">
        <f t="shared" si="46"/>
        <v>886</v>
      </c>
      <c r="R45" s="21">
        <f t="shared" si="46"/>
        <v>1099</v>
      </c>
      <c r="S45" s="21">
        <f t="shared" si="46"/>
        <v>538</v>
      </c>
      <c r="T45" s="21">
        <f t="shared" si="46"/>
        <v>894</v>
      </c>
      <c r="U45" s="21">
        <f t="shared" si="46"/>
        <v>72</v>
      </c>
      <c r="V45" s="21">
        <f t="shared" si="46"/>
        <v>76</v>
      </c>
      <c r="W45" s="21">
        <f t="shared" si="46"/>
        <v>8</v>
      </c>
      <c r="Y45" s="21">
        <f t="shared" si="42"/>
        <v>27962</v>
      </c>
    </row>
    <row r="46" spans="2:26">
      <c r="C46" s="21">
        <f t="shared" ref="C46:W46" si="47">C19</f>
        <v>0</v>
      </c>
      <c r="D46" s="21">
        <f t="shared" si="47"/>
        <v>0</v>
      </c>
      <c r="E46" s="21">
        <f t="shared" si="47"/>
        <v>0</v>
      </c>
      <c r="F46" s="21">
        <f t="shared" si="47"/>
        <v>3885.2729311672092</v>
      </c>
      <c r="G46" s="21">
        <f t="shared" si="47"/>
        <v>0</v>
      </c>
      <c r="H46" s="21">
        <f t="shared" si="47"/>
        <v>0</v>
      </c>
      <c r="I46" s="21">
        <f t="shared" si="47"/>
        <v>0</v>
      </c>
      <c r="J46" s="21">
        <f t="shared" si="47"/>
        <v>4826.342849454446</v>
      </c>
      <c r="K46" s="21">
        <f t="shared" si="47"/>
        <v>0</v>
      </c>
      <c r="L46" s="21"/>
      <c r="M46" s="21">
        <f t="shared" si="47"/>
        <v>0</v>
      </c>
      <c r="N46" s="21">
        <f t="shared" si="47"/>
        <v>0</v>
      </c>
      <c r="O46" s="21">
        <f t="shared" si="47"/>
        <v>0</v>
      </c>
      <c r="P46" s="21"/>
      <c r="Q46" s="21">
        <f t="shared" si="47"/>
        <v>0</v>
      </c>
      <c r="R46" s="21">
        <f t="shared" si="47"/>
        <v>0</v>
      </c>
      <c r="S46" s="21">
        <f t="shared" si="47"/>
        <v>0</v>
      </c>
      <c r="T46" s="21">
        <f t="shared" si="47"/>
        <v>0</v>
      </c>
      <c r="U46" s="21">
        <f t="shared" si="47"/>
        <v>0</v>
      </c>
      <c r="V46" s="21">
        <f t="shared" si="47"/>
        <v>0</v>
      </c>
      <c r="W46" s="21">
        <f t="shared" si="47"/>
        <v>0</v>
      </c>
      <c r="Y46" s="21">
        <f t="shared" si="42"/>
        <v>8711.6157806216543</v>
      </c>
    </row>
    <row r="47" spans="2:26">
      <c r="C47" s="21">
        <f t="shared" ref="C47:W47" si="48">C20</f>
        <v>12.391418452548363</v>
      </c>
      <c r="D47" s="21">
        <f t="shared" si="48"/>
        <v>76</v>
      </c>
      <c r="E47" s="21">
        <f t="shared" si="48"/>
        <v>438.34314640812482</v>
      </c>
      <c r="F47" s="21">
        <f t="shared" si="48"/>
        <v>12.391418452548363</v>
      </c>
      <c r="G47" s="21">
        <f t="shared" si="48"/>
        <v>78.854481061671393</v>
      </c>
      <c r="H47" s="21">
        <f t="shared" si="48"/>
        <v>19</v>
      </c>
      <c r="I47" s="21">
        <f t="shared" si="48"/>
        <v>3</v>
      </c>
      <c r="J47" s="21">
        <f t="shared" si="48"/>
        <v>102</v>
      </c>
      <c r="K47" s="21">
        <f t="shared" si="48"/>
        <v>16</v>
      </c>
      <c r="L47" s="21"/>
      <c r="M47" s="21">
        <f t="shared" si="48"/>
        <v>150</v>
      </c>
      <c r="N47" s="21">
        <f t="shared" si="48"/>
        <v>78.854481061671393</v>
      </c>
      <c r="O47" s="21">
        <f t="shared" si="48"/>
        <v>30</v>
      </c>
      <c r="P47" s="21"/>
      <c r="Q47" s="21">
        <f t="shared" si="48"/>
        <v>0</v>
      </c>
      <c r="R47" s="21">
        <f t="shared" si="48"/>
        <v>21</v>
      </c>
      <c r="S47" s="21">
        <f t="shared" si="48"/>
        <v>0</v>
      </c>
      <c r="T47" s="21">
        <f t="shared" si="48"/>
        <v>0</v>
      </c>
      <c r="U47" s="21">
        <f t="shared" si="48"/>
        <v>0</v>
      </c>
      <c r="V47" s="21">
        <f t="shared" si="48"/>
        <v>0</v>
      </c>
      <c r="W47" s="21">
        <f t="shared" si="48"/>
        <v>0</v>
      </c>
      <c r="Y47" s="21">
        <f t="shared" si="42"/>
        <v>1037.8349454365643</v>
      </c>
    </row>
    <row r="48" spans="2:26">
      <c r="C48" s="21">
        <f t="shared" ref="C48:W48" si="49">C21</f>
        <v>0</v>
      </c>
      <c r="D48" s="21">
        <f t="shared" si="49"/>
        <v>0</v>
      </c>
      <c r="E48" s="21">
        <f t="shared" si="49"/>
        <v>17351</v>
      </c>
      <c r="F48" s="21">
        <f t="shared" si="49"/>
        <v>13568</v>
      </c>
      <c r="G48" s="21">
        <f t="shared" si="49"/>
        <v>0</v>
      </c>
      <c r="H48" s="21">
        <f t="shared" si="49"/>
        <v>0</v>
      </c>
      <c r="I48" s="21">
        <f t="shared" si="49"/>
        <v>0</v>
      </c>
      <c r="J48" s="21">
        <f t="shared" si="49"/>
        <v>0</v>
      </c>
      <c r="K48" s="21">
        <f t="shared" si="49"/>
        <v>0</v>
      </c>
      <c r="L48" s="21"/>
      <c r="M48" s="21">
        <f t="shared" si="49"/>
        <v>0</v>
      </c>
      <c r="N48" s="21">
        <f t="shared" si="49"/>
        <v>0</v>
      </c>
      <c r="O48" s="21">
        <f t="shared" si="49"/>
        <v>0</v>
      </c>
      <c r="P48" s="21"/>
      <c r="Q48" s="21">
        <f t="shared" si="49"/>
        <v>0</v>
      </c>
      <c r="R48" s="21">
        <f t="shared" si="49"/>
        <v>0</v>
      </c>
      <c r="S48" s="21">
        <f t="shared" si="49"/>
        <v>0</v>
      </c>
      <c r="T48" s="21">
        <f t="shared" si="49"/>
        <v>0</v>
      </c>
      <c r="U48" s="21">
        <f t="shared" si="49"/>
        <v>0</v>
      </c>
      <c r="V48" s="21">
        <f t="shared" si="49"/>
        <v>0</v>
      </c>
      <c r="W48" s="21">
        <f t="shared" si="49"/>
        <v>0</v>
      </c>
      <c r="Y48" s="21">
        <f t="shared" si="42"/>
        <v>30919</v>
      </c>
    </row>
    <row r="49" spans="3:25">
      <c r="C49" s="21">
        <f t="shared" ref="C49:W49" si="50">C22</f>
        <v>363</v>
      </c>
      <c r="D49" s="21">
        <f t="shared" si="50"/>
        <v>633.08883366656175</v>
      </c>
      <c r="E49" s="21">
        <f t="shared" si="50"/>
        <v>619.29346139919278</v>
      </c>
      <c r="F49" s="21">
        <f t="shared" si="50"/>
        <v>164.79679715357111</v>
      </c>
      <c r="G49" s="21">
        <f t="shared" si="50"/>
        <v>180</v>
      </c>
      <c r="H49" s="21">
        <f t="shared" si="50"/>
        <v>50</v>
      </c>
      <c r="I49" s="21">
        <f t="shared" si="50"/>
        <v>152.07649919036626</v>
      </c>
      <c r="J49" s="21">
        <f t="shared" si="50"/>
        <v>342.5</v>
      </c>
      <c r="K49" s="21">
        <f t="shared" si="50"/>
        <v>1610</v>
      </c>
      <c r="L49" s="21"/>
      <c r="M49" s="21">
        <f t="shared" si="50"/>
        <v>171.50849630913527</v>
      </c>
      <c r="N49" s="21">
        <f t="shared" si="50"/>
        <v>386</v>
      </c>
      <c r="O49" s="21">
        <f t="shared" si="50"/>
        <v>107</v>
      </c>
      <c r="P49" s="21"/>
      <c r="Q49" s="21">
        <f t="shared" si="50"/>
        <v>29</v>
      </c>
      <c r="R49" s="21">
        <f t="shared" si="50"/>
        <v>0</v>
      </c>
      <c r="S49" s="21">
        <f t="shared" si="50"/>
        <v>0</v>
      </c>
      <c r="T49" s="21">
        <f t="shared" si="50"/>
        <v>0</v>
      </c>
      <c r="U49" s="21">
        <f t="shared" si="50"/>
        <v>0</v>
      </c>
      <c r="V49" s="21">
        <f t="shared" si="50"/>
        <v>0</v>
      </c>
      <c r="W49" s="21">
        <f t="shared" si="50"/>
        <v>0</v>
      </c>
      <c r="Y49" s="21">
        <f t="shared" si="42"/>
        <v>4808.2640877188269</v>
      </c>
    </row>
    <row r="50" spans="3:25">
      <c r="C50" s="21">
        <f t="shared" ref="C50:W50" si="51">C23</f>
        <v>2</v>
      </c>
      <c r="D50" s="21">
        <f t="shared" si="51"/>
        <v>79</v>
      </c>
      <c r="E50" s="21">
        <f t="shared" si="51"/>
        <v>155</v>
      </c>
      <c r="F50" s="21">
        <f t="shared" si="51"/>
        <v>13</v>
      </c>
      <c r="G50" s="21">
        <f t="shared" si="51"/>
        <v>144</v>
      </c>
      <c r="H50" s="21">
        <f t="shared" si="51"/>
        <v>20</v>
      </c>
      <c r="I50" s="21">
        <f t="shared" si="51"/>
        <v>91</v>
      </c>
      <c r="J50" s="21">
        <f t="shared" si="51"/>
        <v>43.5</v>
      </c>
      <c r="K50" s="21">
        <f t="shared" si="51"/>
        <v>170</v>
      </c>
      <c r="L50" s="21"/>
      <c r="M50" s="21">
        <f t="shared" si="51"/>
        <v>6</v>
      </c>
      <c r="N50" s="21">
        <f t="shared" si="51"/>
        <v>84</v>
      </c>
      <c r="O50" s="21">
        <f t="shared" si="51"/>
        <v>45.059703463812227</v>
      </c>
      <c r="P50" s="21"/>
      <c r="Q50" s="21">
        <f t="shared" si="51"/>
        <v>0</v>
      </c>
      <c r="R50" s="21">
        <f t="shared" si="51"/>
        <v>10</v>
      </c>
      <c r="S50" s="21">
        <f t="shared" si="51"/>
        <v>0</v>
      </c>
      <c r="T50" s="21">
        <f t="shared" si="51"/>
        <v>0</v>
      </c>
      <c r="U50" s="21">
        <f t="shared" si="51"/>
        <v>0</v>
      </c>
      <c r="V50" s="21">
        <f t="shared" si="51"/>
        <v>0</v>
      </c>
      <c r="W50" s="21">
        <f t="shared" si="51"/>
        <v>0</v>
      </c>
      <c r="Y50" s="21">
        <f t="shared" si="42"/>
        <v>862.55970346381218</v>
      </c>
    </row>
    <row r="51" spans="3:25">
      <c r="C51" s="21">
        <f t="shared" ref="C51:W51" si="52">C24</f>
        <v>365</v>
      </c>
      <c r="D51" s="21">
        <f t="shared" si="52"/>
        <v>712.08883366656175</v>
      </c>
      <c r="E51" s="21">
        <f t="shared" si="52"/>
        <v>18125.293461399193</v>
      </c>
      <c r="F51" s="21">
        <f t="shared" si="52"/>
        <v>13745.796797153571</v>
      </c>
      <c r="G51" s="21">
        <f t="shared" si="52"/>
        <v>324</v>
      </c>
      <c r="H51" s="21">
        <f t="shared" si="52"/>
        <v>70</v>
      </c>
      <c r="I51" s="21">
        <f t="shared" si="52"/>
        <v>243.07649919036626</v>
      </c>
      <c r="J51" s="21">
        <f t="shared" si="52"/>
        <v>386</v>
      </c>
      <c r="K51" s="21">
        <f t="shared" si="52"/>
        <v>1780</v>
      </c>
      <c r="L51" s="21"/>
      <c r="M51" s="21">
        <f t="shared" si="52"/>
        <v>177.50849630913527</v>
      </c>
      <c r="N51" s="21">
        <f t="shared" si="52"/>
        <v>470</v>
      </c>
      <c r="O51" s="21">
        <f t="shared" si="52"/>
        <v>152.05970346381224</v>
      </c>
      <c r="P51" s="21"/>
      <c r="Q51" s="21">
        <f t="shared" si="52"/>
        <v>29</v>
      </c>
      <c r="R51" s="21">
        <f t="shared" si="52"/>
        <v>10</v>
      </c>
      <c r="S51" s="21">
        <f t="shared" si="52"/>
        <v>0</v>
      </c>
      <c r="T51" s="21">
        <f t="shared" si="52"/>
        <v>0</v>
      </c>
      <c r="U51" s="21">
        <f t="shared" si="52"/>
        <v>0</v>
      </c>
      <c r="V51" s="21">
        <f t="shared" si="52"/>
        <v>0</v>
      </c>
      <c r="W51" s="21">
        <f t="shared" si="52"/>
        <v>0</v>
      </c>
      <c r="Y51" s="21">
        <f t="shared" si="42"/>
        <v>36589.823791182636</v>
      </c>
    </row>
    <row r="52" spans="3:25">
      <c r="C52" s="56">
        <f>C41+C42+C46+C45+C47+C51</f>
        <v>4597.3914184525484</v>
      </c>
      <c r="D52" s="56">
        <f t="shared" ref="D52:W52" si="53">D41+D42+D46+D45+D47+D51</f>
        <v>3738.0888336665616</v>
      </c>
      <c r="E52" s="56">
        <f t="shared" si="53"/>
        <v>19504.636607807319</v>
      </c>
      <c r="F52" s="56">
        <f t="shared" si="53"/>
        <v>18640.461146773327</v>
      </c>
      <c r="G52" s="56">
        <f t="shared" si="53"/>
        <v>1870.8544810616713</v>
      </c>
      <c r="H52" s="56">
        <f t="shared" si="53"/>
        <v>358</v>
      </c>
      <c r="I52" s="56">
        <f t="shared" si="53"/>
        <v>419.07649919036623</v>
      </c>
      <c r="J52" s="56">
        <f t="shared" si="53"/>
        <v>8499.342849454446</v>
      </c>
      <c r="K52" s="56">
        <f t="shared" si="53"/>
        <v>9006</v>
      </c>
      <c r="L52" s="56">
        <f t="shared" si="53"/>
        <v>0</v>
      </c>
      <c r="M52" s="56">
        <f t="shared" si="53"/>
        <v>662.50849630913524</v>
      </c>
      <c r="N52" s="56">
        <f t="shared" si="53"/>
        <v>1981.8544810616713</v>
      </c>
      <c r="O52" s="56">
        <f t="shared" si="53"/>
        <v>1472.0597034638122</v>
      </c>
      <c r="P52" s="56">
        <f t="shared" si="53"/>
        <v>0</v>
      </c>
      <c r="Q52" s="56">
        <f t="shared" si="53"/>
        <v>915</v>
      </c>
      <c r="R52" s="56">
        <f t="shared" si="53"/>
        <v>1130</v>
      </c>
      <c r="S52" s="56">
        <f t="shared" si="53"/>
        <v>538</v>
      </c>
      <c r="T52" s="56">
        <f t="shared" si="53"/>
        <v>894</v>
      </c>
      <c r="U52" s="56">
        <f t="shared" si="53"/>
        <v>72</v>
      </c>
      <c r="V52" s="56">
        <f t="shared" si="53"/>
        <v>76</v>
      </c>
      <c r="W52" s="56">
        <f t="shared" si="53"/>
        <v>8</v>
      </c>
      <c r="Y52" s="21">
        <f>SUM(C52:W52)</f>
        <v>74383.274517240847</v>
      </c>
    </row>
    <row r="53" spans="3:25">
      <c r="C53" s="21">
        <f t="shared" ref="C53:W53" si="54">C26</f>
        <v>1226.6178554573119</v>
      </c>
      <c r="D53" s="21">
        <f t="shared" si="54"/>
        <v>358.84701646631231</v>
      </c>
      <c r="E53" s="21">
        <f t="shared" si="54"/>
        <v>455.43109957318728</v>
      </c>
      <c r="F53" s="21">
        <f t="shared" si="54"/>
        <v>146.46816998624996</v>
      </c>
      <c r="G53" s="21">
        <f t="shared" si="54"/>
        <v>1483.7862437737494</v>
      </c>
      <c r="H53" s="21">
        <f t="shared" si="54"/>
        <v>752.50675739312453</v>
      </c>
      <c r="I53" s="21">
        <f t="shared" si="54"/>
        <v>2.1227271012499989</v>
      </c>
      <c r="J53" s="21">
        <f t="shared" si="54"/>
        <v>678.21130884937475</v>
      </c>
      <c r="K53" s="21">
        <f t="shared" si="54"/>
        <v>3149.0656547043736</v>
      </c>
      <c r="L53" s="21"/>
      <c r="M53" s="21">
        <f t="shared" si="54"/>
        <v>45.638632676874984</v>
      </c>
      <c r="N53" s="21">
        <f t="shared" si="54"/>
        <v>563.58404538187483</v>
      </c>
      <c r="O53" s="21">
        <f t="shared" si="54"/>
        <v>1326.7044382812492</v>
      </c>
      <c r="P53" s="21"/>
      <c r="Q53" s="21">
        <f t="shared" si="54"/>
        <v>1106.3277207499996</v>
      </c>
      <c r="R53" s="21">
        <f t="shared" si="54"/>
        <v>734.06621924999979</v>
      </c>
      <c r="S53" s="21">
        <f t="shared" si="54"/>
        <v>571.98607112499974</v>
      </c>
      <c r="T53" s="21">
        <f t="shared" si="54"/>
        <v>0</v>
      </c>
      <c r="U53" s="21">
        <f t="shared" si="54"/>
        <v>0</v>
      </c>
      <c r="V53" s="21">
        <f t="shared" si="54"/>
        <v>273.96773424999992</v>
      </c>
      <c r="W53" s="21">
        <f t="shared" si="54"/>
        <v>0</v>
      </c>
      <c r="Y53" s="21">
        <f>SUM(C53:X53)</f>
        <v>12875.331695019933</v>
      </c>
    </row>
    <row r="54" spans="3:25">
      <c r="C54" s="21">
        <f t="shared" ref="C54:W54" si="55">C27</f>
        <v>0</v>
      </c>
      <c r="D54" s="21">
        <f t="shared" si="55"/>
        <v>0</v>
      </c>
      <c r="E54" s="21">
        <f t="shared" si="55"/>
        <v>0</v>
      </c>
      <c r="F54" s="21">
        <f t="shared" si="55"/>
        <v>0</v>
      </c>
      <c r="G54" s="21">
        <f t="shared" si="55"/>
        <v>0</v>
      </c>
      <c r="H54" s="21">
        <f t="shared" si="55"/>
        <v>0</v>
      </c>
      <c r="I54" s="21">
        <f t="shared" si="55"/>
        <v>0</v>
      </c>
      <c r="J54" s="21">
        <f t="shared" si="55"/>
        <v>0</v>
      </c>
      <c r="K54" s="21">
        <f t="shared" si="55"/>
        <v>0</v>
      </c>
      <c r="L54" s="21"/>
      <c r="M54" s="21">
        <f t="shared" si="55"/>
        <v>0</v>
      </c>
      <c r="N54" s="21">
        <f t="shared" si="55"/>
        <v>0</v>
      </c>
      <c r="O54" s="21">
        <f t="shared" si="55"/>
        <v>0</v>
      </c>
      <c r="P54" s="21"/>
      <c r="Q54" s="21">
        <f t="shared" si="55"/>
        <v>0</v>
      </c>
      <c r="R54" s="21">
        <f t="shared" si="55"/>
        <v>0</v>
      </c>
      <c r="S54" s="21">
        <f t="shared" si="55"/>
        <v>0</v>
      </c>
      <c r="T54" s="21">
        <f t="shared" si="55"/>
        <v>0</v>
      </c>
      <c r="U54" s="21">
        <f t="shared" si="55"/>
        <v>0</v>
      </c>
      <c r="V54" s="21">
        <f t="shared" si="55"/>
        <v>0</v>
      </c>
      <c r="W54" s="21">
        <f t="shared" si="55"/>
        <v>0</v>
      </c>
    </row>
    <row r="55" spans="3:25">
      <c r="C55" s="21">
        <f t="shared" ref="C55:W55" si="56">C28</f>
        <v>0</v>
      </c>
      <c r="D55" s="21">
        <f t="shared" si="56"/>
        <v>0</v>
      </c>
      <c r="E55" s="21">
        <f t="shared" si="56"/>
        <v>0</v>
      </c>
      <c r="F55" s="21">
        <f t="shared" si="56"/>
        <v>0</v>
      </c>
      <c r="G55" s="21">
        <f t="shared" si="56"/>
        <v>0</v>
      </c>
      <c r="H55" s="21">
        <f t="shared" si="56"/>
        <v>0</v>
      </c>
      <c r="I55" s="21">
        <f t="shared" si="56"/>
        <v>0</v>
      </c>
      <c r="J55" s="21">
        <f t="shared" si="56"/>
        <v>0</v>
      </c>
      <c r="K55" s="21">
        <f t="shared" si="56"/>
        <v>0</v>
      </c>
      <c r="L55" s="21"/>
      <c r="M55" s="21">
        <f t="shared" si="56"/>
        <v>0</v>
      </c>
      <c r="N55" s="21">
        <f t="shared" si="56"/>
        <v>0</v>
      </c>
      <c r="O55" s="21">
        <f t="shared" si="56"/>
        <v>0</v>
      </c>
      <c r="P55" s="21"/>
      <c r="Q55" s="21">
        <f t="shared" si="56"/>
        <v>0</v>
      </c>
      <c r="R55" s="21">
        <f t="shared" si="56"/>
        <v>0</v>
      </c>
      <c r="S55" s="21">
        <f t="shared" si="56"/>
        <v>0</v>
      </c>
      <c r="T55" s="21">
        <f t="shared" si="56"/>
        <v>0</v>
      </c>
      <c r="U55" s="21">
        <f t="shared" si="56"/>
        <v>0</v>
      </c>
      <c r="V55" s="21">
        <f t="shared" si="56"/>
        <v>0</v>
      </c>
      <c r="W55" s="21">
        <f t="shared" si="56"/>
        <v>0</v>
      </c>
    </row>
    <row r="56" spans="3:25">
      <c r="C56" s="21">
        <f t="shared" ref="C56:W56" si="57">C29</f>
        <v>0</v>
      </c>
      <c r="D56" s="21">
        <f t="shared" si="57"/>
        <v>0</v>
      </c>
      <c r="E56" s="21">
        <f t="shared" si="57"/>
        <v>0</v>
      </c>
      <c r="F56" s="21">
        <f t="shared" si="57"/>
        <v>0</v>
      </c>
      <c r="G56" s="21">
        <f t="shared" si="57"/>
        <v>0</v>
      </c>
      <c r="H56" s="21">
        <f t="shared" si="57"/>
        <v>0</v>
      </c>
      <c r="I56" s="21">
        <f t="shared" si="57"/>
        <v>0</v>
      </c>
      <c r="J56" s="21">
        <f t="shared" si="57"/>
        <v>0</v>
      </c>
      <c r="K56" s="21">
        <f t="shared" si="57"/>
        <v>0</v>
      </c>
      <c r="L56" s="21"/>
      <c r="M56" s="21">
        <f t="shared" si="57"/>
        <v>0</v>
      </c>
      <c r="N56" s="21">
        <f t="shared" si="57"/>
        <v>0</v>
      </c>
      <c r="O56" s="21">
        <f t="shared" si="57"/>
        <v>0</v>
      </c>
      <c r="P56" s="21"/>
      <c r="Q56" s="21">
        <f t="shared" si="57"/>
        <v>0</v>
      </c>
      <c r="R56" s="21">
        <f t="shared" si="57"/>
        <v>0</v>
      </c>
      <c r="S56" s="21">
        <f t="shared" si="57"/>
        <v>0</v>
      </c>
      <c r="T56" s="21">
        <f t="shared" si="57"/>
        <v>0</v>
      </c>
      <c r="U56" s="21">
        <f t="shared" si="57"/>
        <v>0</v>
      </c>
      <c r="V56" s="21">
        <f t="shared" si="57"/>
        <v>0</v>
      </c>
      <c r="W56" s="21">
        <f t="shared" si="57"/>
        <v>0</v>
      </c>
    </row>
  </sheetData>
  <mergeCells count="11">
    <mergeCell ref="C29:K29"/>
    <mergeCell ref="C30:J30"/>
    <mergeCell ref="A20:B20"/>
    <mergeCell ref="A21:A24"/>
    <mergeCell ref="A25:B25"/>
    <mergeCell ref="A16:A18"/>
    <mergeCell ref="A3:B3"/>
    <mergeCell ref="A4:A11"/>
    <mergeCell ref="A13:B13"/>
    <mergeCell ref="A14:B14"/>
    <mergeCell ref="A15:B15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2:Z56"/>
  <sheetViews>
    <sheetView zoomScale="85" zoomScaleNormal="85" workbookViewId="0">
      <pane xSplit="2" ySplit="3" topLeftCell="C25" activePane="bottomRight" state="frozen"/>
      <selection activeCell="B46" sqref="B46"/>
      <selection pane="topRight" activeCell="B46" sqref="B46"/>
      <selection pane="bottomLeft" activeCell="B46" sqref="B46"/>
      <selection pane="bottomRight" activeCell="D47" sqref="D47:E47"/>
    </sheetView>
  </sheetViews>
  <sheetFormatPr defaultRowHeight="16.899999999999999"/>
  <cols>
    <col min="1" max="1" width="17.375" customWidth="1"/>
    <col min="2" max="2" width="19.25" bestFit="1" customWidth="1"/>
    <col min="11" max="11" width="15.5" customWidth="1"/>
    <col min="25" max="25" width="15.5" customWidth="1"/>
  </cols>
  <sheetData>
    <row r="2" spans="1:25">
      <c r="Y2" s="65" t="s">
        <v>77</v>
      </c>
    </row>
    <row r="3" spans="1:25">
      <c r="A3" s="264" t="s">
        <v>219</v>
      </c>
      <c r="B3" s="264"/>
      <c r="C3" s="88" t="s">
        <v>0</v>
      </c>
      <c r="D3" s="88" t="s">
        <v>18</v>
      </c>
      <c r="E3" s="88" t="s">
        <v>19</v>
      </c>
      <c r="F3" s="88" t="s">
        <v>3</v>
      </c>
      <c r="G3" s="88" t="s">
        <v>5</v>
      </c>
      <c r="H3" s="88" t="s">
        <v>20</v>
      </c>
      <c r="I3" s="88" t="s">
        <v>7</v>
      </c>
      <c r="J3" s="88" t="s">
        <v>22</v>
      </c>
      <c r="K3" s="88" t="s">
        <v>23</v>
      </c>
      <c r="L3" s="88" t="s">
        <v>85</v>
      </c>
      <c r="M3" s="88" t="s">
        <v>21</v>
      </c>
      <c r="N3" s="88" t="s">
        <v>24</v>
      </c>
      <c r="O3" s="88" t="s">
        <v>25</v>
      </c>
      <c r="P3" s="88" t="s">
        <v>85</v>
      </c>
      <c r="Q3" s="88" t="s">
        <v>26</v>
      </c>
      <c r="R3" s="88" t="s">
        <v>27</v>
      </c>
      <c r="S3" s="88" t="s">
        <v>28</v>
      </c>
      <c r="T3" s="88" t="s">
        <v>29</v>
      </c>
      <c r="U3" s="88" t="s">
        <v>30</v>
      </c>
      <c r="V3" s="88" t="s">
        <v>31</v>
      </c>
      <c r="W3" s="88" t="s">
        <v>32</v>
      </c>
      <c r="X3" s="88" t="s">
        <v>17</v>
      </c>
      <c r="Y3" s="88" t="s">
        <v>41</v>
      </c>
    </row>
    <row r="4" spans="1:25">
      <c r="A4" s="265" t="s">
        <v>93</v>
      </c>
      <c r="B4" s="89" t="s">
        <v>33</v>
      </c>
      <c r="C4" s="90">
        <f>동탄!H6</f>
        <v>1024.4970876940399</v>
      </c>
      <c r="D4" s="90">
        <f>화성!H6</f>
        <v>395.36322942556535</v>
      </c>
      <c r="E4" s="90">
        <f>파주!H6</f>
        <v>853.20893107642439</v>
      </c>
      <c r="F4" s="90">
        <f>광교!H6</f>
        <v>47.400496170912469</v>
      </c>
      <c r="G4" s="90">
        <f>판교!H6</f>
        <v>329.64890518861853</v>
      </c>
      <c r="H4" s="90">
        <f>삼송!H6</f>
        <v>309.18050911481544</v>
      </c>
      <c r="I4" s="90">
        <f>양산!H6</f>
        <v>175.59729263315302</v>
      </c>
      <c r="J4" s="90">
        <f>대구!H6</f>
        <v>3.2318520116531229</v>
      </c>
      <c r="K4" s="90">
        <f>청주!H6</f>
        <v>32.318520116531232</v>
      </c>
      <c r="L4" s="91">
        <f>SUM(C4:K4)</f>
        <v>3170.4468234317128</v>
      </c>
      <c r="M4" s="90">
        <f>수원!H6</f>
        <v>329.64890518861858</v>
      </c>
      <c r="N4" s="90">
        <f>광주전남!H6</f>
        <v>257.47087692836544</v>
      </c>
      <c r="O4" s="90">
        <f>강남!H6</f>
        <v>173.44272462538427</v>
      </c>
      <c r="P4" s="91">
        <f t="shared" ref="P4:P24" si="0">SUM(M4:O4)</f>
        <v>760.56250674236821</v>
      </c>
      <c r="Q4" s="90">
        <f>중앙!H6</f>
        <v>222.99778880406546</v>
      </c>
      <c r="R4" s="90">
        <f>고양!H6</f>
        <v>114.19210441174367</v>
      </c>
      <c r="S4" s="90">
        <f>용인!H6</f>
        <v>92.646424334056192</v>
      </c>
      <c r="T4" s="90">
        <f>분당!H6</f>
        <v>43.091360155374971</v>
      </c>
      <c r="U4" s="90">
        <f>세종!H6</f>
        <v>34.473088124299977</v>
      </c>
      <c r="V4" s="90">
        <f>김해!H6</f>
        <v>161.59260058265613</v>
      </c>
      <c r="W4" s="90">
        <f>평택!H6</f>
        <v>0</v>
      </c>
      <c r="X4" s="91">
        <f t="shared" ref="X4:X24" si="1">SUM(Q4:W4)</f>
        <v>668.99336641219634</v>
      </c>
      <c r="Y4" s="92">
        <f>L4+P4+X4</f>
        <v>4600.0026965862771</v>
      </c>
    </row>
    <row r="5" spans="1:25">
      <c r="A5" s="265"/>
      <c r="B5" s="89" t="s">
        <v>95</v>
      </c>
      <c r="C5" s="90">
        <f>동탄!H7</f>
        <v>5098.1630010694753</v>
      </c>
      <c r="D5" s="90">
        <f>화성!H7</f>
        <v>4009.9528772558733</v>
      </c>
      <c r="E5" s="90">
        <f>파주!H7</f>
        <v>2248.4792028442303</v>
      </c>
      <c r="F5" s="90">
        <f>광교!H7</f>
        <v>1025.1082538017281</v>
      </c>
      <c r="G5" s="90">
        <f>판교!H7</f>
        <v>917.8417429697713</v>
      </c>
      <c r="H5" s="90">
        <f>삼송!H7</f>
        <v>1639.192513073762</v>
      </c>
      <c r="I5" s="90">
        <f>양산!H7</f>
        <v>873.6773271502276</v>
      </c>
      <c r="J5" s="90">
        <f>대구!H7</f>
        <v>1176.5449520022803</v>
      </c>
      <c r="K5" s="90">
        <f>청주!H7</f>
        <v>2577.4509126145599</v>
      </c>
      <c r="L5" s="91">
        <f t="shared" ref="L5:L9" si="2">SUM(C5:K5)</f>
        <v>19566.410782781906</v>
      </c>
      <c r="M5" s="90">
        <f>수원!H7</f>
        <v>917.84174296977153</v>
      </c>
      <c r="N5" s="90">
        <f>광주전남!H7</f>
        <v>1306.745496711746</v>
      </c>
      <c r="O5" s="90">
        <f>강남!H7</f>
        <v>1970.3524431045205</v>
      </c>
      <c r="P5" s="91">
        <f t="shared" si="0"/>
        <v>4194.9396827860382</v>
      </c>
      <c r="Q5" s="90">
        <f>중앙!H7</f>
        <v>1447.8697012205989</v>
      </c>
      <c r="R5" s="90">
        <f>고양!H7</f>
        <v>684.07534246657769</v>
      </c>
      <c r="S5" s="90">
        <f>용인!H7</f>
        <v>508.47804983342468</v>
      </c>
      <c r="T5" s="90">
        <f>분당!H7</f>
        <v>658.22052637335264</v>
      </c>
      <c r="U5" s="90">
        <f>세종!H7</f>
        <v>122.81037644281867</v>
      </c>
      <c r="V5" s="90">
        <f>김해!H7</f>
        <v>331.8034731963873</v>
      </c>
      <c r="W5" s="90">
        <f>평택!H7</f>
        <v>177.75186064092176</v>
      </c>
      <c r="X5" s="91">
        <f t="shared" si="1"/>
        <v>3931.0093301740817</v>
      </c>
      <c r="Y5" s="91">
        <f t="shared" ref="Y5:Y24" si="3">L5+P5+X5</f>
        <v>27692.359795742024</v>
      </c>
    </row>
    <row r="6" spans="1:25">
      <c r="A6" s="265"/>
      <c r="B6" s="89" t="s">
        <v>96</v>
      </c>
      <c r="C6" s="90">
        <f>동탄!H8</f>
        <v>8719.1165866786087</v>
      </c>
      <c r="D6" s="90">
        <f>화성!H8</f>
        <v>6735.6105058866606</v>
      </c>
      <c r="E6" s="90">
        <f>파주!H8</f>
        <v>6294.9528705177763</v>
      </c>
      <c r="F6" s="90">
        <f>광교!H8</f>
        <v>2587.0867624882853</v>
      </c>
      <c r="G6" s="90">
        <f>판교!H8</f>
        <v>2685.4966562431232</v>
      </c>
      <c r="H6" s="90">
        <f>삼송!H8</f>
        <v>1937.5814637063575</v>
      </c>
      <c r="I6" s="90">
        <f>양산!H8</f>
        <v>2414.3227267853486</v>
      </c>
      <c r="J6" s="90">
        <f>대구!H8</f>
        <v>3994.3482431824627</v>
      </c>
      <c r="K6" s="90">
        <f>청주!H8</f>
        <v>3629.1381930256211</v>
      </c>
      <c r="L6" s="91">
        <f>SUM(C6:K6)</f>
        <v>38997.654008514233</v>
      </c>
      <c r="M6" s="90">
        <f>수원!H8</f>
        <v>2685.4966562431232</v>
      </c>
      <c r="N6" s="90">
        <f>광주전남!H8</f>
        <v>1911.3388253717342</v>
      </c>
      <c r="O6" s="90">
        <f>강남!H8</f>
        <v>1341.654884857619</v>
      </c>
      <c r="P6" s="91">
        <f t="shared" si="0"/>
        <v>5938.490366472477</v>
      </c>
      <c r="Q6" s="90">
        <f>중앙!H8</f>
        <v>1163.4236328349687</v>
      </c>
      <c r="R6" s="90">
        <f>고양!H8</f>
        <v>764.31684149590512</v>
      </c>
      <c r="S6" s="90">
        <f>용인!H8</f>
        <v>740.26108968916708</v>
      </c>
      <c r="T6" s="90">
        <f>분당!H8</f>
        <v>660.4397314213544</v>
      </c>
      <c r="U6" s="90">
        <f>세종!H8</f>
        <v>298.51001105634066</v>
      </c>
      <c r="V6" s="90">
        <f>김해!H8</f>
        <v>43.737730557705589</v>
      </c>
      <c r="W6" s="90">
        <f>평택!H8</f>
        <v>43.737730557705589</v>
      </c>
      <c r="X6" s="91">
        <f t="shared" si="1"/>
        <v>3714.4267676131471</v>
      </c>
      <c r="Y6" s="91">
        <f t="shared" si="3"/>
        <v>48650.57114259986</v>
      </c>
    </row>
    <row r="7" spans="1:25">
      <c r="A7" s="265"/>
      <c r="B7" s="89" t="s">
        <v>97</v>
      </c>
      <c r="C7" s="90">
        <f>동탄!H9</f>
        <v>3281.4631946845425</v>
      </c>
      <c r="D7" s="90">
        <f>화성!H9</f>
        <v>400.74964944498726</v>
      </c>
      <c r="E7" s="90">
        <f>파주!H9</f>
        <v>697.00275051319011</v>
      </c>
      <c r="F7" s="90">
        <f>광교!H9</f>
        <v>202.52939273026237</v>
      </c>
      <c r="G7" s="90">
        <f>판교!H9</f>
        <v>202.52939273026237</v>
      </c>
      <c r="H7" s="90">
        <f>삼송!H9</f>
        <v>171.2881566176155</v>
      </c>
      <c r="I7" s="90">
        <f>양산!H9</f>
        <v>251.00717290505921</v>
      </c>
      <c r="J7" s="90">
        <f>대구!H9</f>
        <v>286.55754503324357</v>
      </c>
      <c r="K7" s="90">
        <f>청주!H9</f>
        <v>218.68865278852797</v>
      </c>
      <c r="L7" s="91">
        <f t="shared" si="2"/>
        <v>5711.8159074476926</v>
      </c>
      <c r="M7" s="90">
        <f>수원!H9</f>
        <v>202.52939273026237</v>
      </c>
      <c r="N7" s="90">
        <f>광주전남!H9</f>
        <v>224.07507280794985</v>
      </c>
      <c r="O7" s="90">
        <f>강남!H9</f>
        <v>632.3657102801277</v>
      </c>
      <c r="P7" s="91">
        <f t="shared" si="0"/>
        <v>1058.9701758183401</v>
      </c>
      <c r="Q7" s="90">
        <f>중앙!H9</f>
        <v>740.09411066856512</v>
      </c>
      <c r="R7" s="90">
        <f>고양!H9</f>
        <v>579.5787940897934</v>
      </c>
      <c r="S7" s="90">
        <f>용인!H9</f>
        <v>128.19679646224054</v>
      </c>
      <c r="T7" s="90">
        <f>분당!H9</f>
        <v>90.491856326287433</v>
      </c>
      <c r="U7" s="90">
        <f>세종!H9</f>
        <v>65.714324236946837</v>
      </c>
      <c r="V7" s="90">
        <f>김해!H9</f>
        <v>57.096052205871835</v>
      </c>
      <c r="W7" s="90">
        <f>평택!H9</f>
        <v>100.18741236124681</v>
      </c>
      <c r="X7" s="91">
        <f t="shared" si="1"/>
        <v>1761.3593463509519</v>
      </c>
      <c r="Y7" s="91">
        <f t="shared" si="3"/>
        <v>8532.145429616985</v>
      </c>
    </row>
    <row r="8" spans="1:25">
      <c r="A8" s="265"/>
      <c r="B8" s="89" t="s">
        <v>281</v>
      </c>
      <c r="C8" s="90">
        <f>동탄!H10</f>
        <v>2526.1507130787859</v>
      </c>
      <c r="D8" s="90">
        <f>화성!H10</f>
        <v>1318.5956207544741</v>
      </c>
      <c r="E8" s="90">
        <f>파주!H10</f>
        <v>773.90040699097506</v>
      </c>
      <c r="F8" s="90">
        <f>광교!H10</f>
        <v>1337.9867328243929</v>
      </c>
      <c r="G8" s="90">
        <f>판교!H10</f>
        <v>505.24619782177155</v>
      </c>
      <c r="H8" s="90">
        <f>삼송!H10</f>
        <v>422.29532952267471</v>
      </c>
      <c r="I8" s="90">
        <f>양산!H10</f>
        <v>964.16918347651495</v>
      </c>
      <c r="J8" s="90">
        <f>대구!H10</f>
        <v>831.663250998737</v>
      </c>
      <c r="K8" s="90">
        <f>청주!H10</f>
        <v>400.74964944498726</v>
      </c>
      <c r="L8" s="91">
        <f t="shared" si="2"/>
        <v>9080.7570849133135</v>
      </c>
      <c r="M8" s="90">
        <f>수원!H10</f>
        <v>505.24619782177155</v>
      </c>
      <c r="N8" s="90">
        <f>광주전남!H10</f>
        <v>767.02621076567448</v>
      </c>
      <c r="O8" s="90">
        <f>강남!H10</f>
        <v>686.22991047434641</v>
      </c>
      <c r="P8" s="91">
        <f t="shared" si="0"/>
        <v>1958.5023190617926</v>
      </c>
      <c r="Q8" s="90">
        <f>중앙!H10</f>
        <v>1133.3027720863618</v>
      </c>
      <c r="R8" s="90">
        <f>고양!H10</f>
        <v>1344.4504368476992</v>
      </c>
      <c r="S8" s="90">
        <f>용인!H10</f>
        <v>240.23433286621545</v>
      </c>
      <c r="T8" s="90">
        <f>분당!H10</f>
        <v>478.31409772466219</v>
      </c>
      <c r="U8" s="90">
        <f>세종!H10</f>
        <v>360.89014130126537</v>
      </c>
      <c r="V8" s="90">
        <f>김해!H10</f>
        <v>284.4029770254748</v>
      </c>
      <c r="W8" s="90">
        <f>평택!H10</f>
        <v>30.16395210876248</v>
      </c>
      <c r="X8" s="91">
        <f t="shared" si="1"/>
        <v>3871.7587099604411</v>
      </c>
      <c r="Y8" s="91">
        <f t="shared" si="3"/>
        <v>14911.018113935546</v>
      </c>
    </row>
    <row r="9" spans="1:25">
      <c r="A9" s="265"/>
      <c r="B9" s="220" t="s">
        <v>279</v>
      </c>
      <c r="C9" s="90">
        <f>동탄!H11</f>
        <v>812.42834510938144</v>
      </c>
      <c r="D9" s="90">
        <f>화성!H11</f>
        <v>627.63643350307518</v>
      </c>
      <c r="E9" s="90">
        <f>파주!H11</f>
        <v>586.08558947325491</v>
      </c>
      <c r="F9" s="90">
        <f>광교!H11</f>
        <v>240.55751806738076</v>
      </c>
      <c r="G9" s="90">
        <f>판교!H11</f>
        <v>250.39850744286451</v>
      </c>
      <c r="H9" s="90">
        <f>삼송!H11</f>
        <v>54.672163197131987</v>
      </c>
      <c r="I9" s="90">
        <f>양산!H11</f>
        <v>224.15586910824118</v>
      </c>
      <c r="J9" s="90">
        <f>대구!H11</f>
        <v>371.77070974049752</v>
      </c>
      <c r="K9" s="90">
        <f>청주!H11</f>
        <v>337.87396855827569</v>
      </c>
      <c r="L9" s="91">
        <f t="shared" si="2"/>
        <v>3505.5791042001028</v>
      </c>
      <c r="M9" s="90">
        <f>수원!H11</f>
        <v>250.39850744286451</v>
      </c>
      <c r="N9" s="90">
        <f>광주전남!H11</f>
        <v>171.67059243899445</v>
      </c>
      <c r="O9" s="90">
        <f>강남!H11</f>
        <v>120.27875903369038</v>
      </c>
      <c r="P9" s="91">
        <f t="shared" si="0"/>
        <v>542.3478589155493</v>
      </c>
      <c r="Q9" s="90">
        <f>중앙!H11</f>
        <v>104.97055333849343</v>
      </c>
      <c r="R9" s="90">
        <f>고양!H11</f>
        <v>68.886925628386308</v>
      </c>
      <c r="S9" s="90">
        <f>용인!H11</f>
        <v>66.70003910050103</v>
      </c>
      <c r="T9" s="90">
        <f>분당!H11</f>
        <v>59.04593625290255</v>
      </c>
      <c r="U9" s="90">
        <f>세종!H11</f>
        <v>27.336081598565993</v>
      </c>
      <c r="V9" s="90">
        <f>김해!H11</f>
        <v>4.3737730557705587</v>
      </c>
      <c r="W9" s="90">
        <f>평택!H11</f>
        <v>4.3737730557705587</v>
      </c>
      <c r="X9" s="91">
        <f t="shared" si="1"/>
        <v>335.68708203039051</v>
      </c>
      <c r="Y9" s="91">
        <f t="shared" si="3"/>
        <v>4383.6140451460424</v>
      </c>
    </row>
    <row r="10" spans="1:25">
      <c r="A10" s="265"/>
      <c r="B10" s="220" t="s">
        <v>280</v>
      </c>
      <c r="C10" s="90">
        <f>동탄!H12</f>
        <v>90.755790907239103</v>
      </c>
      <c r="D10" s="90">
        <f>화성!H12</f>
        <v>69.98036889232894</v>
      </c>
      <c r="E10" s="90">
        <f>파주!H12</f>
        <v>65.606595836558384</v>
      </c>
      <c r="F10" s="90">
        <f>광교!H12</f>
        <v>26.242638334623358</v>
      </c>
      <c r="G10" s="90">
        <f>판교!H12</f>
        <v>27.336081598565993</v>
      </c>
      <c r="H10" s="90">
        <f>삼송!H12</f>
        <v>6.5606595836558395</v>
      </c>
      <c r="I10" s="90">
        <f>양산!H12</f>
        <v>25.149195070680715</v>
      </c>
      <c r="J10" s="90">
        <f>대구!H12</f>
        <v>41.550844029820311</v>
      </c>
      <c r="K10" s="90">
        <f>청주!H12</f>
        <v>37.177070974049755</v>
      </c>
      <c r="L10" s="91">
        <f t="shared" ref="L10" si="4">SUM(C10:K10)</f>
        <v>390.35924522752236</v>
      </c>
      <c r="M10" s="90">
        <f>수원!H12</f>
        <v>27.336081598565997</v>
      </c>
      <c r="N10" s="90">
        <f>광주전남!H12</f>
        <v>18.588535487024878</v>
      </c>
      <c r="O10" s="90">
        <f>강남!H12</f>
        <v>13.121319167311679</v>
      </c>
      <c r="P10" s="91">
        <f t="shared" ref="P10" si="5">SUM(M10:O10)</f>
        <v>59.04593625290255</v>
      </c>
      <c r="Q10" s="90">
        <f>중앙!H12</f>
        <v>12.027875903369038</v>
      </c>
      <c r="R10" s="90">
        <f>고양!H12</f>
        <v>7.6541028475984785</v>
      </c>
      <c r="S10" s="90">
        <f>용인!H12</f>
        <v>7.6541028475984785</v>
      </c>
      <c r="T10" s="90">
        <f>분당!H12</f>
        <v>6.5606595836558395</v>
      </c>
      <c r="U10" s="90">
        <f>세종!H12</f>
        <v>3.2803297918279197</v>
      </c>
      <c r="V10" s="90">
        <f>김해!H12</f>
        <v>1.0934432639426397</v>
      </c>
      <c r="W10" s="90">
        <f>평택!H12</f>
        <v>1.0934432639426397</v>
      </c>
      <c r="X10" s="91">
        <f t="shared" ref="X10" si="6">SUM(Q10:W10)</f>
        <v>39.363957501935033</v>
      </c>
      <c r="Y10" s="91">
        <f t="shared" ref="Y10" si="7">L10+P10+X10</f>
        <v>488.76913898235995</v>
      </c>
    </row>
    <row r="11" spans="1:25">
      <c r="A11" s="265"/>
      <c r="B11" s="93" t="s">
        <v>35</v>
      </c>
      <c r="C11" s="94">
        <f>SUM(C4:C10)</f>
        <v>21552.574719222073</v>
      </c>
      <c r="D11" s="94">
        <f t="shared" ref="D11:M11" si="8">SUM(D4:D10)</f>
        <v>13557.888685162965</v>
      </c>
      <c r="E11" s="94">
        <f t="shared" si="8"/>
        <v>11519.236347252408</v>
      </c>
      <c r="F11" s="94">
        <f t="shared" si="8"/>
        <v>5466.911794417585</v>
      </c>
      <c r="G11" s="94">
        <f t="shared" si="8"/>
        <v>4918.4974839949782</v>
      </c>
      <c r="H11" s="94">
        <f t="shared" si="8"/>
        <v>4540.7707948160132</v>
      </c>
      <c r="I11" s="94">
        <f t="shared" si="8"/>
        <v>4928.0787671292246</v>
      </c>
      <c r="J11" s="94">
        <f t="shared" si="8"/>
        <v>6705.6673969986932</v>
      </c>
      <c r="K11" s="94">
        <f t="shared" si="8"/>
        <v>7233.3969675225526</v>
      </c>
      <c r="L11" s="94">
        <f>SUM(C11:K11)</f>
        <v>80423.022956516492</v>
      </c>
      <c r="M11" s="94">
        <f t="shared" si="8"/>
        <v>4918.4974839949782</v>
      </c>
      <c r="N11" s="94">
        <f t="shared" ref="N11" si="9">SUM(N4:N10)</f>
        <v>4656.9156105114889</v>
      </c>
      <c r="O11" s="94">
        <f t="shared" ref="O11" si="10">SUM(O4:O10)</f>
        <v>4937.4457515429995</v>
      </c>
      <c r="P11" s="94">
        <f t="shared" si="0"/>
        <v>14512.858846049468</v>
      </c>
      <c r="Q11" s="94">
        <f t="shared" ref="Q11" si="11">SUM(Q4:Q10)</f>
        <v>4824.6864348564222</v>
      </c>
      <c r="R11" s="94">
        <f t="shared" ref="R11" si="12">SUM(R4:R10)</f>
        <v>3563.1545477877044</v>
      </c>
      <c r="S11" s="94">
        <f t="shared" ref="S11" si="13">SUM(S4:S10)</f>
        <v>1784.1708351332036</v>
      </c>
      <c r="T11" s="94">
        <f t="shared" ref="T11" si="14">SUM(T4:T10)</f>
        <v>1996.1641678375902</v>
      </c>
      <c r="U11" s="94">
        <f t="shared" ref="U11" si="15">SUM(U4:U10)</f>
        <v>913.01435255206547</v>
      </c>
      <c r="V11" s="94">
        <f t="shared" ref="V11" si="16">SUM(V4:V10)</f>
        <v>884.10004988780884</v>
      </c>
      <c r="W11" s="94">
        <f t="shared" ref="W11" si="17">SUM(W4:W10)</f>
        <v>357.30817198834984</v>
      </c>
      <c r="X11" s="94">
        <f t="shared" si="1"/>
        <v>14322.598560043147</v>
      </c>
      <c r="Y11" s="94">
        <f t="shared" si="3"/>
        <v>109258.4803626091</v>
      </c>
    </row>
    <row r="12" spans="1:25">
      <c r="A12" s="89" t="s">
        <v>98</v>
      </c>
      <c r="B12" s="89" t="s">
        <v>99</v>
      </c>
      <c r="C12" s="95">
        <f>동탄!H13</f>
        <v>473.12688637002839</v>
      </c>
      <c r="D12" s="95">
        <f>화성!H13</f>
        <v>397.51779743333412</v>
      </c>
      <c r="E12" s="95">
        <f>파주!H13</f>
        <v>604.35632617913393</v>
      </c>
      <c r="F12" s="95">
        <f>광교!H13</f>
        <v>252.08445690894359</v>
      </c>
      <c r="G12" s="95">
        <f>판교!H13</f>
        <v>230.53877683125609</v>
      </c>
      <c r="H12" s="95">
        <f>삼송!H13</f>
        <v>246.69803688952172</v>
      </c>
      <c r="I12" s="95">
        <f>양산!H13</f>
        <v>718.54843059087762</v>
      </c>
      <c r="J12" s="95">
        <f>대구!H13</f>
        <v>454.61384963920597</v>
      </c>
      <c r="K12" s="95">
        <f>청주!H13</f>
        <v>472.92767770524028</v>
      </c>
      <c r="L12" s="92">
        <f>SUM(C12:K12)</f>
        <v>3850.4122385475412</v>
      </c>
      <c r="M12" s="95">
        <f>수원!H13</f>
        <v>230.53877683125611</v>
      </c>
      <c r="N12" s="95">
        <f>광주전남!H13</f>
        <v>837.04967101815885</v>
      </c>
      <c r="O12" s="95">
        <f>강남!H13</f>
        <v>255.3163089205967</v>
      </c>
      <c r="P12" s="92">
        <f t="shared" si="0"/>
        <v>1322.9047567700115</v>
      </c>
      <c r="Q12" s="95">
        <f>중앙!H13</f>
        <v>256.39359292448108</v>
      </c>
      <c r="R12" s="95">
        <f>고양!H13</f>
        <v>107.72840038843742</v>
      </c>
      <c r="S12" s="95">
        <f>용인!H13</f>
        <v>205.76124474191548</v>
      </c>
      <c r="T12" s="95">
        <f>분당!H13</f>
        <v>70.023460252484327</v>
      </c>
      <c r="U12" s="95">
        <f>세종!H13</f>
        <v>84.028152302981198</v>
      </c>
      <c r="V12" s="95">
        <f>김해!H13</f>
        <v>172.36544062149989</v>
      </c>
      <c r="W12" s="95">
        <f>평택!H13</f>
        <v>54.94148419810309</v>
      </c>
      <c r="X12" s="92">
        <f t="shared" si="1"/>
        <v>951.24177542990265</v>
      </c>
      <c r="Y12" s="92">
        <f t="shared" si="3"/>
        <v>6124.5587707474551</v>
      </c>
    </row>
    <row r="13" spans="1:25">
      <c r="A13" s="255" t="s">
        <v>110</v>
      </c>
      <c r="B13" s="255"/>
      <c r="C13" s="58">
        <f t="shared" ref="C13:H13" si="18">C12+C11</f>
        <v>22025.701605592101</v>
      </c>
      <c r="D13" s="58">
        <f t="shared" si="18"/>
        <v>13955.4064825963</v>
      </c>
      <c r="E13" s="58">
        <f t="shared" si="18"/>
        <v>12123.592673431542</v>
      </c>
      <c r="F13" s="58">
        <f t="shared" si="18"/>
        <v>5718.9962513265291</v>
      </c>
      <c r="G13" s="58">
        <f t="shared" si="18"/>
        <v>5149.036260826234</v>
      </c>
      <c r="H13" s="58">
        <f t="shared" si="18"/>
        <v>4787.4688317055352</v>
      </c>
      <c r="I13" s="58">
        <f>I12+I11</f>
        <v>5646.6271977201022</v>
      </c>
      <c r="J13" s="58">
        <f>J12+J11</f>
        <v>7160.2812466378991</v>
      </c>
      <c r="K13" s="58">
        <f>K12+K11</f>
        <v>7706.3246452277926</v>
      </c>
      <c r="L13" s="58">
        <f>SUM(C13:K13)</f>
        <v>84273.435195064027</v>
      </c>
      <c r="M13" s="58">
        <f>M12+M11</f>
        <v>5149.036260826234</v>
      </c>
      <c r="N13" s="58">
        <f>N12+N11</f>
        <v>5493.9652815296477</v>
      </c>
      <c r="O13" s="58">
        <f>O12+O11</f>
        <v>5192.7620604635958</v>
      </c>
      <c r="P13" s="58">
        <f t="shared" si="0"/>
        <v>15835.763602819477</v>
      </c>
      <c r="Q13" s="58">
        <f t="shared" ref="Q13:W13" si="19">Q12+Q11</f>
        <v>5081.080027780903</v>
      </c>
      <c r="R13" s="58">
        <f t="shared" si="19"/>
        <v>3670.8829481761418</v>
      </c>
      <c r="S13" s="58">
        <f t="shared" si="19"/>
        <v>1989.9320798751191</v>
      </c>
      <c r="T13" s="58">
        <f t="shared" si="19"/>
        <v>2066.1876280900747</v>
      </c>
      <c r="U13" s="58">
        <f t="shared" si="19"/>
        <v>997.04250485504667</v>
      </c>
      <c r="V13" s="58">
        <f t="shared" si="19"/>
        <v>1056.4654905093087</v>
      </c>
      <c r="W13" s="58">
        <f t="shared" si="19"/>
        <v>412.24965618645291</v>
      </c>
      <c r="X13" s="58">
        <f t="shared" si="1"/>
        <v>15273.840335473047</v>
      </c>
      <c r="Y13" s="58">
        <f>L13+P13+X13</f>
        <v>115383.03913335656</v>
      </c>
    </row>
    <row r="14" spans="1:25">
      <c r="A14" s="263" t="s">
        <v>65</v>
      </c>
      <c r="B14" s="263"/>
      <c r="C14" s="95">
        <f>동탄!H15</f>
        <v>19</v>
      </c>
      <c r="D14" s="95">
        <f>화성!H15</f>
        <v>0</v>
      </c>
      <c r="E14" s="95">
        <f>파주!H15</f>
        <v>0</v>
      </c>
      <c r="F14" s="95">
        <f>광교!H15</f>
        <v>28</v>
      </c>
      <c r="G14" s="95">
        <f>판교!H15</f>
        <v>6</v>
      </c>
      <c r="H14" s="95">
        <f>삼송!H15</f>
        <v>0</v>
      </c>
      <c r="I14" s="95">
        <f>양산!H15</f>
        <v>11</v>
      </c>
      <c r="J14" s="95">
        <f>대구!H15</f>
        <v>0</v>
      </c>
      <c r="K14" s="95">
        <f>청주!H15</f>
        <v>0</v>
      </c>
      <c r="L14" s="92">
        <f>SUM(C14:K14)</f>
        <v>64</v>
      </c>
      <c r="M14" s="95">
        <f>수원!H15</f>
        <v>0</v>
      </c>
      <c r="N14" s="95">
        <f>광주전남!H15</f>
        <v>0</v>
      </c>
      <c r="O14" s="95">
        <f>강남!H15</f>
        <v>0</v>
      </c>
      <c r="P14" s="96">
        <f t="shared" si="0"/>
        <v>0</v>
      </c>
      <c r="Q14" s="95">
        <f>중앙!H15</f>
        <v>0</v>
      </c>
      <c r="R14" s="95">
        <f>고양!H15</f>
        <v>0</v>
      </c>
      <c r="S14" s="95">
        <f>용인!H15</f>
        <v>0</v>
      </c>
      <c r="T14" s="95">
        <f>분당!H15</f>
        <v>0</v>
      </c>
      <c r="U14" s="95">
        <f>세종!H15</f>
        <v>0</v>
      </c>
      <c r="V14" s="95">
        <f>김해!H15</f>
        <v>0</v>
      </c>
      <c r="W14" s="95">
        <f>평택!H15</f>
        <v>0</v>
      </c>
      <c r="X14" s="96">
        <f t="shared" si="1"/>
        <v>0</v>
      </c>
      <c r="Y14" s="96">
        <f t="shared" si="3"/>
        <v>64</v>
      </c>
    </row>
    <row r="15" spans="1:25">
      <c r="A15" s="263" t="s">
        <v>66</v>
      </c>
      <c r="B15" s="263"/>
      <c r="C15" s="95">
        <f>동탄!H16</f>
        <v>0</v>
      </c>
      <c r="D15" s="95">
        <f>화성!H16</f>
        <v>15</v>
      </c>
      <c r="E15" s="95">
        <f>파주!H16</f>
        <v>0</v>
      </c>
      <c r="F15" s="95">
        <f>광교!H16</f>
        <v>50</v>
      </c>
      <c r="G15" s="95">
        <f>판교!H16</f>
        <v>0</v>
      </c>
      <c r="H15" s="95">
        <f>삼송!H16</f>
        <v>0</v>
      </c>
      <c r="I15" s="95">
        <f>양산!H16</f>
        <v>0</v>
      </c>
      <c r="J15" s="95">
        <f>대구!H16</f>
        <v>0</v>
      </c>
      <c r="K15" s="95">
        <f>청주!H16</f>
        <v>0</v>
      </c>
      <c r="L15" s="92">
        <f t="shared" ref="L15:L18" si="20">SUM(C15:K15)</f>
        <v>65</v>
      </c>
      <c r="M15" s="95">
        <f>수원!H16</f>
        <v>0</v>
      </c>
      <c r="N15" s="95">
        <f>광주전남!H16</f>
        <v>0</v>
      </c>
      <c r="O15" s="95">
        <f>강남!H16</f>
        <v>0</v>
      </c>
      <c r="P15" s="96">
        <f t="shared" si="0"/>
        <v>0</v>
      </c>
      <c r="Q15" s="95">
        <f>중앙!H16</f>
        <v>0</v>
      </c>
      <c r="R15" s="95">
        <f>고양!H16</f>
        <v>0</v>
      </c>
      <c r="S15" s="95">
        <f>용인!H16</f>
        <v>0</v>
      </c>
      <c r="T15" s="95">
        <f>분당!H16</f>
        <v>0</v>
      </c>
      <c r="U15" s="95">
        <f>세종!H16</f>
        <v>0</v>
      </c>
      <c r="V15" s="95">
        <f>김해!H16</f>
        <v>0</v>
      </c>
      <c r="W15" s="95">
        <f>평택!H16</f>
        <v>0</v>
      </c>
      <c r="X15" s="96">
        <f t="shared" si="1"/>
        <v>0</v>
      </c>
      <c r="Y15" s="96">
        <f t="shared" si="3"/>
        <v>65</v>
      </c>
    </row>
    <row r="16" spans="1:25">
      <c r="A16" s="263" t="s">
        <v>34</v>
      </c>
      <c r="B16" s="97" t="s">
        <v>81</v>
      </c>
      <c r="C16" s="95">
        <f>동탄!H17</f>
        <v>14191</v>
      </c>
      <c r="D16" s="95">
        <f>화성!H17</f>
        <v>0</v>
      </c>
      <c r="E16" s="95">
        <f>파주!H17</f>
        <v>2131</v>
      </c>
      <c r="F16" s="95">
        <f>광교!H17</f>
        <v>812</v>
      </c>
      <c r="G16" s="95">
        <f>판교!H17</f>
        <v>2011</v>
      </c>
      <c r="H16" s="95">
        <f>삼송!H17</f>
        <v>0</v>
      </c>
      <c r="I16" s="95">
        <f>양산!H17</f>
        <v>0</v>
      </c>
      <c r="J16" s="95">
        <f>대구!H17</f>
        <v>0</v>
      </c>
      <c r="K16" s="95">
        <f>청주!H17</f>
        <v>0</v>
      </c>
      <c r="L16" s="92">
        <f>SUM(C16:K16)</f>
        <v>19145</v>
      </c>
      <c r="M16" s="95">
        <f>수원!H17</f>
        <v>0</v>
      </c>
      <c r="N16" s="95">
        <f>광주전남!H17</f>
        <v>0</v>
      </c>
      <c r="O16" s="95">
        <f>강남!H17</f>
        <v>0</v>
      </c>
      <c r="P16" s="96">
        <f t="shared" si="0"/>
        <v>0</v>
      </c>
      <c r="Q16" s="95">
        <f>중앙!H17</f>
        <v>0</v>
      </c>
      <c r="R16" s="95">
        <f>고양!H17</f>
        <v>0</v>
      </c>
      <c r="S16" s="95">
        <f>용인!H17</f>
        <v>0</v>
      </c>
      <c r="T16" s="95">
        <f>분당!H17</f>
        <v>0</v>
      </c>
      <c r="U16" s="95">
        <f>세종!H17</f>
        <v>0</v>
      </c>
      <c r="V16" s="95">
        <f>김해!H17</f>
        <v>0</v>
      </c>
      <c r="W16" s="95">
        <f>평택!H17</f>
        <v>0</v>
      </c>
      <c r="X16" s="96">
        <f t="shared" si="1"/>
        <v>0</v>
      </c>
      <c r="Y16" s="96">
        <f t="shared" si="3"/>
        <v>19145</v>
      </c>
    </row>
    <row r="17" spans="1:25">
      <c r="A17" s="263"/>
      <c r="B17" s="97" t="s">
        <v>64</v>
      </c>
      <c r="C17" s="95">
        <f>동탄!H18</f>
        <v>466.46397368193408</v>
      </c>
      <c r="D17" s="95">
        <f>화성!H18</f>
        <v>2924.9607310465612</v>
      </c>
      <c r="E17" s="95">
        <f>파주!H18</f>
        <v>1159.1608716065696</v>
      </c>
      <c r="F17" s="95">
        <f>광교!H18</f>
        <v>770.52092923118914</v>
      </c>
      <c r="G17" s="95">
        <f>판교!H18</f>
        <v>1234.1475431467784</v>
      </c>
      <c r="H17" s="95">
        <f>삼송!H18</f>
        <v>304.14173345486654</v>
      </c>
      <c r="I17" s="95">
        <f>양산!H18</f>
        <v>180</v>
      </c>
      <c r="J17" s="95">
        <f>대구!H18</f>
        <v>1466.9693384308036</v>
      </c>
      <c r="K17" s="95">
        <f>청주!H18</f>
        <v>1283</v>
      </c>
      <c r="L17" s="92">
        <f>SUM(C17:K17)</f>
        <v>9789.3651205987026</v>
      </c>
      <c r="M17" s="95">
        <f>수원!H18</f>
        <v>378.46208185549182</v>
      </c>
      <c r="N17" s="95">
        <f>광주전남!H18</f>
        <v>1616.1091441072215</v>
      </c>
      <c r="O17" s="95">
        <f>강남!H18</f>
        <v>1455.4106892477896</v>
      </c>
      <c r="P17" s="96">
        <f t="shared" si="0"/>
        <v>3449.9819152105028</v>
      </c>
      <c r="Q17" s="95">
        <f>중앙!H18</f>
        <v>999.4071432435727</v>
      </c>
      <c r="R17" s="95">
        <f>고양!H18</f>
        <v>1239.9646613109535</v>
      </c>
      <c r="S17" s="95">
        <f>용인!H18</f>
        <v>606.86101148816499</v>
      </c>
      <c r="T17" s="95">
        <f>분당!H18</f>
        <v>1009.2481326190564</v>
      </c>
      <c r="U17" s="95">
        <f>세종!H18</f>
        <v>82.008244795697976</v>
      </c>
      <c r="V17" s="95">
        <f>김해!H18</f>
        <v>86.382017851468532</v>
      </c>
      <c r="W17" s="95">
        <f>평택!H18</f>
        <v>9.8409893754837565</v>
      </c>
      <c r="X17" s="96">
        <f t="shared" si="1"/>
        <v>4033.7122006843974</v>
      </c>
      <c r="Y17" s="96">
        <f t="shared" si="3"/>
        <v>17273.059236493602</v>
      </c>
    </row>
    <row r="18" spans="1:25">
      <c r="A18" s="263"/>
      <c r="B18" s="93" t="s">
        <v>35</v>
      </c>
      <c r="C18" s="98">
        <f t="shared" ref="C18:H18" si="21">SUM(C16:C17)</f>
        <v>14657.463973681934</v>
      </c>
      <c r="D18" s="98">
        <f t="shared" si="21"/>
        <v>2924.9607310465612</v>
      </c>
      <c r="E18" s="98">
        <f t="shared" si="21"/>
        <v>3290.1608716065693</v>
      </c>
      <c r="F18" s="98">
        <f t="shared" si="21"/>
        <v>1582.5209292311893</v>
      </c>
      <c r="G18" s="98">
        <f t="shared" si="21"/>
        <v>3245.1475431467784</v>
      </c>
      <c r="H18" s="98">
        <f t="shared" si="21"/>
        <v>304.14173345486654</v>
      </c>
      <c r="I18" s="98">
        <f>SUM(I16:I17)</f>
        <v>180</v>
      </c>
      <c r="J18" s="98">
        <f>SUM(J16:J17)</f>
        <v>1466.9693384308036</v>
      </c>
      <c r="K18" s="98">
        <f>SUM(K16:K17)</f>
        <v>1283</v>
      </c>
      <c r="L18" s="98">
        <f t="shared" si="20"/>
        <v>28934.365120598701</v>
      </c>
      <c r="M18" s="98">
        <f>SUM(M16:M17)</f>
        <v>378.46208185549182</v>
      </c>
      <c r="N18" s="98">
        <f>SUM(N16:N17)</f>
        <v>1616.1091441072215</v>
      </c>
      <c r="O18" s="98">
        <f>SUM(O16:O17)</f>
        <v>1455.4106892477896</v>
      </c>
      <c r="P18" s="99">
        <f t="shared" si="0"/>
        <v>3449.9819152105028</v>
      </c>
      <c r="Q18" s="98">
        <f t="shared" ref="Q18:W18" si="22">SUM(Q16:Q17)</f>
        <v>999.4071432435727</v>
      </c>
      <c r="R18" s="98">
        <f t="shared" si="22"/>
        <v>1239.9646613109535</v>
      </c>
      <c r="S18" s="98">
        <f t="shared" si="22"/>
        <v>606.86101148816499</v>
      </c>
      <c r="T18" s="98">
        <f t="shared" si="22"/>
        <v>1009.2481326190564</v>
      </c>
      <c r="U18" s="98">
        <f t="shared" si="22"/>
        <v>82.008244795697976</v>
      </c>
      <c r="V18" s="98">
        <f t="shared" si="22"/>
        <v>86.382017851468532</v>
      </c>
      <c r="W18" s="98">
        <f t="shared" si="22"/>
        <v>9.8409893754837565</v>
      </c>
      <c r="X18" s="99">
        <f t="shared" si="1"/>
        <v>4033.7122006843974</v>
      </c>
      <c r="Y18" s="99">
        <f t="shared" si="3"/>
        <v>36418.059236493602</v>
      </c>
    </row>
    <row r="19" spans="1:25">
      <c r="A19" s="89" t="s">
        <v>102</v>
      </c>
      <c r="B19" s="89" t="s">
        <v>103</v>
      </c>
      <c r="C19" s="100">
        <f>동탄!H19</f>
        <v>0</v>
      </c>
      <c r="D19" s="100">
        <f>화성!H19</f>
        <v>10209.383566110033</v>
      </c>
      <c r="E19" s="100">
        <f>파주!H19</f>
        <v>0</v>
      </c>
      <c r="F19" s="100">
        <f>광교!H19</f>
        <v>0</v>
      </c>
      <c r="G19" s="100">
        <f>판교!H19</f>
        <v>0</v>
      </c>
      <c r="H19" s="100">
        <f>삼송!H19</f>
        <v>0</v>
      </c>
      <c r="I19" s="100">
        <f>양산!H19</f>
        <v>0</v>
      </c>
      <c r="J19" s="100">
        <f>대구!H19</f>
        <v>0</v>
      </c>
      <c r="K19" s="100">
        <f>청주!H19</f>
        <v>4898.737992196262</v>
      </c>
      <c r="L19" s="92">
        <f>SUM(C19:K19)</f>
        <v>15108.121558306295</v>
      </c>
      <c r="M19" s="100">
        <f>수원!H19</f>
        <v>0</v>
      </c>
      <c r="N19" s="100">
        <f>광주전남!H19</f>
        <v>0</v>
      </c>
      <c r="O19" s="100">
        <f>강남!H19</f>
        <v>0</v>
      </c>
      <c r="P19" s="96">
        <f t="shared" si="0"/>
        <v>0</v>
      </c>
      <c r="Q19" s="100">
        <f>중앙!H19</f>
        <v>0</v>
      </c>
      <c r="R19" s="100">
        <f>고양!H19</f>
        <v>0</v>
      </c>
      <c r="S19" s="100">
        <f>용인!H19</f>
        <v>0</v>
      </c>
      <c r="T19" s="100">
        <f>분당!H19</f>
        <v>0</v>
      </c>
      <c r="U19" s="100">
        <f>세종!H19</f>
        <v>0</v>
      </c>
      <c r="V19" s="100">
        <f>김해!H19</f>
        <v>0</v>
      </c>
      <c r="W19" s="100">
        <f>평택!H19</f>
        <v>0</v>
      </c>
      <c r="X19" s="96">
        <f t="shared" si="1"/>
        <v>0</v>
      </c>
      <c r="Y19" s="96">
        <f t="shared" si="3"/>
        <v>15108.121558306295</v>
      </c>
    </row>
    <row r="20" spans="1:25">
      <c r="A20" s="263" t="s">
        <v>63</v>
      </c>
      <c r="B20" s="263"/>
      <c r="C20" s="95">
        <f>동탄!H20</f>
        <v>60.075395807426808</v>
      </c>
      <c r="D20" s="95">
        <f>화성!H20</f>
        <v>76</v>
      </c>
      <c r="E20" s="95">
        <f>파주!H20</f>
        <v>444.91829360424663</v>
      </c>
      <c r="F20" s="95">
        <f>광교!H20</f>
        <v>12.577289729336586</v>
      </c>
      <c r="G20" s="95">
        <f>판교!H20</f>
        <v>36.588479212615525</v>
      </c>
      <c r="H20" s="95">
        <f>삼송!H20</f>
        <v>19</v>
      </c>
      <c r="I20" s="95">
        <f>양산!H20</f>
        <v>4</v>
      </c>
      <c r="J20" s="95">
        <f>대구!H20</f>
        <v>102</v>
      </c>
      <c r="K20" s="95">
        <f>청주!H20</f>
        <v>5.5824999999999996</v>
      </c>
      <c r="L20" s="92">
        <f>SUM(C20:K20)</f>
        <v>760.74195835362559</v>
      </c>
      <c r="M20" s="95">
        <f>수원!H20</f>
        <v>150</v>
      </c>
      <c r="N20" s="95">
        <f>광주전남!H20</f>
        <v>80.037298277596463</v>
      </c>
      <c r="O20" s="95">
        <f>강남!H20</f>
        <v>30</v>
      </c>
      <c r="P20" s="96">
        <f t="shared" si="0"/>
        <v>260.03729827759645</v>
      </c>
      <c r="Q20" s="95">
        <f>중앙!H20</f>
        <v>0</v>
      </c>
      <c r="R20" s="95">
        <f>고양!H20</f>
        <v>21</v>
      </c>
      <c r="S20" s="95">
        <f>용인!H20</f>
        <v>0</v>
      </c>
      <c r="T20" s="95">
        <f>분당!H20</f>
        <v>0</v>
      </c>
      <c r="U20" s="95">
        <f>세종!H20</f>
        <v>0</v>
      </c>
      <c r="V20" s="95">
        <f>김해!H20</f>
        <v>0</v>
      </c>
      <c r="W20" s="95">
        <f>평택!H20</f>
        <v>0</v>
      </c>
      <c r="X20" s="96">
        <f t="shared" si="1"/>
        <v>21</v>
      </c>
      <c r="Y20" s="96">
        <f t="shared" si="3"/>
        <v>1041.7792566312221</v>
      </c>
    </row>
    <row r="21" spans="1:25">
      <c r="A21" s="263" t="s">
        <v>36</v>
      </c>
      <c r="B21" s="97" t="s">
        <v>38</v>
      </c>
      <c r="C21" s="95">
        <f>동탄!H21</f>
        <v>128653.17179912311</v>
      </c>
      <c r="D21" s="95">
        <f>화성!H21</f>
        <v>15548</v>
      </c>
      <c r="E21" s="95">
        <f>파주!H21</f>
        <v>0</v>
      </c>
      <c r="F21" s="95">
        <f>광교!H21</f>
        <v>0</v>
      </c>
      <c r="G21" s="95">
        <f>판교!H21</f>
        <v>0</v>
      </c>
      <c r="H21" s="95">
        <f>삼송!H21</f>
        <v>0</v>
      </c>
      <c r="I21" s="95">
        <f>양산!H21</f>
        <v>0</v>
      </c>
      <c r="J21" s="95">
        <f>대구!H21</f>
        <v>0</v>
      </c>
      <c r="K21" s="95">
        <f>청주!H21</f>
        <v>0</v>
      </c>
      <c r="L21" s="92">
        <f>SUM(C21:K21)</f>
        <v>144201.17179912311</v>
      </c>
      <c r="M21" s="95">
        <f>수원!H21</f>
        <v>0</v>
      </c>
      <c r="N21" s="95">
        <f>광주전남!H21</f>
        <v>0</v>
      </c>
      <c r="O21" s="95">
        <f>강남!H21</f>
        <v>0</v>
      </c>
      <c r="P21" s="96">
        <f t="shared" si="0"/>
        <v>0</v>
      </c>
      <c r="Q21" s="95">
        <f>중앙!H21</f>
        <v>0</v>
      </c>
      <c r="R21" s="95">
        <f>고양!H21</f>
        <v>0</v>
      </c>
      <c r="S21" s="95">
        <f>용인!H21</f>
        <v>0</v>
      </c>
      <c r="T21" s="95">
        <f>분당!H21</f>
        <v>0</v>
      </c>
      <c r="U21" s="95">
        <f>세종!H21</f>
        <v>0</v>
      </c>
      <c r="V21" s="95">
        <f>김해!H21</f>
        <v>0</v>
      </c>
      <c r="W21" s="95">
        <f>평택!H21</f>
        <v>0</v>
      </c>
      <c r="X21" s="96">
        <f t="shared" si="1"/>
        <v>0</v>
      </c>
      <c r="Y21" s="96">
        <f t="shared" si="3"/>
        <v>144201.17179912311</v>
      </c>
    </row>
    <row r="22" spans="1:25">
      <c r="A22" s="263"/>
      <c r="B22" s="97" t="s">
        <v>39</v>
      </c>
      <c r="C22" s="95">
        <f>동탄!H22</f>
        <v>624</v>
      </c>
      <c r="D22" s="95">
        <f>화성!H22</f>
        <v>2274.0657621198361</v>
      </c>
      <c r="E22" s="95">
        <f>파주!H22</f>
        <v>18</v>
      </c>
      <c r="F22" s="95">
        <f>광교!H22</f>
        <v>167.26874911087464</v>
      </c>
      <c r="G22" s="95">
        <f>판교!H22</f>
        <v>180</v>
      </c>
      <c r="H22" s="95">
        <f>삼송!H22</f>
        <v>50</v>
      </c>
      <c r="I22" s="95">
        <f>양산!H22</f>
        <v>154.35764667822176</v>
      </c>
      <c r="J22" s="95">
        <f>대구!H22</f>
        <v>356</v>
      </c>
      <c r="K22" s="95">
        <f>청주!H22</f>
        <v>356</v>
      </c>
      <c r="L22" s="92">
        <f>SUM(C22:K22)</f>
        <v>4179.6921579089321</v>
      </c>
      <c r="M22" s="95">
        <f>수원!H22</f>
        <v>187.53480999815503</v>
      </c>
      <c r="N22" s="95">
        <f>광주전남!H22</f>
        <v>386</v>
      </c>
      <c r="O22" s="95">
        <f>강남!H22</f>
        <v>107</v>
      </c>
      <c r="P22" s="96">
        <f t="shared" si="0"/>
        <v>680.53480999815497</v>
      </c>
      <c r="Q22" s="95">
        <f>중앙!H22</f>
        <v>29</v>
      </c>
      <c r="R22" s="95">
        <f>고양!H22</f>
        <v>0</v>
      </c>
      <c r="S22" s="95">
        <f>용인!H22</f>
        <v>0</v>
      </c>
      <c r="T22" s="95">
        <f>분당!H22</f>
        <v>0</v>
      </c>
      <c r="U22" s="95">
        <f>세종!H22</f>
        <v>0</v>
      </c>
      <c r="V22" s="95">
        <f>김해!H22</f>
        <v>0</v>
      </c>
      <c r="W22" s="95">
        <f>평택!H22</f>
        <v>0</v>
      </c>
      <c r="X22" s="96">
        <f t="shared" si="1"/>
        <v>29</v>
      </c>
      <c r="Y22" s="96">
        <f t="shared" si="3"/>
        <v>4889.2269679070869</v>
      </c>
    </row>
    <row r="23" spans="1:25">
      <c r="A23" s="263"/>
      <c r="B23" s="97" t="s">
        <v>37</v>
      </c>
      <c r="C23" s="95">
        <f>동탄!H23</f>
        <v>2</v>
      </c>
      <c r="D23" s="95">
        <f>화성!H23</f>
        <v>238</v>
      </c>
      <c r="E23" s="95">
        <f>파주!H23</f>
        <v>126</v>
      </c>
      <c r="F23" s="95">
        <f>광교!H23</f>
        <v>130.34645719494281</v>
      </c>
      <c r="G23" s="95">
        <f>판교!H23</f>
        <v>54</v>
      </c>
      <c r="H23" s="95">
        <f>삼송!H23</f>
        <v>20</v>
      </c>
      <c r="I23" s="95">
        <f>양산!H23</f>
        <v>91</v>
      </c>
      <c r="J23" s="95">
        <f>대구!H23</f>
        <v>83.5</v>
      </c>
      <c r="K23" s="95">
        <f>청주!H23</f>
        <v>83.5</v>
      </c>
      <c r="L23" s="92">
        <f>SUM(C23:K23)</f>
        <v>828.34645719494279</v>
      </c>
      <c r="M23" s="95">
        <f>수원!H23</f>
        <v>170.10038057589117</v>
      </c>
      <c r="N23" s="95">
        <f>광주전남!H23</f>
        <v>84</v>
      </c>
      <c r="O23" s="95">
        <f>강남!H23</f>
        <v>45.735599015769409</v>
      </c>
      <c r="P23" s="96">
        <f t="shared" si="0"/>
        <v>299.83597959166059</v>
      </c>
      <c r="Q23" s="95">
        <f>중앙!H23</f>
        <v>0</v>
      </c>
      <c r="R23" s="95">
        <f>고양!H23</f>
        <v>10</v>
      </c>
      <c r="S23" s="95">
        <f>용인!H23</f>
        <v>0</v>
      </c>
      <c r="T23" s="95">
        <f>분당!H23</f>
        <v>0</v>
      </c>
      <c r="U23" s="95">
        <f>세종!H23</f>
        <v>0</v>
      </c>
      <c r="V23" s="95">
        <f>김해!H23</f>
        <v>0</v>
      </c>
      <c r="W23" s="95">
        <f>평택!H23</f>
        <v>0</v>
      </c>
      <c r="X23" s="96">
        <f t="shared" si="1"/>
        <v>10</v>
      </c>
      <c r="Y23" s="96">
        <f t="shared" si="3"/>
        <v>1138.1824367866034</v>
      </c>
    </row>
    <row r="24" spans="1:25">
      <c r="A24" s="263"/>
      <c r="B24" s="93" t="s">
        <v>35</v>
      </c>
      <c r="C24" s="98">
        <f t="shared" ref="C24:H24" si="23">SUM(C21:C23)</f>
        <v>129279.17179912311</v>
      </c>
      <c r="D24" s="98">
        <f t="shared" si="23"/>
        <v>18060.065762119837</v>
      </c>
      <c r="E24" s="98">
        <f t="shared" si="23"/>
        <v>144</v>
      </c>
      <c r="F24" s="98">
        <f t="shared" si="23"/>
        <v>297.61520630581742</v>
      </c>
      <c r="G24" s="98">
        <f t="shared" si="23"/>
        <v>234</v>
      </c>
      <c r="H24" s="98">
        <f t="shared" si="23"/>
        <v>70</v>
      </c>
      <c r="I24" s="98">
        <f>SUM(I21:I23)</f>
        <v>245.35764667822176</v>
      </c>
      <c r="J24" s="98">
        <f>SUM(J21:J23)</f>
        <v>439.5</v>
      </c>
      <c r="K24" s="98">
        <f>SUM(K21:K23)</f>
        <v>439.5</v>
      </c>
      <c r="L24" s="98">
        <f t="shared" ref="L24" si="24">SUM(C24:K24)</f>
        <v>149209.21041422698</v>
      </c>
      <c r="M24" s="98">
        <f>SUM(M21:M23)</f>
        <v>357.63519057404619</v>
      </c>
      <c r="N24" s="98">
        <f>SUM(N21:N23)</f>
        <v>470</v>
      </c>
      <c r="O24" s="98">
        <f>SUM(O21:O23)</f>
        <v>152.73559901576942</v>
      </c>
      <c r="P24" s="99">
        <f t="shared" si="0"/>
        <v>980.37078958981556</v>
      </c>
      <c r="Q24" s="98">
        <f t="shared" ref="Q24:W24" si="25">SUM(Q21:Q23)</f>
        <v>29</v>
      </c>
      <c r="R24" s="98">
        <f t="shared" si="25"/>
        <v>10</v>
      </c>
      <c r="S24" s="98">
        <f t="shared" si="25"/>
        <v>0</v>
      </c>
      <c r="T24" s="98">
        <f t="shared" si="25"/>
        <v>0</v>
      </c>
      <c r="U24" s="98">
        <f t="shared" si="25"/>
        <v>0</v>
      </c>
      <c r="V24" s="98">
        <f t="shared" si="25"/>
        <v>0</v>
      </c>
      <c r="W24" s="98">
        <f t="shared" si="25"/>
        <v>0</v>
      </c>
      <c r="X24" s="99">
        <f t="shared" si="1"/>
        <v>39</v>
      </c>
      <c r="Y24" s="99">
        <f t="shared" si="3"/>
        <v>150228.58120381681</v>
      </c>
    </row>
    <row r="25" spans="1:25">
      <c r="A25" s="255" t="s">
        <v>115</v>
      </c>
      <c r="B25" s="255"/>
      <c r="C25" s="56">
        <f>C14+C15+C19+C18+C20+C24</f>
        <v>144015.71116861247</v>
      </c>
      <c r="D25" s="56">
        <f t="shared" ref="D25:Y25" si="26">D14+D15+D19+D18+D20+D24</f>
        <v>31285.41005927643</v>
      </c>
      <c r="E25" s="56">
        <f t="shared" si="26"/>
        <v>3879.079165210816</v>
      </c>
      <c r="F25" s="56">
        <f t="shared" si="26"/>
        <v>1970.7134252663432</v>
      </c>
      <c r="G25" s="56">
        <f t="shared" si="26"/>
        <v>3521.7360223593937</v>
      </c>
      <c r="H25" s="56">
        <f t="shared" si="26"/>
        <v>393.14173345486654</v>
      </c>
      <c r="I25" s="56">
        <f t="shared" si="26"/>
        <v>440.35764667822173</v>
      </c>
      <c r="J25" s="56">
        <f t="shared" si="26"/>
        <v>2008.4693384308036</v>
      </c>
      <c r="K25" s="56">
        <f t="shared" si="26"/>
        <v>6626.8204921962624</v>
      </c>
      <c r="L25" s="56">
        <f t="shared" si="26"/>
        <v>194141.43905148562</v>
      </c>
      <c r="M25" s="56">
        <f t="shared" si="26"/>
        <v>886.09727242953795</v>
      </c>
      <c r="N25" s="56">
        <f t="shared" si="26"/>
        <v>2166.1464423848179</v>
      </c>
      <c r="O25" s="56">
        <f t="shared" si="26"/>
        <v>1638.146288263559</v>
      </c>
      <c r="P25" s="56">
        <f t="shared" si="26"/>
        <v>4690.390003077915</v>
      </c>
      <c r="Q25" s="56">
        <f t="shared" si="26"/>
        <v>1028.4071432435726</v>
      </c>
      <c r="R25" s="56">
        <f t="shared" si="26"/>
        <v>1270.9646613109535</v>
      </c>
      <c r="S25" s="56">
        <f t="shared" si="26"/>
        <v>606.86101148816499</v>
      </c>
      <c r="T25" s="56">
        <f t="shared" si="26"/>
        <v>1009.2481326190564</v>
      </c>
      <c r="U25" s="56">
        <f t="shared" si="26"/>
        <v>82.008244795697976</v>
      </c>
      <c r="V25" s="56">
        <f t="shared" si="26"/>
        <v>86.382017851468532</v>
      </c>
      <c r="W25" s="56">
        <f t="shared" si="26"/>
        <v>9.8409893754837565</v>
      </c>
      <c r="X25" s="56">
        <f t="shared" si="26"/>
        <v>4093.7122006843974</v>
      </c>
      <c r="Y25" s="56">
        <f t="shared" si="26"/>
        <v>202925.54125524792</v>
      </c>
    </row>
    <row r="26" spans="1:25">
      <c r="A26" s="224" t="s">
        <v>282</v>
      </c>
      <c r="B26" s="224" t="s">
        <v>354</v>
      </c>
      <c r="C26" s="95">
        <f>동탄!H25</f>
        <v>1245.0171232891714</v>
      </c>
      <c r="D26" s="95">
        <f>화성!H25</f>
        <v>364.22972171330696</v>
      </c>
      <c r="E26" s="95">
        <f>파주!H25</f>
        <v>462.26256606678504</v>
      </c>
      <c r="F26" s="95">
        <f>광교!H25</f>
        <v>148.66519253604369</v>
      </c>
      <c r="G26" s="95">
        <f>판교!H25</f>
        <v>1506.0430374303555</v>
      </c>
      <c r="H26" s="95">
        <f>삼송!H25</f>
        <v>763.79435875402135</v>
      </c>
      <c r="I26" s="95">
        <f>양산!H25</f>
        <v>2.1545680077687486</v>
      </c>
      <c r="J26" s="95">
        <f>대구!H25</f>
        <v>688.38447848211536</v>
      </c>
      <c r="K26" s="95">
        <f>청주!H25</f>
        <v>3196.3016395249388</v>
      </c>
      <c r="L26" s="92">
        <f>SUM(C26:K26)</f>
        <v>8376.8526858045079</v>
      </c>
      <c r="M26" s="95">
        <f>수원!H25</f>
        <v>46.323212167028103</v>
      </c>
      <c r="N26" s="95">
        <f>광주전남!H25</f>
        <v>572.03780606260295</v>
      </c>
      <c r="O26" s="95">
        <f>강남!H25</f>
        <v>1346.6050048554678</v>
      </c>
      <c r="P26" s="96">
        <f t="shared" ref="P26" si="27">SUM(M26:O26)</f>
        <v>1964.9660230850989</v>
      </c>
      <c r="Q26" s="95">
        <f>중앙!H25</f>
        <v>1122.9226365612494</v>
      </c>
      <c r="R26" s="95">
        <f>고양!H25</f>
        <v>745.07721253874968</v>
      </c>
      <c r="S26" s="95">
        <f>용인!H25</f>
        <v>580.56586219187466</v>
      </c>
      <c r="T26" s="95">
        <f>분당!H25</f>
        <v>0</v>
      </c>
      <c r="U26" s="95">
        <f>세종!H25</f>
        <v>0</v>
      </c>
      <c r="V26" s="95">
        <f>김해!H25</f>
        <v>278.07725026374987</v>
      </c>
      <c r="W26" s="95">
        <f>평택!H25</f>
        <v>0</v>
      </c>
      <c r="X26" s="96">
        <f t="shared" ref="X26" si="28">SUM(Q26:W26)</f>
        <v>2726.6429615556235</v>
      </c>
      <c r="Y26" s="96">
        <f t="shared" ref="Y26" si="29">L26+P26+X26</f>
        <v>13068.461670445231</v>
      </c>
    </row>
    <row r="29" spans="1:25">
      <c r="C29" s="262"/>
      <c r="D29" s="262"/>
      <c r="E29" s="262"/>
      <c r="F29" s="262"/>
      <c r="G29" s="262"/>
      <c r="H29" s="262"/>
      <c r="I29" s="262"/>
      <c r="J29" s="262"/>
      <c r="K29" s="262"/>
    </row>
    <row r="30" spans="1:25">
      <c r="C30" s="262"/>
      <c r="D30" s="262"/>
      <c r="E30" s="262"/>
      <c r="F30" s="262"/>
      <c r="G30" s="262"/>
      <c r="H30" s="262"/>
      <c r="I30" s="262"/>
      <c r="J30" s="262"/>
      <c r="K30" s="109"/>
    </row>
    <row r="31" spans="1:25">
      <c r="B31" s="247" t="s">
        <v>33</v>
      </c>
      <c r="C31" s="21">
        <f>INT(C4*0.9)</f>
        <v>922</v>
      </c>
      <c r="D31" s="21">
        <f t="shared" ref="D31:O32" si="30">INT(D4*0.9)</f>
        <v>355</v>
      </c>
      <c r="E31" s="21">
        <f>INT(E4*0.9)</f>
        <v>767</v>
      </c>
      <c r="F31" s="21">
        <f t="shared" si="30"/>
        <v>42</v>
      </c>
      <c r="G31" s="21">
        <f t="shared" si="30"/>
        <v>296</v>
      </c>
      <c r="H31" s="21">
        <f t="shared" si="30"/>
        <v>278</v>
      </c>
      <c r="I31" s="21">
        <f t="shared" si="30"/>
        <v>158</v>
      </c>
      <c r="J31" s="21">
        <f t="shared" si="30"/>
        <v>2</v>
      </c>
      <c r="K31" s="21">
        <f t="shared" si="30"/>
        <v>29</v>
      </c>
      <c r="L31" s="21"/>
      <c r="M31" s="21">
        <f t="shared" si="30"/>
        <v>296</v>
      </c>
      <c r="N31" s="21">
        <f t="shared" si="30"/>
        <v>231</v>
      </c>
      <c r="O31" s="21">
        <f t="shared" si="30"/>
        <v>156</v>
      </c>
      <c r="P31" s="21"/>
      <c r="Q31" s="21">
        <f t="shared" ref="Q31:W32" si="31">INT(Q4*0.9)</f>
        <v>200</v>
      </c>
      <c r="R31" s="21">
        <f t="shared" si="31"/>
        <v>102</v>
      </c>
      <c r="S31" s="21">
        <f t="shared" si="31"/>
        <v>83</v>
      </c>
      <c r="T31" s="21">
        <f t="shared" si="31"/>
        <v>38</v>
      </c>
      <c r="U31" s="21">
        <f t="shared" si="31"/>
        <v>31</v>
      </c>
      <c r="V31" s="21">
        <f t="shared" si="31"/>
        <v>145</v>
      </c>
      <c r="W31" s="21">
        <f t="shared" si="31"/>
        <v>0</v>
      </c>
      <c r="Y31" s="21">
        <f>SUM(C31:X31)</f>
        <v>4131</v>
      </c>
    </row>
    <row r="32" spans="1:25">
      <c r="B32" s="247" t="s">
        <v>95</v>
      </c>
      <c r="C32" s="21">
        <f t="shared" ref="C32:K32" si="32">INT(C5*0.9)</f>
        <v>4588</v>
      </c>
      <c r="D32" s="21">
        <f t="shared" si="32"/>
        <v>3608</v>
      </c>
      <c r="E32" s="21">
        <f t="shared" si="32"/>
        <v>2023</v>
      </c>
      <c r="F32" s="21">
        <f t="shared" si="32"/>
        <v>922</v>
      </c>
      <c r="G32" s="21">
        <f t="shared" si="32"/>
        <v>826</v>
      </c>
      <c r="H32" s="21">
        <f t="shared" si="32"/>
        <v>1475</v>
      </c>
      <c r="I32" s="21">
        <f t="shared" si="32"/>
        <v>786</v>
      </c>
      <c r="J32" s="21">
        <f t="shared" si="32"/>
        <v>1058</v>
      </c>
      <c r="K32" s="21">
        <f t="shared" si="32"/>
        <v>2319</v>
      </c>
      <c r="L32" s="21"/>
      <c r="M32" s="21">
        <f t="shared" si="30"/>
        <v>826</v>
      </c>
      <c r="N32" s="21">
        <f t="shared" si="30"/>
        <v>1176</v>
      </c>
      <c r="O32" s="21">
        <f t="shared" si="30"/>
        <v>1773</v>
      </c>
      <c r="P32" s="21"/>
      <c r="Q32" s="21">
        <f t="shared" si="31"/>
        <v>1303</v>
      </c>
      <c r="R32" s="21">
        <f t="shared" si="31"/>
        <v>615</v>
      </c>
      <c r="S32" s="21">
        <f t="shared" si="31"/>
        <v>457</v>
      </c>
      <c r="T32" s="21">
        <f t="shared" si="31"/>
        <v>592</v>
      </c>
      <c r="U32" s="21">
        <f t="shared" si="31"/>
        <v>110</v>
      </c>
      <c r="V32" s="21">
        <f t="shared" si="31"/>
        <v>298</v>
      </c>
      <c r="W32" s="21">
        <f t="shared" si="31"/>
        <v>159</v>
      </c>
      <c r="Y32" s="21">
        <f t="shared" ref="Y32:Y39" si="33">SUM(C32:X32)</f>
        <v>24914</v>
      </c>
    </row>
    <row r="33" spans="2:26">
      <c r="B33" s="247" t="s">
        <v>96</v>
      </c>
      <c r="C33" s="21">
        <f>C6</f>
        <v>8719.1165866786087</v>
      </c>
      <c r="D33" s="21">
        <f t="shared" ref="D33:Y33" si="34">D6</f>
        <v>6735.6105058866606</v>
      </c>
      <c r="E33" s="21">
        <f t="shared" si="34"/>
        <v>6294.9528705177763</v>
      </c>
      <c r="F33" s="21">
        <f t="shared" si="34"/>
        <v>2587.0867624882853</v>
      </c>
      <c r="G33" s="21">
        <f t="shared" si="34"/>
        <v>2685.4966562431232</v>
      </c>
      <c r="H33" s="21">
        <f t="shared" si="34"/>
        <v>1937.5814637063575</v>
      </c>
      <c r="I33" s="21">
        <f t="shared" si="34"/>
        <v>2414.3227267853486</v>
      </c>
      <c r="J33" s="21">
        <f t="shared" si="34"/>
        <v>3994.3482431824627</v>
      </c>
      <c r="K33" s="21">
        <f t="shared" si="34"/>
        <v>3629.1381930256211</v>
      </c>
      <c r="L33" s="21"/>
      <c r="M33" s="21">
        <f t="shared" si="34"/>
        <v>2685.4966562431232</v>
      </c>
      <c r="N33" s="21">
        <f t="shared" si="34"/>
        <v>1911.3388253717342</v>
      </c>
      <c r="O33" s="21">
        <f t="shared" si="34"/>
        <v>1341.654884857619</v>
      </c>
      <c r="P33" s="21"/>
      <c r="Q33" s="21">
        <f t="shared" si="34"/>
        <v>1163.4236328349687</v>
      </c>
      <c r="R33" s="21">
        <f t="shared" si="34"/>
        <v>764.31684149590512</v>
      </c>
      <c r="S33" s="21">
        <f t="shared" si="34"/>
        <v>740.26108968916708</v>
      </c>
      <c r="T33" s="21">
        <f t="shared" si="34"/>
        <v>660.4397314213544</v>
      </c>
      <c r="U33" s="21">
        <f t="shared" si="34"/>
        <v>298.51001105634066</v>
      </c>
      <c r="V33" s="21">
        <f t="shared" si="34"/>
        <v>43.737730557705589</v>
      </c>
      <c r="W33" s="21">
        <f t="shared" si="34"/>
        <v>43.737730557705589</v>
      </c>
      <c r="X33" s="21"/>
      <c r="Y33" s="21">
        <f t="shared" si="34"/>
        <v>48650.57114259986</v>
      </c>
    </row>
    <row r="34" spans="2:26">
      <c r="B34" s="247" t="s">
        <v>97</v>
      </c>
      <c r="C34" s="21">
        <f t="shared" ref="C34:K37" si="35">INT(C7*0.9)</f>
        <v>2953</v>
      </c>
      <c r="D34" s="21">
        <f t="shared" si="35"/>
        <v>360</v>
      </c>
      <c r="E34" s="21">
        <f t="shared" si="35"/>
        <v>627</v>
      </c>
      <c r="F34" s="21">
        <f t="shared" si="35"/>
        <v>182</v>
      </c>
      <c r="G34" s="21">
        <f t="shared" si="35"/>
        <v>182</v>
      </c>
      <c r="H34" s="21">
        <f t="shared" si="35"/>
        <v>154</v>
      </c>
      <c r="I34" s="21">
        <f t="shared" si="35"/>
        <v>225</v>
      </c>
      <c r="J34" s="21">
        <f t="shared" si="35"/>
        <v>257</v>
      </c>
      <c r="K34" s="21">
        <f t="shared" si="35"/>
        <v>196</v>
      </c>
      <c r="L34" s="21"/>
      <c r="M34" s="21">
        <f t="shared" ref="M34:O37" si="36">INT(M7*0.9)</f>
        <v>182</v>
      </c>
      <c r="N34" s="21">
        <f t="shared" si="36"/>
        <v>201</v>
      </c>
      <c r="O34" s="21">
        <f t="shared" si="36"/>
        <v>569</v>
      </c>
      <c r="P34" s="21"/>
      <c r="Q34" s="21">
        <f t="shared" ref="Q34:W37" si="37">INT(Q7*0.9)</f>
        <v>666</v>
      </c>
      <c r="R34" s="21">
        <f t="shared" si="37"/>
        <v>521</v>
      </c>
      <c r="S34" s="21">
        <f t="shared" si="37"/>
        <v>115</v>
      </c>
      <c r="T34" s="21">
        <f t="shared" si="37"/>
        <v>81</v>
      </c>
      <c r="U34" s="21">
        <f t="shared" si="37"/>
        <v>59</v>
      </c>
      <c r="V34" s="21">
        <f t="shared" si="37"/>
        <v>51</v>
      </c>
      <c r="W34" s="21">
        <f t="shared" si="37"/>
        <v>90</v>
      </c>
      <c r="Y34" s="21">
        <f t="shared" si="33"/>
        <v>7671</v>
      </c>
    </row>
    <row r="35" spans="2:26">
      <c r="B35" s="247" t="s">
        <v>281</v>
      </c>
      <c r="C35" s="21">
        <f t="shared" si="35"/>
        <v>2273</v>
      </c>
      <c r="D35" s="21">
        <f t="shared" si="35"/>
        <v>1186</v>
      </c>
      <c r="E35" s="21">
        <f t="shared" si="35"/>
        <v>696</v>
      </c>
      <c r="F35" s="21">
        <f t="shared" si="35"/>
        <v>1204</v>
      </c>
      <c r="G35" s="21">
        <f t="shared" si="35"/>
        <v>454</v>
      </c>
      <c r="H35" s="21">
        <f t="shared" si="35"/>
        <v>380</v>
      </c>
      <c r="I35" s="21">
        <f t="shared" si="35"/>
        <v>867</v>
      </c>
      <c r="J35" s="21">
        <f t="shared" si="35"/>
        <v>748</v>
      </c>
      <c r="K35" s="21">
        <f t="shared" si="35"/>
        <v>360</v>
      </c>
      <c r="L35" s="21"/>
      <c r="M35" s="21">
        <f t="shared" si="36"/>
        <v>454</v>
      </c>
      <c r="N35" s="21">
        <f t="shared" si="36"/>
        <v>690</v>
      </c>
      <c r="O35" s="21">
        <f t="shared" si="36"/>
        <v>617</v>
      </c>
      <c r="P35" s="21"/>
      <c r="Q35" s="21">
        <f t="shared" si="37"/>
        <v>1019</v>
      </c>
      <c r="R35" s="21">
        <f t="shared" si="37"/>
        <v>1210</v>
      </c>
      <c r="S35" s="21">
        <f t="shared" si="37"/>
        <v>216</v>
      </c>
      <c r="T35" s="21">
        <f t="shared" si="37"/>
        <v>430</v>
      </c>
      <c r="U35" s="21">
        <f t="shared" si="37"/>
        <v>324</v>
      </c>
      <c r="V35" s="21">
        <f t="shared" si="37"/>
        <v>255</v>
      </c>
      <c r="W35" s="21">
        <f t="shared" si="37"/>
        <v>27</v>
      </c>
      <c r="Y35" s="21">
        <f t="shared" si="33"/>
        <v>13410</v>
      </c>
    </row>
    <row r="36" spans="2:26">
      <c r="B36" s="247" t="s">
        <v>279</v>
      </c>
      <c r="C36" s="21">
        <f t="shared" si="35"/>
        <v>731</v>
      </c>
      <c r="D36" s="21">
        <f t="shared" si="35"/>
        <v>564</v>
      </c>
      <c r="E36" s="21">
        <f t="shared" si="35"/>
        <v>527</v>
      </c>
      <c r="F36" s="21">
        <f t="shared" si="35"/>
        <v>216</v>
      </c>
      <c r="G36" s="21">
        <f t="shared" si="35"/>
        <v>225</v>
      </c>
      <c r="H36" s="21">
        <f t="shared" si="35"/>
        <v>49</v>
      </c>
      <c r="I36" s="21">
        <f t="shared" si="35"/>
        <v>201</v>
      </c>
      <c r="J36" s="21">
        <f t="shared" si="35"/>
        <v>334</v>
      </c>
      <c r="K36" s="21">
        <f t="shared" si="35"/>
        <v>304</v>
      </c>
      <c r="L36" s="21"/>
      <c r="M36" s="21">
        <f t="shared" si="36"/>
        <v>225</v>
      </c>
      <c r="N36" s="21">
        <f t="shared" si="36"/>
        <v>154</v>
      </c>
      <c r="O36" s="21">
        <f t="shared" si="36"/>
        <v>108</v>
      </c>
      <c r="P36" s="21"/>
      <c r="Q36" s="21">
        <f t="shared" si="37"/>
        <v>94</v>
      </c>
      <c r="R36" s="21">
        <f t="shared" si="37"/>
        <v>61</v>
      </c>
      <c r="S36" s="21">
        <f t="shared" si="37"/>
        <v>60</v>
      </c>
      <c r="T36" s="21">
        <f t="shared" si="37"/>
        <v>53</v>
      </c>
      <c r="U36" s="21">
        <f t="shared" si="37"/>
        <v>24</v>
      </c>
      <c r="V36" s="21">
        <f t="shared" si="37"/>
        <v>3</v>
      </c>
      <c r="W36" s="21">
        <f t="shared" si="37"/>
        <v>3</v>
      </c>
      <c r="Y36" s="21">
        <f t="shared" si="33"/>
        <v>3936</v>
      </c>
    </row>
    <row r="37" spans="2:26">
      <c r="B37" s="247" t="s">
        <v>280</v>
      </c>
      <c r="C37" s="21">
        <f t="shared" si="35"/>
        <v>81</v>
      </c>
      <c r="D37" s="21">
        <f t="shared" si="35"/>
        <v>62</v>
      </c>
      <c r="E37" s="21">
        <f t="shared" si="35"/>
        <v>59</v>
      </c>
      <c r="F37" s="21">
        <f t="shared" si="35"/>
        <v>23</v>
      </c>
      <c r="G37" s="21">
        <f t="shared" si="35"/>
        <v>24</v>
      </c>
      <c r="H37" s="21">
        <f t="shared" si="35"/>
        <v>5</v>
      </c>
      <c r="I37" s="21">
        <f t="shared" si="35"/>
        <v>22</v>
      </c>
      <c r="J37" s="21">
        <f t="shared" si="35"/>
        <v>37</v>
      </c>
      <c r="K37" s="21">
        <f t="shared" si="35"/>
        <v>33</v>
      </c>
      <c r="L37" s="21"/>
      <c r="M37" s="21">
        <f t="shared" si="36"/>
        <v>24</v>
      </c>
      <c r="N37" s="21">
        <f t="shared" si="36"/>
        <v>16</v>
      </c>
      <c r="O37" s="21">
        <f t="shared" si="36"/>
        <v>11</v>
      </c>
      <c r="P37" s="21"/>
      <c r="Q37" s="21">
        <f t="shared" si="37"/>
        <v>10</v>
      </c>
      <c r="R37" s="21">
        <f t="shared" si="37"/>
        <v>6</v>
      </c>
      <c r="S37" s="21">
        <f t="shared" si="37"/>
        <v>6</v>
      </c>
      <c r="T37" s="21">
        <f t="shared" si="37"/>
        <v>5</v>
      </c>
      <c r="U37" s="21">
        <f t="shared" si="37"/>
        <v>2</v>
      </c>
      <c r="V37" s="21">
        <f t="shared" si="37"/>
        <v>0</v>
      </c>
      <c r="W37" s="21">
        <f t="shared" si="37"/>
        <v>0</v>
      </c>
      <c r="Y37" s="21">
        <f t="shared" si="33"/>
        <v>426</v>
      </c>
    </row>
    <row r="38" spans="2:26">
      <c r="C38" s="21"/>
      <c r="D38" s="21"/>
      <c r="E38" s="21"/>
      <c r="F38" s="21"/>
      <c r="G38" s="21"/>
      <c r="H38" s="21"/>
      <c r="I38" s="21"/>
      <c r="J38" s="21"/>
      <c r="K38" s="21"/>
      <c r="L38" s="246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Y38" s="21"/>
    </row>
    <row r="39" spans="2:26">
      <c r="B39" s="247" t="s">
        <v>99</v>
      </c>
      <c r="C39" s="21">
        <f t="shared" ref="C39:K39" si="38">INT(C12*0.9)</f>
        <v>425</v>
      </c>
      <c r="D39" s="21">
        <f t="shared" si="38"/>
        <v>357</v>
      </c>
      <c r="E39" s="21">
        <f t="shared" si="38"/>
        <v>543</v>
      </c>
      <c r="F39" s="21">
        <f t="shared" si="38"/>
        <v>226</v>
      </c>
      <c r="G39" s="21">
        <f t="shared" si="38"/>
        <v>207</v>
      </c>
      <c r="H39" s="21">
        <f t="shared" si="38"/>
        <v>222</v>
      </c>
      <c r="I39" s="21">
        <f t="shared" si="38"/>
        <v>646</v>
      </c>
      <c r="J39" s="21">
        <f t="shared" si="38"/>
        <v>409</v>
      </c>
      <c r="K39" s="21">
        <f t="shared" si="38"/>
        <v>425</v>
      </c>
      <c r="L39" s="21"/>
      <c r="M39" s="21">
        <f t="shared" ref="M39:O39" si="39">INT(M12*0.9)</f>
        <v>207</v>
      </c>
      <c r="N39" s="21">
        <f t="shared" si="39"/>
        <v>753</v>
      </c>
      <c r="O39" s="21">
        <f t="shared" si="39"/>
        <v>229</v>
      </c>
      <c r="P39" s="21"/>
      <c r="Q39" s="21">
        <f t="shared" ref="Q39:W39" si="40">INT(Q12*0.9)</f>
        <v>230</v>
      </c>
      <c r="R39" s="21">
        <f t="shared" si="40"/>
        <v>96</v>
      </c>
      <c r="S39" s="21">
        <f t="shared" si="40"/>
        <v>185</v>
      </c>
      <c r="T39" s="21">
        <f t="shared" si="40"/>
        <v>63</v>
      </c>
      <c r="U39" s="21">
        <f t="shared" si="40"/>
        <v>75</v>
      </c>
      <c r="V39" s="21">
        <f t="shared" si="40"/>
        <v>155</v>
      </c>
      <c r="W39" s="21">
        <f t="shared" si="40"/>
        <v>49</v>
      </c>
      <c r="Y39" s="21">
        <f t="shared" si="33"/>
        <v>5502</v>
      </c>
    </row>
    <row r="40" spans="2:26"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Y40" s="21">
        <f>SUM(Y31:Y39)</f>
        <v>108640.57114259986</v>
      </c>
      <c r="Z40" s="21">
        <f>Y13-Y40</f>
        <v>6742.4679907567042</v>
      </c>
    </row>
    <row r="41" spans="2:26">
      <c r="C41" s="21">
        <f>C14</f>
        <v>19</v>
      </c>
      <c r="D41" s="21">
        <f t="shared" ref="D41:W41" si="41">D14</f>
        <v>0</v>
      </c>
      <c r="E41" s="21">
        <f t="shared" si="41"/>
        <v>0</v>
      </c>
      <c r="F41" s="21">
        <f t="shared" si="41"/>
        <v>28</v>
      </c>
      <c r="G41" s="21">
        <f t="shared" si="41"/>
        <v>6</v>
      </c>
      <c r="H41" s="21">
        <f t="shared" si="41"/>
        <v>0</v>
      </c>
      <c r="I41" s="21">
        <f t="shared" si="41"/>
        <v>11</v>
      </c>
      <c r="J41" s="21">
        <f t="shared" si="41"/>
        <v>0</v>
      </c>
      <c r="K41" s="21">
        <f t="shared" si="41"/>
        <v>0</v>
      </c>
      <c r="L41" s="21">
        <f t="shared" si="41"/>
        <v>64</v>
      </c>
      <c r="M41" s="21">
        <f t="shared" si="41"/>
        <v>0</v>
      </c>
      <c r="N41" s="21">
        <f t="shared" si="41"/>
        <v>0</v>
      </c>
      <c r="O41" s="21">
        <f t="shared" si="41"/>
        <v>0</v>
      </c>
      <c r="P41" s="21">
        <f t="shared" si="41"/>
        <v>0</v>
      </c>
      <c r="Q41" s="21">
        <f t="shared" si="41"/>
        <v>0</v>
      </c>
      <c r="R41" s="21">
        <f t="shared" si="41"/>
        <v>0</v>
      </c>
      <c r="S41" s="21">
        <f t="shared" si="41"/>
        <v>0</v>
      </c>
      <c r="T41" s="21">
        <f t="shared" si="41"/>
        <v>0</v>
      </c>
      <c r="U41" s="21">
        <f t="shared" si="41"/>
        <v>0</v>
      </c>
      <c r="V41" s="21">
        <f t="shared" si="41"/>
        <v>0</v>
      </c>
      <c r="W41" s="21">
        <f t="shared" si="41"/>
        <v>0</v>
      </c>
    </row>
    <row r="42" spans="2:26">
      <c r="C42" s="21">
        <f t="shared" ref="C42:W42" si="42">C15</f>
        <v>0</v>
      </c>
      <c r="D42" s="21">
        <f t="shared" si="42"/>
        <v>15</v>
      </c>
      <c r="E42" s="21">
        <f t="shared" si="42"/>
        <v>0</v>
      </c>
      <c r="F42" s="21">
        <f t="shared" si="42"/>
        <v>50</v>
      </c>
      <c r="G42" s="21">
        <f t="shared" si="42"/>
        <v>0</v>
      </c>
      <c r="H42" s="21">
        <f t="shared" si="42"/>
        <v>0</v>
      </c>
      <c r="I42" s="21">
        <f t="shared" si="42"/>
        <v>0</v>
      </c>
      <c r="J42" s="21">
        <f t="shared" si="42"/>
        <v>0</v>
      </c>
      <c r="K42" s="21">
        <f t="shared" si="42"/>
        <v>0</v>
      </c>
      <c r="L42" s="21">
        <f t="shared" si="42"/>
        <v>65</v>
      </c>
      <c r="M42" s="21">
        <f t="shared" si="42"/>
        <v>0</v>
      </c>
      <c r="N42" s="21">
        <f t="shared" si="42"/>
        <v>0</v>
      </c>
      <c r="O42" s="21">
        <f t="shared" si="42"/>
        <v>0</v>
      </c>
      <c r="P42" s="21">
        <f t="shared" si="42"/>
        <v>0</v>
      </c>
      <c r="Q42" s="21">
        <f t="shared" si="42"/>
        <v>0</v>
      </c>
      <c r="R42" s="21">
        <f t="shared" si="42"/>
        <v>0</v>
      </c>
      <c r="S42" s="21">
        <f t="shared" si="42"/>
        <v>0</v>
      </c>
      <c r="T42" s="21">
        <f t="shared" si="42"/>
        <v>0</v>
      </c>
      <c r="U42" s="21">
        <f t="shared" si="42"/>
        <v>0</v>
      </c>
      <c r="V42" s="21">
        <f t="shared" si="42"/>
        <v>0</v>
      </c>
      <c r="W42" s="21">
        <f t="shared" si="42"/>
        <v>0</v>
      </c>
    </row>
    <row r="43" spans="2:26">
      <c r="C43" s="21">
        <f t="shared" ref="C43:W43" si="43">C16</f>
        <v>14191</v>
      </c>
      <c r="D43" s="21">
        <f t="shared" si="43"/>
        <v>0</v>
      </c>
      <c r="E43" s="21">
        <f t="shared" si="43"/>
        <v>2131</v>
      </c>
      <c r="F43" s="21">
        <f t="shared" si="43"/>
        <v>812</v>
      </c>
      <c r="G43" s="21">
        <f t="shared" si="43"/>
        <v>2011</v>
      </c>
      <c r="H43" s="21">
        <f t="shared" si="43"/>
        <v>0</v>
      </c>
      <c r="I43" s="21">
        <f t="shared" si="43"/>
        <v>0</v>
      </c>
      <c r="J43" s="21">
        <f t="shared" si="43"/>
        <v>0</v>
      </c>
      <c r="K43" s="21">
        <f t="shared" si="43"/>
        <v>0</v>
      </c>
      <c r="L43" s="21">
        <f t="shared" si="43"/>
        <v>19145</v>
      </c>
      <c r="M43" s="21">
        <f t="shared" si="43"/>
        <v>0</v>
      </c>
      <c r="N43" s="21">
        <f t="shared" si="43"/>
        <v>0</v>
      </c>
      <c r="O43" s="21">
        <f t="shared" si="43"/>
        <v>0</v>
      </c>
      <c r="P43" s="21">
        <f t="shared" si="43"/>
        <v>0</v>
      </c>
      <c r="Q43" s="21">
        <f t="shared" si="43"/>
        <v>0</v>
      </c>
      <c r="R43" s="21">
        <f t="shared" si="43"/>
        <v>0</v>
      </c>
      <c r="S43" s="21">
        <f t="shared" si="43"/>
        <v>0</v>
      </c>
      <c r="T43" s="21">
        <f t="shared" si="43"/>
        <v>0</v>
      </c>
      <c r="U43" s="21">
        <f t="shared" si="43"/>
        <v>0</v>
      </c>
      <c r="V43" s="21">
        <f t="shared" si="43"/>
        <v>0</v>
      </c>
      <c r="W43" s="21">
        <f t="shared" si="43"/>
        <v>0</v>
      </c>
    </row>
    <row r="44" spans="2:26">
      <c r="C44" s="21">
        <f t="shared" ref="C44:W44" si="44">C17</f>
        <v>466.46397368193408</v>
      </c>
      <c r="D44" s="21">
        <f t="shared" si="44"/>
        <v>2924.9607310465612</v>
      </c>
      <c r="E44" s="21">
        <f t="shared" si="44"/>
        <v>1159.1608716065696</v>
      </c>
      <c r="F44" s="21">
        <f t="shared" si="44"/>
        <v>770.52092923118914</v>
      </c>
      <c r="G44" s="21">
        <f t="shared" si="44"/>
        <v>1234.1475431467784</v>
      </c>
      <c r="H44" s="21">
        <f t="shared" si="44"/>
        <v>304.14173345486654</v>
      </c>
      <c r="I44" s="21">
        <f t="shared" si="44"/>
        <v>180</v>
      </c>
      <c r="J44" s="21">
        <f t="shared" si="44"/>
        <v>1466.9693384308036</v>
      </c>
      <c r="K44" s="21">
        <f t="shared" si="44"/>
        <v>1283</v>
      </c>
      <c r="L44" s="21">
        <f t="shared" si="44"/>
        <v>9789.3651205987026</v>
      </c>
      <c r="M44" s="21">
        <f t="shared" si="44"/>
        <v>378.46208185549182</v>
      </c>
      <c r="N44" s="21">
        <f t="shared" si="44"/>
        <v>1616.1091441072215</v>
      </c>
      <c r="O44" s="21">
        <f t="shared" si="44"/>
        <v>1455.4106892477896</v>
      </c>
      <c r="P44" s="21">
        <f t="shared" si="44"/>
        <v>3449.9819152105028</v>
      </c>
      <c r="Q44" s="21">
        <f t="shared" si="44"/>
        <v>999.4071432435727</v>
      </c>
      <c r="R44" s="21">
        <f t="shared" si="44"/>
        <v>1239.9646613109535</v>
      </c>
      <c r="S44" s="21">
        <f t="shared" si="44"/>
        <v>606.86101148816499</v>
      </c>
      <c r="T44" s="21">
        <f t="shared" si="44"/>
        <v>1009.2481326190564</v>
      </c>
      <c r="U44" s="21">
        <f t="shared" si="44"/>
        <v>82.008244795697976</v>
      </c>
      <c r="V44" s="21">
        <f t="shared" si="44"/>
        <v>86.382017851468532</v>
      </c>
      <c r="W44" s="21">
        <f t="shared" si="44"/>
        <v>9.8409893754837565</v>
      </c>
    </row>
    <row r="45" spans="2:26">
      <c r="C45" s="21">
        <f t="shared" ref="C45:W45" si="45">C18</f>
        <v>14657.463973681934</v>
      </c>
      <c r="D45" s="21">
        <f t="shared" si="45"/>
        <v>2924.9607310465612</v>
      </c>
      <c r="E45" s="21">
        <f t="shared" si="45"/>
        <v>3290.1608716065693</v>
      </c>
      <c r="F45" s="21">
        <f t="shared" si="45"/>
        <v>1582.5209292311893</v>
      </c>
      <c r="G45" s="21">
        <f t="shared" si="45"/>
        <v>3245.1475431467784</v>
      </c>
      <c r="H45" s="21">
        <f t="shared" si="45"/>
        <v>304.14173345486654</v>
      </c>
      <c r="I45" s="21">
        <f t="shared" si="45"/>
        <v>180</v>
      </c>
      <c r="J45" s="21">
        <f t="shared" si="45"/>
        <v>1466.9693384308036</v>
      </c>
      <c r="K45" s="21">
        <f t="shared" si="45"/>
        <v>1283</v>
      </c>
      <c r="L45" s="21">
        <f t="shared" si="45"/>
        <v>28934.365120598701</v>
      </c>
      <c r="M45" s="21">
        <f t="shared" si="45"/>
        <v>378.46208185549182</v>
      </c>
      <c r="N45" s="21">
        <f t="shared" si="45"/>
        <v>1616.1091441072215</v>
      </c>
      <c r="O45" s="21">
        <f t="shared" si="45"/>
        <v>1455.4106892477896</v>
      </c>
      <c r="P45" s="21">
        <f t="shared" si="45"/>
        <v>3449.9819152105028</v>
      </c>
      <c r="Q45" s="21">
        <f t="shared" si="45"/>
        <v>999.4071432435727</v>
      </c>
      <c r="R45" s="21">
        <f t="shared" si="45"/>
        <v>1239.9646613109535</v>
      </c>
      <c r="S45" s="21">
        <f t="shared" si="45"/>
        <v>606.86101148816499</v>
      </c>
      <c r="T45" s="21">
        <f t="shared" si="45"/>
        <v>1009.2481326190564</v>
      </c>
      <c r="U45" s="21">
        <f t="shared" si="45"/>
        <v>82.008244795697976</v>
      </c>
      <c r="V45" s="21">
        <f t="shared" si="45"/>
        <v>86.382017851468532</v>
      </c>
      <c r="W45" s="21">
        <f t="shared" si="45"/>
        <v>9.8409893754837565</v>
      </c>
    </row>
    <row r="46" spans="2:26">
      <c r="C46" s="21">
        <f t="shared" ref="C46:W46" si="46">C19</f>
        <v>0</v>
      </c>
      <c r="D46" s="21">
        <f t="shared" si="46"/>
        <v>10209.383566110033</v>
      </c>
      <c r="E46" s="21">
        <f t="shared" si="46"/>
        <v>0</v>
      </c>
      <c r="F46" s="21">
        <f t="shared" si="46"/>
        <v>0</v>
      </c>
      <c r="G46" s="21">
        <f t="shared" si="46"/>
        <v>0</v>
      </c>
      <c r="H46" s="21">
        <f t="shared" si="46"/>
        <v>0</v>
      </c>
      <c r="I46" s="21">
        <f t="shared" si="46"/>
        <v>0</v>
      </c>
      <c r="J46" s="21">
        <f t="shared" si="46"/>
        <v>0</v>
      </c>
      <c r="K46" s="21">
        <f t="shared" si="46"/>
        <v>4898.737992196262</v>
      </c>
      <c r="L46" s="21">
        <f t="shared" si="46"/>
        <v>15108.121558306295</v>
      </c>
      <c r="M46" s="21">
        <f t="shared" si="46"/>
        <v>0</v>
      </c>
      <c r="N46" s="21">
        <f t="shared" si="46"/>
        <v>0</v>
      </c>
      <c r="O46" s="21">
        <f t="shared" si="46"/>
        <v>0</v>
      </c>
      <c r="P46" s="21">
        <f t="shared" si="46"/>
        <v>0</v>
      </c>
      <c r="Q46" s="21">
        <f t="shared" si="46"/>
        <v>0</v>
      </c>
      <c r="R46" s="21">
        <f t="shared" si="46"/>
        <v>0</v>
      </c>
      <c r="S46" s="21">
        <f t="shared" si="46"/>
        <v>0</v>
      </c>
      <c r="T46" s="21">
        <f t="shared" si="46"/>
        <v>0</v>
      </c>
      <c r="U46" s="21">
        <f t="shared" si="46"/>
        <v>0</v>
      </c>
      <c r="V46" s="21">
        <f t="shared" si="46"/>
        <v>0</v>
      </c>
      <c r="W46" s="21">
        <f t="shared" si="46"/>
        <v>0</v>
      </c>
    </row>
    <row r="47" spans="2:26">
      <c r="C47" s="21">
        <f t="shared" ref="C47:W47" si="47">C20</f>
        <v>60.075395807426808</v>
      </c>
      <c r="D47" s="21">
        <f t="shared" si="47"/>
        <v>76</v>
      </c>
      <c r="E47" s="21">
        <f t="shared" si="47"/>
        <v>444.91829360424663</v>
      </c>
      <c r="F47" s="21">
        <f t="shared" si="47"/>
        <v>12.577289729336586</v>
      </c>
      <c r="G47" s="21">
        <f t="shared" si="47"/>
        <v>36.588479212615525</v>
      </c>
      <c r="H47" s="21">
        <f t="shared" si="47"/>
        <v>19</v>
      </c>
      <c r="I47" s="21">
        <f t="shared" si="47"/>
        <v>4</v>
      </c>
      <c r="J47" s="21">
        <f t="shared" si="47"/>
        <v>102</v>
      </c>
      <c r="K47" s="21">
        <f t="shared" si="47"/>
        <v>5.5824999999999996</v>
      </c>
      <c r="L47" s="21">
        <f t="shared" si="47"/>
        <v>760.74195835362559</v>
      </c>
      <c r="M47" s="21">
        <f t="shared" si="47"/>
        <v>150</v>
      </c>
      <c r="N47" s="21">
        <f t="shared" si="47"/>
        <v>80.037298277596463</v>
      </c>
      <c r="O47" s="21">
        <f t="shared" si="47"/>
        <v>30</v>
      </c>
      <c r="P47" s="21">
        <f t="shared" si="47"/>
        <v>260.03729827759645</v>
      </c>
      <c r="Q47" s="21">
        <f t="shared" si="47"/>
        <v>0</v>
      </c>
      <c r="R47" s="21">
        <f t="shared" si="47"/>
        <v>21</v>
      </c>
      <c r="S47" s="21">
        <f t="shared" si="47"/>
        <v>0</v>
      </c>
      <c r="T47" s="21">
        <f t="shared" si="47"/>
        <v>0</v>
      </c>
      <c r="U47" s="21">
        <f t="shared" si="47"/>
        <v>0</v>
      </c>
      <c r="V47" s="21">
        <f t="shared" si="47"/>
        <v>0</v>
      </c>
      <c r="W47" s="21">
        <f t="shared" si="47"/>
        <v>0</v>
      </c>
    </row>
    <row r="48" spans="2:26">
      <c r="C48" s="21">
        <f t="shared" ref="C48:W48" si="48">C21</f>
        <v>128653.17179912311</v>
      </c>
      <c r="D48" s="21">
        <f t="shared" si="48"/>
        <v>15548</v>
      </c>
      <c r="E48" s="21">
        <f t="shared" si="48"/>
        <v>0</v>
      </c>
      <c r="F48" s="21">
        <f t="shared" si="48"/>
        <v>0</v>
      </c>
      <c r="G48" s="21">
        <f t="shared" si="48"/>
        <v>0</v>
      </c>
      <c r="H48" s="21">
        <f t="shared" si="48"/>
        <v>0</v>
      </c>
      <c r="I48" s="21">
        <f t="shared" si="48"/>
        <v>0</v>
      </c>
      <c r="J48" s="21">
        <f t="shared" si="48"/>
        <v>0</v>
      </c>
      <c r="K48" s="21">
        <f t="shared" si="48"/>
        <v>0</v>
      </c>
      <c r="L48" s="21">
        <f t="shared" si="48"/>
        <v>144201.17179912311</v>
      </c>
      <c r="M48" s="21">
        <f t="shared" si="48"/>
        <v>0</v>
      </c>
      <c r="N48" s="21">
        <f t="shared" si="48"/>
        <v>0</v>
      </c>
      <c r="O48" s="21">
        <f t="shared" si="48"/>
        <v>0</v>
      </c>
      <c r="P48" s="21">
        <f t="shared" si="48"/>
        <v>0</v>
      </c>
      <c r="Q48" s="21">
        <f t="shared" si="48"/>
        <v>0</v>
      </c>
      <c r="R48" s="21">
        <f t="shared" si="48"/>
        <v>0</v>
      </c>
      <c r="S48" s="21">
        <f t="shared" si="48"/>
        <v>0</v>
      </c>
      <c r="T48" s="21">
        <f t="shared" si="48"/>
        <v>0</v>
      </c>
      <c r="U48" s="21">
        <f t="shared" si="48"/>
        <v>0</v>
      </c>
      <c r="V48" s="21">
        <f t="shared" si="48"/>
        <v>0</v>
      </c>
      <c r="W48" s="21">
        <f t="shared" si="48"/>
        <v>0</v>
      </c>
    </row>
    <row r="49" spans="3:23">
      <c r="C49" s="21">
        <f t="shared" ref="C49:W49" si="49">C22</f>
        <v>624</v>
      </c>
      <c r="D49" s="21">
        <f t="shared" si="49"/>
        <v>2274.0657621198361</v>
      </c>
      <c r="E49" s="21">
        <f t="shared" si="49"/>
        <v>18</v>
      </c>
      <c r="F49" s="21">
        <f t="shared" si="49"/>
        <v>167.26874911087464</v>
      </c>
      <c r="G49" s="21">
        <f t="shared" si="49"/>
        <v>180</v>
      </c>
      <c r="H49" s="21">
        <f t="shared" si="49"/>
        <v>50</v>
      </c>
      <c r="I49" s="21">
        <f t="shared" si="49"/>
        <v>154.35764667822176</v>
      </c>
      <c r="J49" s="21">
        <f t="shared" si="49"/>
        <v>356</v>
      </c>
      <c r="K49" s="21">
        <f t="shared" si="49"/>
        <v>356</v>
      </c>
      <c r="L49" s="21">
        <f t="shared" si="49"/>
        <v>4179.6921579089321</v>
      </c>
      <c r="M49" s="21">
        <f t="shared" si="49"/>
        <v>187.53480999815503</v>
      </c>
      <c r="N49" s="21">
        <f t="shared" si="49"/>
        <v>386</v>
      </c>
      <c r="O49" s="21">
        <f t="shared" si="49"/>
        <v>107</v>
      </c>
      <c r="P49" s="21">
        <f t="shared" si="49"/>
        <v>680.53480999815497</v>
      </c>
      <c r="Q49" s="21">
        <f t="shared" si="49"/>
        <v>29</v>
      </c>
      <c r="R49" s="21">
        <f t="shared" si="49"/>
        <v>0</v>
      </c>
      <c r="S49" s="21">
        <f t="shared" si="49"/>
        <v>0</v>
      </c>
      <c r="T49" s="21">
        <f t="shared" si="49"/>
        <v>0</v>
      </c>
      <c r="U49" s="21">
        <f t="shared" si="49"/>
        <v>0</v>
      </c>
      <c r="V49" s="21">
        <f t="shared" si="49"/>
        <v>0</v>
      </c>
      <c r="W49" s="21">
        <f t="shared" si="49"/>
        <v>0</v>
      </c>
    </row>
    <row r="50" spans="3:23">
      <c r="C50" s="21">
        <f t="shared" ref="C50:W50" si="50">C23</f>
        <v>2</v>
      </c>
      <c r="D50" s="21">
        <f t="shared" si="50"/>
        <v>238</v>
      </c>
      <c r="E50" s="21">
        <f t="shared" si="50"/>
        <v>126</v>
      </c>
      <c r="F50" s="21">
        <f t="shared" si="50"/>
        <v>130.34645719494281</v>
      </c>
      <c r="G50" s="21">
        <f t="shared" si="50"/>
        <v>54</v>
      </c>
      <c r="H50" s="21">
        <f t="shared" si="50"/>
        <v>20</v>
      </c>
      <c r="I50" s="21">
        <f t="shared" si="50"/>
        <v>91</v>
      </c>
      <c r="J50" s="21">
        <f t="shared" si="50"/>
        <v>83.5</v>
      </c>
      <c r="K50" s="21">
        <f t="shared" si="50"/>
        <v>83.5</v>
      </c>
      <c r="L50" s="21">
        <f t="shared" si="50"/>
        <v>828.34645719494279</v>
      </c>
      <c r="M50" s="21">
        <f t="shared" si="50"/>
        <v>170.10038057589117</v>
      </c>
      <c r="N50" s="21">
        <f t="shared" si="50"/>
        <v>84</v>
      </c>
      <c r="O50" s="21">
        <f t="shared" si="50"/>
        <v>45.735599015769409</v>
      </c>
      <c r="P50" s="21">
        <f t="shared" si="50"/>
        <v>299.83597959166059</v>
      </c>
      <c r="Q50" s="21">
        <f t="shared" si="50"/>
        <v>0</v>
      </c>
      <c r="R50" s="21">
        <f t="shared" si="50"/>
        <v>10</v>
      </c>
      <c r="S50" s="21">
        <f t="shared" si="50"/>
        <v>0</v>
      </c>
      <c r="T50" s="21">
        <f t="shared" si="50"/>
        <v>0</v>
      </c>
      <c r="U50" s="21">
        <f t="shared" si="50"/>
        <v>0</v>
      </c>
      <c r="V50" s="21">
        <f t="shared" si="50"/>
        <v>0</v>
      </c>
      <c r="W50" s="21">
        <f t="shared" si="50"/>
        <v>0</v>
      </c>
    </row>
    <row r="51" spans="3:23">
      <c r="C51" s="21">
        <f t="shared" ref="C51:W51" si="51">C24</f>
        <v>129279.17179912311</v>
      </c>
      <c r="D51" s="21">
        <f t="shared" si="51"/>
        <v>18060.065762119837</v>
      </c>
      <c r="E51" s="21">
        <f t="shared" si="51"/>
        <v>144</v>
      </c>
      <c r="F51" s="21">
        <f t="shared" si="51"/>
        <v>297.61520630581742</v>
      </c>
      <c r="G51" s="21">
        <f t="shared" si="51"/>
        <v>234</v>
      </c>
      <c r="H51" s="21">
        <f t="shared" si="51"/>
        <v>70</v>
      </c>
      <c r="I51" s="21">
        <f t="shared" si="51"/>
        <v>245.35764667822176</v>
      </c>
      <c r="J51" s="21">
        <f t="shared" si="51"/>
        <v>439.5</v>
      </c>
      <c r="K51" s="21">
        <f t="shared" si="51"/>
        <v>439.5</v>
      </c>
      <c r="L51" s="21">
        <f t="shared" si="51"/>
        <v>149209.21041422698</v>
      </c>
      <c r="M51" s="21">
        <f t="shared" si="51"/>
        <v>357.63519057404619</v>
      </c>
      <c r="N51" s="21">
        <f t="shared" si="51"/>
        <v>470</v>
      </c>
      <c r="O51" s="21">
        <f t="shared" si="51"/>
        <v>152.73559901576942</v>
      </c>
      <c r="P51" s="21">
        <f t="shared" si="51"/>
        <v>980.37078958981556</v>
      </c>
      <c r="Q51" s="21">
        <f t="shared" si="51"/>
        <v>29</v>
      </c>
      <c r="R51" s="21">
        <f t="shared" si="51"/>
        <v>10</v>
      </c>
      <c r="S51" s="21">
        <f t="shared" si="51"/>
        <v>0</v>
      </c>
      <c r="T51" s="21">
        <f t="shared" si="51"/>
        <v>0</v>
      </c>
      <c r="U51" s="21">
        <f t="shared" si="51"/>
        <v>0</v>
      </c>
      <c r="V51" s="21">
        <f t="shared" si="51"/>
        <v>0</v>
      </c>
      <c r="W51" s="21">
        <f t="shared" si="51"/>
        <v>0</v>
      </c>
    </row>
    <row r="52" spans="3:23">
      <c r="C52" s="21">
        <f>C25</f>
        <v>144015.71116861247</v>
      </c>
      <c r="D52" s="21">
        <f t="shared" ref="D52:W52" si="52">D25</f>
        <v>31285.41005927643</v>
      </c>
      <c r="E52" s="21">
        <f t="shared" si="52"/>
        <v>3879.079165210816</v>
      </c>
      <c r="F52" s="21">
        <f t="shared" si="52"/>
        <v>1970.7134252663432</v>
      </c>
      <c r="G52" s="21">
        <f t="shared" si="52"/>
        <v>3521.7360223593937</v>
      </c>
      <c r="H52" s="21">
        <f t="shared" si="52"/>
        <v>393.14173345486654</v>
      </c>
      <c r="I52" s="21">
        <f t="shared" si="52"/>
        <v>440.35764667822173</v>
      </c>
      <c r="J52" s="21">
        <f t="shared" si="52"/>
        <v>2008.4693384308036</v>
      </c>
      <c r="K52" s="21">
        <f t="shared" si="52"/>
        <v>6626.8204921962624</v>
      </c>
      <c r="L52" s="21">
        <f t="shared" si="52"/>
        <v>194141.43905148562</v>
      </c>
      <c r="M52" s="21">
        <f t="shared" si="52"/>
        <v>886.09727242953795</v>
      </c>
      <c r="N52" s="21">
        <f t="shared" si="52"/>
        <v>2166.1464423848179</v>
      </c>
      <c r="O52" s="21">
        <f t="shared" si="52"/>
        <v>1638.146288263559</v>
      </c>
      <c r="P52" s="21">
        <f t="shared" si="52"/>
        <v>4690.390003077915</v>
      </c>
      <c r="Q52" s="21">
        <f t="shared" si="52"/>
        <v>1028.4071432435726</v>
      </c>
      <c r="R52" s="21">
        <f t="shared" si="52"/>
        <v>1270.9646613109535</v>
      </c>
      <c r="S52" s="21">
        <f t="shared" si="52"/>
        <v>606.86101148816499</v>
      </c>
      <c r="T52" s="21">
        <f t="shared" si="52"/>
        <v>1009.2481326190564</v>
      </c>
      <c r="U52" s="21">
        <f t="shared" si="52"/>
        <v>82.008244795697976</v>
      </c>
      <c r="V52" s="21">
        <f t="shared" si="52"/>
        <v>86.382017851468532</v>
      </c>
      <c r="W52" s="21">
        <f t="shared" si="52"/>
        <v>9.8409893754837565</v>
      </c>
    </row>
    <row r="53" spans="3:23">
      <c r="C53" s="21">
        <f t="shared" ref="C53:W53" si="53">C26</f>
        <v>1245.0171232891714</v>
      </c>
      <c r="D53" s="21">
        <f t="shared" si="53"/>
        <v>364.22972171330696</v>
      </c>
      <c r="E53" s="21">
        <f t="shared" si="53"/>
        <v>462.26256606678504</v>
      </c>
      <c r="F53" s="21">
        <f t="shared" si="53"/>
        <v>148.66519253604369</v>
      </c>
      <c r="G53" s="21">
        <f t="shared" si="53"/>
        <v>1506.0430374303555</v>
      </c>
      <c r="H53" s="21">
        <f t="shared" si="53"/>
        <v>763.79435875402135</v>
      </c>
      <c r="I53" s="21">
        <f t="shared" si="53"/>
        <v>2.1545680077687486</v>
      </c>
      <c r="J53" s="21">
        <f t="shared" si="53"/>
        <v>688.38447848211536</v>
      </c>
      <c r="K53" s="21">
        <f t="shared" si="53"/>
        <v>3196.3016395249388</v>
      </c>
      <c r="L53" s="21">
        <f t="shared" si="53"/>
        <v>8376.8526858045079</v>
      </c>
      <c r="M53" s="21">
        <f t="shared" si="53"/>
        <v>46.323212167028103</v>
      </c>
      <c r="N53" s="21">
        <f t="shared" si="53"/>
        <v>572.03780606260295</v>
      </c>
      <c r="O53" s="21">
        <f t="shared" si="53"/>
        <v>1346.6050048554678</v>
      </c>
      <c r="P53" s="21">
        <f t="shared" si="53"/>
        <v>1964.9660230850989</v>
      </c>
      <c r="Q53" s="21">
        <f t="shared" si="53"/>
        <v>1122.9226365612494</v>
      </c>
      <c r="R53" s="21">
        <f t="shared" si="53"/>
        <v>745.07721253874968</v>
      </c>
      <c r="S53" s="21">
        <f t="shared" si="53"/>
        <v>580.56586219187466</v>
      </c>
      <c r="T53" s="21">
        <f t="shared" si="53"/>
        <v>0</v>
      </c>
      <c r="U53" s="21">
        <f t="shared" si="53"/>
        <v>0</v>
      </c>
      <c r="V53" s="21">
        <f t="shared" si="53"/>
        <v>278.07725026374987</v>
      </c>
      <c r="W53" s="21">
        <f t="shared" si="53"/>
        <v>0</v>
      </c>
    </row>
    <row r="54" spans="3:23">
      <c r="C54" s="21">
        <f t="shared" ref="C54:W54" si="54">C27</f>
        <v>0</v>
      </c>
      <c r="D54" s="21">
        <f t="shared" si="54"/>
        <v>0</v>
      </c>
      <c r="E54" s="21">
        <f t="shared" si="54"/>
        <v>0</v>
      </c>
      <c r="F54" s="21">
        <f t="shared" si="54"/>
        <v>0</v>
      </c>
      <c r="G54" s="21">
        <f t="shared" si="54"/>
        <v>0</v>
      </c>
      <c r="H54" s="21">
        <f t="shared" si="54"/>
        <v>0</v>
      </c>
      <c r="I54" s="21">
        <f t="shared" si="54"/>
        <v>0</v>
      </c>
      <c r="J54" s="21">
        <f t="shared" si="54"/>
        <v>0</v>
      </c>
      <c r="K54" s="21">
        <f t="shared" si="54"/>
        <v>0</v>
      </c>
      <c r="L54" s="21">
        <f t="shared" si="54"/>
        <v>0</v>
      </c>
      <c r="M54" s="21">
        <f t="shared" si="54"/>
        <v>0</v>
      </c>
      <c r="N54" s="21">
        <f t="shared" si="54"/>
        <v>0</v>
      </c>
      <c r="O54" s="21">
        <f t="shared" si="54"/>
        <v>0</v>
      </c>
      <c r="P54" s="21">
        <f t="shared" si="54"/>
        <v>0</v>
      </c>
      <c r="Q54" s="21">
        <f t="shared" si="54"/>
        <v>0</v>
      </c>
      <c r="R54" s="21">
        <f t="shared" si="54"/>
        <v>0</v>
      </c>
      <c r="S54" s="21">
        <f t="shared" si="54"/>
        <v>0</v>
      </c>
      <c r="T54" s="21">
        <f t="shared" si="54"/>
        <v>0</v>
      </c>
      <c r="U54" s="21">
        <f t="shared" si="54"/>
        <v>0</v>
      </c>
      <c r="V54" s="21">
        <f t="shared" si="54"/>
        <v>0</v>
      </c>
      <c r="W54" s="21">
        <f t="shared" si="54"/>
        <v>0</v>
      </c>
    </row>
    <row r="55" spans="3:23">
      <c r="C55" s="21">
        <f t="shared" ref="C55:W55" si="55">C28</f>
        <v>0</v>
      </c>
      <c r="D55" s="21">
        <f t="shared" si="55"/>
        <v>0</v>
      </c>
      <c r="E55" s="21">
        <f t="shared" si="55"/>
        <v>0</v>
      </c>
      <c r="F55" s="21">
        <f t="shared" si="55"/>
        <v>0</v>
      </c>
      <c r="G55" s="21">
        <f t="shared" si="55"/>
        <v>0</v>
      </c>
      <c r="H55" s="21">
        <f t="shared" si="55"/>
        <v>0</v>
      </c>
      <c r="I55" s="21">
        <f t="shared" si="55"/>
        <v>0</v>
      </c>
      <c r="J55" s="21">
        <f t="shared" si="55"/>
        <v>0</v>
      </c>
      <c r="K55" s="21">
        <f t="shared" si="55"/>
        <v>0</v>
      </c>
      <c r="L55" s="21">
        <f t="shared" si="55"/>
        <v>0</v>
      </c>
      <c r="M55" s="21">
        <f t="shared" si="55"/>
        <v>0</v>
      </c>
      <c r="N55" s="21">
        <f t="shared" si="55"/>
        <v>0</v>
      </c>
      <c r="O55" s="21">
        <f t="shared" si="55"/>
        <v>0</v>
      </c>
      <c r="P55" s="21">
        <f t="shared" si="55"/>
        <v>0</v>
      </c>
      <c r="Q55" s="21">
        <f t="shared" si="55"/>
        <v>0</v>
      </c>
      <c r="R55" s="21">
        <f t="shared" si="55"/>
        <v>0</v>
      </c>
      <c r="S55" s="21">
        <f t="shared" si="55"/>
        <v>0</v>
      </c>
      <c r="T55" s="21">
        <f t="shared" si="55"/>
        <v>0</v>
      </c>
      <c r="U55" s="21">
        <f t="shared" si="55"/>
        <v>0</v>
      </c>
      <c r="V55" s="21">
        <f t="shared" si="55"/>
        <v>0</v>
      </c>
      <c r="W55" s="21">
        <f t="shared" si="55"/>
        <v>0</v>
      </c>
    </row>
    <row r="56" spans="3:23">
      <c r="C56" s="21">
        <f t="shared" ref="C56:W56" si="56">C29</f>
        <v>0</v>
      </c>
      <c r="D56" s="21">
        <f t="shared" si="56"/>
        <v>0</v>
      </c>
      <c r="E56" s="21">
        <f t="shared" si="56"/>
        <v>0</v>
      </c>
      <c r="F56" s="21">
        <f t="shared" si="56"/>
        <v>0</v>
      </c>
      <c r="G56" s="21">
        <f t="shared" si="56"/>
        <v>0</v>
      </c>
      <c r="H56" s="21">
        <f t="shared" si="56"/>
        <v>0</v>
      </c>
      <c r="I56" s="21">
        <f t="shared" si="56"/>
        <v>0</v>
      </c>
      <c r="J56" s="21">
        <f t="shared" si="56"/>
        <v>0</v>
      </c>
      <c r="K56" s="21">
        <f t="shared" si="56"/>
        <v>0</v>
      </c>
      <c r="L56" s="21">
        <f t="shared" si="56"/>
        <v>0</v>
      </c>
      <c r="M56" s="21">
        <f t="shared" si="56"/>
        <v>0</v>
      </c>
      <c r="N56" s="21">
        <f t="shared" si="56"/>
        <v>0</v>
      </c>
      <c r="O56" s="21">
        <f t="shared" si="56"/>
        <v>0</v>
      </c>
      <c r="P56" s="21">
        <f t="shared" si="56"/>
        <v>0</v>
      </c>
      <c r="Q56" s="21">
        <f t="shared" si="56"/>
        <v>0</v>
      </c>
      <c r="R56" s="21">
        <f t="shared" si="56"/>
        <v>0</v>
      </c>
      <c r="S56" s="21">
        <f t="shared" si="56"/>
        <v>0</v>
      </c>
      <c r="T56" s="21">
        <f t="shared" si="56"/>
        <v>0</v>
      </c>
      <c r="U56" s="21">
        <f t="shared" si="56"/>
        <v>0</v>
      </c>
      <c r="V56" s="21">
        <f t="shared" si="56"/>
        <v>0</v>
      </c>
      <c r="W56" s="21">
        <f t="shared" si="56"/>
        <v>0</v>
      </c>
    </row>
  </sheetData>
  <mergeCells count="11">
    <mergeCell ref="C29:K29"/>
    <mergeCell ref="C30:J30"/>
    <mergeCell ref="A20:B20"/>
    <mergeCell ref="A21:A24"/>
    <mergeCell ref="A25:B25"/>
    <mergeCell ref="A16:A18"/>
    <mergeCell ref="A3:B3"/>
    <mergeCell ref="A4:A11"/>
    <mergeCell ref="A13:B13"/>
    <mergeCell ref="A14:B14"/>
    <mergeCell ref="A15:B15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2:Z56"/>
  <sheetViews>
    <sheetView zoomScale="85" zoomScaleNormal="85" workbookViewId="0">
      <pane xSplit="2" ySplit="3" topLeftCell="C23" activePane="bottomRight" state="frozen"/>
      <selection activeCell="B46" sqref="B46"/>
      <selection pane="topRight" activeCell="B46" sqref="B46"/>
      <selection pane="bottomLeft" activeCell="B46" sqref="B46"/>
      <selection pane="bottomRight" activeCell="C31" sqref="C31:W53"/>
    </sheetView>
  </sheetViews>
  <sheetFormatPr defaultRowHeight="16.899999999999999"/>
  <cols>
    <col min="1" max="1" width="17.375" customWidth="1"/>
    <col min="2" max="2" width="19.25" bestFit="1" customWidth="1"/>
    <col min="11" max="11" width="10.375" customWidth="1"/>
    <col min="25" max="25" width="10.5" bestFit="1" customWidth="1"/>
  </cols>
  <sheetData>
    <row r="2" spans="1:25">
      <c r="Y2" t="s">
        <v>77</v>
      </c>
    </row>
    <row r="3" spans="1:25">
      <c r="A3" s="264" t="s">
        <v>220</v>
      </c>
      <c r="B3" s="264"/>
      <c r="C3" s="88" t="s">
        <v>0</v>
      </c>
      <c r="D3" s="88" t="s">
        <v>18</v>
      </c>
      <c r="E3" s="88" t="s">
        <v>19</v>
      </c>
      <c r="F3" s="88" t="s">
        <v>3</v>
      </c>
      <c r="G3" s="88" t="s">
        <v>5</v>
      </c>
      <c r="H3" s="88" t="s">
        <v>20</v>
      </c>
      <c r="I3" s="88" t="s">
        <v>7</v>
      </c>
      <c r="J3" s="88" t="s">
        <v>22</v>
      </c>
      <c r="K3" s="88" t="s">
        <v>23</v>
      </c>
      <c r="L3" s="88" t="s">
        <v>85</v>
      </c>
      <c r="M3" s="88" t="s">
        <v>21</v>
      </c>
      <c r="N3" s="88" t="s">
        <v>24</v>
      </c>
      <c r="O3" s="88" t="s">
        <v>25</v>
      </c>
      <c r="P3" s="88" t="s">
        <v>85</v>
      </c>
      <c r="Q3" s="88" t="s">
        <v>26</v>
      </c>
      <c r="R3" s="88" t="s">
        <v>27</v>
      </c>
      <c r="S3" s="88" t="s">
        <v>28</v>
      </c>
      <c r="T3" s="88" t="s">
        <v>29</v>
      </c>
      <c r="U3" s="88" t="s">
        <v>30</v>
      </c>
      <c r="V3" s="88" t="s">
        <v>31</v>
      </c>
      <c r="W3" s="88" t="s">
        <v>32</v>
      </c>
      <c r="X3" s="88" t="s">
        <v>17</v>
      </c>
      <c r="Y3" s="88" t="s">
        <v>41</v>
      </c>
    </row>
    <row r="4" spans="1:25">
      <c r="A4" s="265" t="s">
        <v>93</v>
      </c>
      <c r="B4" s="89" t="s">
        <v>33</v>
      </c>
      <c r="C4" s="90">
        <f>동탄!I6</f>
        <v>1039.8645440094504</v>
      </c>
      <c r="D4" s="90">
        <f>화성!I6</f>
        <v>401.29367786694877</v>
      </c>
      <c r="E4" s="90">
        <f>파주!I6</f>
        <v>866.00706504257062</v>
      </c>
      <c r="F4" s="90">
        <f>광교!I6</f>
        <v>48.111503613476145</v>
      </c>
      <c r="G4" s="90">
        <f>판교!I6</f>
        <v>334.59363876644773</v>
      </c>
      <c r="H4" s="90">
        <f>삼송!I6</f>
        <v>313.81821675153759</v>
      </c>
      <c r="I4" s="90">
        <f>양산!I6</f>
        <v>178.23125202265027</v>
      </c>
      <c r="J4" s="90">
        <f>대구!I6</f>
        <v>3.2803297918279188</v>
      </c>
      <c r="K4" s="90">
        <f>청주!I6</f>
        <v>32.803297918279192</v>
      </c>
      <c r="L4" s="91">
        <f>SUM(C4:K4)</f>
        <v>3218.0035257831883</v>
      </c>
      <c r="M4" s="90">
        <f>수원!I6</f>
        <v>334.59363876644784</v>
      </c>
      <c r="N4" s="90">
        <f>광주전남!I6</f>
        <v>261.33294008229086</v>
      </c>
      <c r="O4" s="90">
        <f>강남!I6</f>
        <v>176.044365494765</v>
      </c>
      <c r="P4" s="91">
        <f t="shared" ref="P4:P24" si="0">SUM(M4:O4)</f>
        <v>771.97094434350367</v>
      </c>
      <c r="Q4" s="90">
        <f>중앙!I6</f>
        <v>226.34275563612641</v>
      </c>
      <c r="R4" s="90">
        <f>고양!I6</f>
        <v>115.90498597791981</v>
      </c>
      <c r="S4" s="90">
        <f>용인!I6</f>
        <v>94.036120699067013</v>
      </c>
      <c r="T4" s="90">
        <f>분당!I6</f>
        <v>43.737730557705589</v>
      </c>
      <c r="U4" s="90">
        <f>세종!I6</f>
        <v>34.99018444616447</v>
      </c>
      <c r="V4" s="90">
        <f>김해!I6</f>
        <v>164.01648959139595</v>
      </c>
      <c r="W4" s="90">
        <f>평택!I6</f>
        <v>0</v>
      </c>
      <c r="X4" s="91">
        <f t="shared" ref="X4:X24" si="1">SUM(Q4:W4)</f>
        <v>679.02826690837924</v>
      </c>
      <c r="Y4" s="92">
        <f>L4+P4+X4</f>
        <v>4669.0027370350708</v>
      </c>
    </row>
    <row r="5" spans="1:25">
      <c r="A5" s="265"/>
      <c r="B5" s="89" t="s">
        <v>95</v>
      </c>
      <c r="C5" s="90">
        <f>동탄!I7</f>
        <v>5174.6354460855164</v>
      </c>
      <c r="D5" s="90">
        <f>화성!I7</f>
        <v>1446.0338679813351</v>
      </c>
      <c r="E5" s="90">
        <f>파주!I7</f>
        <v>4396.7353643133538</v>
      </c>
      <c r="F5" s="90">
        <f>광교!I7</f>
        <v>1040.484877608754</v>
      </c>
      <c r="G5" s="90">
        <f>판교!I7</f>
        <v>931.60936911431781</v>
      </c>
      <c r="H5" s="90">
        <f>삼송!I7</f>
        <v>690.32353582490657</v>
      </c>
      <c r="I5" s="90">
        <f>양산!I7</f>
        <v>886.78248705748081</v>
      </c>
      <c r="J5" s="90">
        <f>대구!I7</f>
        <v>1194.1931262823143</v>
      </c>
      <c r="K5" s="90">
        <f>청주!I7</f>
        <v>1194.1931262823143</v>
      </c>
      <c r="L5" s="91">
        <f t="shared" ref="L5:L9" si="2">SUM(C5:K5)</f>
        <v>16954.991200550292</v>
      </c>
      <c r="M5" s="90">
        <f>수원!I7</f>
        <v>931.60936911431804</v>
      </c>
      <c r="N5" s="90">
        <f>광주전남!I7</f>
        <v>1326.3466791624219</v>
      </c>
      <c r="O5" s="90">
        <f>강남!I7</f>
        <v>1999.907729751088</v>
      </c>
      <c r="P5" s="91">
        <f t="shared" si="0"/>
        <v>4257.8637780278277</v>
      </c>
      <c r="Q5" s="90">
        <f>중앙!I7</f>
        <v>1469.5877467389078</v>
      </c>
      <c r="R5" s="90">
        <f>고양!I7</f>
        <v>694.33647260357623</v>
      </c>
      <c r="S5" s="90">
        <f>용인!I7</f>
        <v>516.1052205809259</v>
      </c>
      <c r="T5" s="90">
        <f>분당!I7</f>
        <v>668.09383426895283</v>
      </c>
      <c r="U5" s="90">
        <f>세종!I7</f>
        <v>124.65253208946092</v>
      </c>
      <c r="V5" s="90">
        <f>김해!I7</f>
        <v>336.78052529433302</v>
      </c>
      <c r="W5" s="90">
        <f>평택!I7</f>
        <v>180.41813855053556</v>
      </c>
      <c r="X5" s="91">
        <f t="shared" si="1"/>
        <v>3989.9744701266927</v>
      </c>
      <c r="Y5" s="91">
        <f t="shared" ref="Y5:Y24" si="3">L5+P5+X5</f>
        <v>25202.829448704815</v>
      </c>
    </row>
    <row r="6" spans="1:25">
      <c r="A6" s="265"/>
      <c r="B6" s="89" t="s">
        <v>96</v>
      </c>
      <c r="C6" s="90">
        <f>동탄!I8</f>
        <v>8849.9033354787862</v>
      </c>
      <c r="D6" s="90">
        <f>화성!I8</f>
        <v>6836.6446634749591</v>
      </c>
      <c r="E6" s="90">
        <f>파주!I8</f>
        <v>6389.377163575542</v>
      </c>
      <c r="F6" s="90">
        <f>광교!I8</f>
        <v>2625.8930639256096</v>
      </c>
      <c r="G6" s="90">
        <f>판교!I8</f>
        <v>2725.7791060867694</v>
      </c>
      <c r="H6" s="90">
        <f>삼송!I8</f>
        <v>1966.6451856619526</v>
      </c>
      <c r="I6" s="90">
        <f>양산!I8</f>
        <v>2450.5375676871281</v>
      </c>
      <c r="J6" s="90">
        <f>대구!I8</f>
        <v>4054.2634668301989</v>
      </c>
      <c r="K6" s="90">
        <f>청주!I8</f>
        <v>3683.5752659210048</v>
      </c>
      <c r="L6" s="91">
        <f>SUM(C6:K6)</f>
        <v>39582.618818641953</v>
      </c>
      <c r="M6" s="90">
        <f>수원!I8</f>
        <v>2725.7791060867698</v>
      </c>
      <c r="N6" s="90">
        <f>광주전남!I8</f>
        <v>1940.0089077523098</v>
      </c>
      <c r="O6" s="90">
        <f>강남!I8</f>
        <v>1361.779708130483</v>
      </c>
      <c r="P6" s="91">
        <f t="shared" si="0"/>
        <v>6027.5677219695626</v>
      </c>
      <c r="Q6" s="90">
        <f>중앙!I8</f>
        <v>1180.874987327493</v>
      </c>
      <c r="R6" s="90">
        <f>고양!I8</f>
        <v>775.78159411834361</v>
      </c>
      <c r="S6" s="90">
        <f>용인!I8</f>
        <v>751.3650060345044</v>
      </c>
      <c r="T6" s="90">
        <f>분당!I8</f>
        <v>670.34632739267454</v>
      </c>
      <c r="U6" s="90">
        <f>세종!I8</f>
        <v>302.98766122218569</v>
      </c>
      <c r="V6" s="90">
        <f>김해!I8</f>
        <v>44.393796516071163</v>
      </c>
      <c r="W6" s="90">
        <f>평택!I8</f>
        <v>44.393796516071163</v>
      </c>
      <c r="X6" s="91">
        <f t="shared" si="1"/>
        <v>3770.1431691273438</v>
      </c>
      <c r="Y6" s="91">
        <f t="shared" si="3"/>
        <v>49380.329709738864</v>
      </c>
    </row>
    <row r="7" spans="1:25">
      <c r="A7" s="265"/>
      <c r="B7" s="89" t="s">
        <v>97</v>
      </c>
      <c r="C7" s="90">
        <f>동탄!I9</f>
        <v>3330.7451426048101</v>
      </c>
      <c r="D7" s="90">
        <f>화성!I9</f>
        <v>406.76089418666197</v>
      </c>
      <c r="E7" s="90">
        <f>파주!I9</f>
        <v>707.45779177088787</v>
      </c>
      <c r="F7" s="90">
        <f>광교!I9</f>
        <v>205.56733362121625</v>
      </c>
      <c r="G7" s="90">
        <f>판교!I9</f>
        <v>205.56733362121625</v>
      </c>
      <c r="H7" s="90">
        <f>삼송!I9</f>
        <v>173.85747896687971</v>
      </c>
      <c r="I7" s="90">
        <f>양산!I9</f>
        <v>254.77228049863504</v>
      </c>
      <c r="J7" s="90">
        <f>대구!I9</f>
        <v>290.85590820874216</v>
      </c>
      <c r="K7" s="90">
        <f>청주!I9</f>
        <v>221.96898258035586</v>
      </c>
      <c r="L7" s="91">
        <f t="shared" si="2"/>
        <v>5797.5531460594066</v>
      </c>
      <c r="M7" s="90">
        <f>수원!I9</f>
        <v>205.56733362121628</v>
      </c>
      <c r="N7" s="90">
        <f>광주전남!I9</f>
        <v>227.43619890006906</v>
      </c>
      <c r="O7" s="90">
        <f>강남!I9</f>
        <v>641.85119593432955</v>
      </c>
      <c r="P7" s="91">
        <f t="shared" si="0"/>
        <v>1074.8547284556148</v>
      </c>
      <c r="Q7" s="90">
        <f>중앙!I9</f>
        <v>751.19552232859348</v>
      </c>
      <c r="R7" s="90">
        <f>고양!I9</f>
        <v>588.27247600114015</v>
      </c>
      <c r="S7" s="90">
        <f>용인!I9</f>
        <v>130.11974840917412</v>
      </c>
      <c r="T7" s="90">
        <f>분당!I9</f>
        <v>91.849234171181735</v>
      </c>
      <c r="U7" s="90">
        <f>세종!I9</f>
        <v>66.700039100501016</v>
      </c>
      <c r="V7" s="90">
        <f>김해!I9</f>
        <v>57.952492988959904</v>
      </c>
      <c r="W7" s="90">
        <f>평택!I9</f>
        <v>101.69022354666549</v>
      </c>
      <c r="X7" s="91">
        <f t="shared" si="1"/>
        <v>1787.7797365462159</v>
      </c>
      <c r="Y7" s="91">
        <f t="shared" si="3"/>
        <v>8660.1876110612375</v>
      </c>
    </row>
    <row r="8" spans="1:25">
      <c r="A8" s="265"/>
      <c r="B8" s="89" t="s">
        <v>281</v>
      </c>
      <c r="C8" s="90">
        <f>동탄!I10</f>
        <v>2547.5429737749678</v>
      </c>
      <c r="D8" s="90">
        <f>화성!I10</f>
        <v>930.48287652772251</v>
      </c>
      <c r="E8" s="90">
        <f>파주!I10</f>
        <v>785.5089130958396</v>
      </c>
      <c r="F8" s="90">
        <f>광교!I10</f>
        <v>1358.0565338167585</v>
      </c>
      <c r="G8" s="90">
        <f>판교!I10</f>
        <v>512.82489078909805</v>
      </c>
      <c r="H8" s="90">
        <f>삼송!I10</f>
        <v>428.62975946551478</v>
      </c>
      <c r="I8" s="90">
        <f>양산!I10</f>
        <v>978.63172122866251</v>
      </c>
      <c r="J8" s="90">
        <f>대구!I10</f>
        <v>844.13819976371781</v>
      </c>
      <c r="K8" s="90">
        <f>청주!I10</f>
        <v>406.76089418666197</v>
      </c>
      <c r="L8" s="91">
        <f t="shared" si="2"/>
        <v>8792.5767626489433</v>
      </c>
      <c r="M8" s="90">
        <f>수원!I10</f>
        <v>512.82489078909805</v>
      </c>
      <c r="N8" s="90">
        <f>광주전남!I10</f>
        <v>778.53160392715949</v>
      </c>
      <c r="O8" s="90">
        <f>강남!I10</f>
        <v>696.52335913146146</v>
      </c>
      <c r="P8" s="91">
        <f t="shared" si="0"/>
        <v>1987.879853847719</v>
      </c>
      <c r="Q8" s="90">
        <f>중앙!I10</f>
        <v>1150.302313667657</v>
      </c>
      <c r="R8" s="90">
        <f>고양!I10</f>
        <v>1364.6171934004144</v>
      </c>
      <c r="S8" s="90">
        <f>용인!I10</f>
        <v>243.83784785920864</v>
      </c>
      <c r="T8" s="90">
        <f>분당!I10</f>
        <v>485.48880919053204</v>
      </c>
      <c r="U8" s="90">
        <f>세종!I10</f>
        <v>366.30349342078432</v>
      </c>
      <c r="V8" s="90">
        <f>김해!I10</f>
        <v>288.66902168085687</v>
      </c>
      <c r="W8" s="90">
        <f>평택!I10</f>
        <v>30.61641139039391</v>
      </c>
      <c r="X8" s="91">
        <f t="shared" si="1"/>
        <v>3929.8350906098476</v>
      </c>
      <c r="Y8" s="91">
        <f t="shared" si="3"/>
        <v>14710.291707106509</v>
      </c>
    </row>
    <row r="9" spans="1:25">
      <c r="A9" s="265"/>
      <c r="B9" s="220" t="s">
        <v>279</v>
      </c>
      <c r="C9" s="90">
        <f>동탄!I11</f>
        <v>824.61477028602201</v>
      </c>
      <c r="D9" s="90">
        <f>화성!I11</f>
        <v>637.05098000562123</v>
      </c>
      <c r="E9" s="90">
        <f>파주!I11</f>
        <v>594.87687331535369</v>
      </c>
      <c r="F9" s="90">
        <f>광교!I11</f>
        <v>244.16588083839142</v>
      </c>
      <c r="G9" s="90">
        <f>판교!I11</f>
        <v>254.15448505450743</v>
      </c>
      <c r="H9" s="90">
        <f>삼송!I11</f>
        <v>55.492245645088957</v>
      </c>
      <c r="I9" s="90">
        <f>양산!I11</f>
        <v>227.51820714486473</v>
      </c>
      <c r="J9" s="90">
        <f>대구!I11</f>
        <v>377.34727038660492</v>
      </c>
      <c r="K9" s="90">
        <f>청주!I11</f>
        <v>342.94207808664981</v>
      </c>
      <c r="L9" s="91">
        <f t="shared" si="2"/>
        <v>3558.1627907631046</v>
      </c>
      <c r="M9" s="90">
        <f>수원!I11</f>
        <v>254.15448505450746</v>
      </c>
      <c r="N9" s="90">
        <f>광주전남!I11</f>
        <v>174.24565132557933</v>
      </c>
      <c r="O9" s="90">
        <f>강남!I11</f>
        <v>122.08294041919571</v>
      </c>
      <c r="P9" s="91">
        <f t="shared" si="0"/>
        <v>550.48307679928246</v>
      </c>
      <c r="Q9" s="90">
        <f>중앙!I11</f>
        <v>106.5451116385708</v>
      </c>
      <c r="R9" s="90">
        <f>고양!I11</f>
        <v>69.920229512812085</v>
      </c>
      <c r="S9" s="90">
        <f>용인!I11</f>
        <v>67.700539687008529</v>
      </c>
      <c r="T9" s="90">
        <f>분당!I11</f>
        <v>59.931625296696076</v>
      </c>
      <c r="U9" s="90">
        <f>세종!I11</f>
        <v>27.746122822544478</v>
      </c>
      <c r="V9" s="90">
        <f>김해!I11</f>
        <v>4.4393796516071165</v>
      </c>
      <c r="W9" s="90">
        <f>평택!I11</f>
        <v>4.4393796516071165</v>
      </c>
      <c r="X9" s="91">
        <f t="shared" si="1"/>
        <v>340.72238826084617</v>
      </c>
      <c r="Y9" s="91">
        <f t="shared" si="3"/>
        <v>4449.3682558232331</v>
      </c>
    </row>
    <row r="10" spans="1:25">
      <c r="A10" s="265"/>
      <c r="B10" s="220" t="s">
        <v>280</v>
      </c>
      <c r="C10" s="90">
        <f>동탄!I12</f>
        <v>92.117127770847674</v>
      </c>
      <c r="D10" s="90">
        <f>화성!I12</f>
        <v>71.030074425713863</v>
      </c>
      <c r="E10" s="90">
        <f>파주!I12</f>
        <v>66.590694774106751</v>
      </c>
      <c r="F10" s="90">
        <f>광교!I12</f>
        <v>26.6362779096427</v>
      </c>
      <c r="G10" s="90">
        <f>판교!I12</f>
        <v>27.746122822544478</v>
      </c>
      <c r="H10" s="90">
        <f>삼송!I12</f>
        <v>6.6590694774106751</v>
      </c>
      <c r="I10" s="90">
        <f>양산!I12</f>
        <v>25.526432996740922</v>
      </c>
      <c r="J10" s="90">
        <f>대구!I12</f>
        <v>42.174106690267607</v>
      </c>
      <c r="K10" s="90">
        <f>청주!I12</f>
        <v>37.734727038660495</v>
      </c>
      <c r="L10" s="91">
        <f t="shared" ref="L10" si="4">SUM(C10:K10)</f>
        <v>396.21463390593516</v>
      </c>
      <c r="M10" s="90">
        <f>수원!I12</f>
        <v>27.746122822544486</v>
      </c>
      <c r="N10" s="90">
        <f>광주전남!I12</f>
        <v>18.867363519330247</v>
      </c>
      <c r="O10" s="90">
        <f>강남!I12</f>
        <v>13.31813895482135</v>
      </c>
      <c r="P10" s="91">
        <f t="shared" ref="P10" si="5">SUM(M10:O10)</f>
        <v>59.931625296696083</v>
      </c>
      <c r="Q10" s="90">
        <f>중앙!I12</f>
        <v>12.20829404191957</v>
      </c>
      <c r="R10" s="90">
        <f>고양!I12</f>
        <v>7.7689143903124549</v>
      </c>
      <c r="S10" s="90">
        <f>용인!I12</f>
        <v>7.7689143903124549</v>
      </c>
      <c r="T10" s="90">
        <f>분당!I12</f>
        <v>6.6590694774106751</v>
      </c>
      <c r="U10" s="90">
        <f>세종!I12</f>
        <v>3.3295347387053376</v>
      </c>
      <c r="V10" s="90">
        <f>김해!I12</f>
        <v>1.1098449129017791</v>
      </c>
      <c r="W10" s="90">
        <f>평택!I12</f>
        <v>1.1098449129017791</v>
      </c>
      <c r="X10" s="91">
        <f t="shared" ref="X10" si="6">SUM(Q10:W10)</f>
        <v>39.954416864464051</v>
      </c>
      <c r="Y10" s="91">
        <f t="shared" ref="Y10" si="7">L10+P10+X10</f>
        <v>496.10067606709532</v>
      </c>
    </row>
    <row r="11" spans="1:25">
      <c r="A11" s="265"/>
      <c r="B11" s="93" t="s">
        <v>35</v>
      </c>
      <c r="C11" s="94">
        <f>SUM(C4:C10)</f>
        <v>21859.423340010402</v>
      </c>
      <c r="D11" s="94">
        <f t="shared" ref="D11:M11" si="8">SUM(D4:D10)</f>
        <v>10729.297034468964</v>
      </c>
      <c r="E11" s="94">
        <f t="shared" si="8"/>
        <v>13806.553865887656</v>
      </c>
      <c r="F11" s="94">
        <f t="shared" si="8"/>
        <v>5548.9154713338485</v>
      </c>
      <c r="G11" s="94">
        <f t="shared" si="8"/>
        <v>4992.2749462549027</v>
      </c>
      <c r="H11" s="94">
        <f t="shared" si="8"/>
        <v>3635.4254917932913</v>
      </c>
      <c r="I11" s="94">
        <f t="shared" si="8"/>
        <v>5001.9999486361621</v>
      </c>
      <c r="J11" s="94">
        <f t="shared" si="8"/>
        <v>6806.2524079536743</v>
      </c>
      <c r="K11" s="94">
        <f t="shared" si="8"/>
        <v>5919.9783720139267</v>
      </c>
      <c r="L11" s="94">
        <f>SUM(C11:K11)</f>
        <v>78300.120878352813</v>
      </c>
      <c r="M11" s="94">
        <f t="shared" si="8"/>
        <v>4992.2749462549036</v>
      </c>
      <c r="N11" s="94">
        <f t="shared" ref="N11" si="9">SUM(N4:N10)</f>
        <v>4726.7693446691601</v>
      </c>
      <c r="O11" s="94">
        <f t="shared" ref="O11" si="10">SUM(O4:O10)</f>
        <v>5011.5074378161444</v>
      </c>
      <c r="P11" s="94">
        <f t="shared" si="0"/>
        <v>14730.551728740207</v>
      </c>
      <c r="Q11" s="94">
        <f t="shared" ref="Q11" si="11">SUM(Q4:Q10)</f>
        <v>4897.056731379269</v>
      </c>
      <c r="R11" s="94">
        <f t="shared" ref="R11" si="12">SUM(R4:R10)</f>
        <v>3616.6018660045188</v>
      </c>
      <c r="S11" s="94">
        <f t="shared" ref="S11" si="13">SUM(S4:S10)</f>
        <v>1810.9333976602009</v>
      </c>
      <c r="T11" s="94">
        <f t="shared" ref="T11" si="14">SUM(T4:T10)</f>
        <v>2026.1066303551534</v>
      </c>
      <c r="U11" s="94">
        <f t="shared" ref="U11" si="15">SUM(U4:U10)</f>
        <v>926.70956784034627</v>
      </c>
      <c r="V11" s="94">
        <f t="shared" ref="V11" si="16">SUM(V4:V10)</f>
        <v>897.3615506361258</v>
      </c>
      <c r="W11" s="94">
        <f t="shared" ref="W11" si="17">SUM(W4:W10)</f>
        <v>362.66779456817505</v>
      </c>
      <c r="X11" s="94">
        <f t="shared" si="1"/>
        <v>14537.437538443788</v>
      </c>
      <c r="Y11" s="94">
        <f t="shared" si="3"/>
        <v>107568.1101455368</v>
      </c>
    </row>
    <row r="12" spans="1:25">
      <c r="A12" s="89" t="s">
        <v>98</v>
      </c>
      <c r="B12" s="89" t="s">
        <v>99</v>
      </c>
      <c r="C12" s="95">
        <f>동탄!I13</f>
        <v>480.22378966557875</v>
      </c>
      <c r="D12" s="95">
        <f>화성!I13</f>
        <v>403.48056439483406</v>
      </c>
      <c r="E12" s="95">
        <f>파주!I13</f>
        <v>613.42167107182081</v>
      </c>
      <c r="F12" s="95">
        <f>광교!I13</f>
        <v>255.86572376257769</v>
      </c>
      <c r="G12" s="95">
        <f>판교!I13</f>
        <v>233.99685848372491</v>
      </c>
      <c r="H12" s="95">
        <f>삼송!I13</f>
        <v>250.39850744286449</v>
      </c>
      <c r="I12" s="95">
        <f>양산!I13</f>
        <v>729.32665704974067</v>
      </c>
      <c r="J12" s="95">
        <f>대구!I13</f>
        <v>461.43305738379394</v>
      </c>
      <c r="K12" s="95">
        <f>청주!I13</f>
        <v>480.02159287081884</v>
      </c>
      <c r="L12" s="92">
        <f>SUM(C12:K12)</f>
        <v>3908.1684221257547</v>
      </c>
      <c r="M12" s="95">
        <f>수원!I13</f>
        <v>233.99685848372494</v>
      </c>
      <c r="N12" s="95">
        <f>광주전남!I13</f>
        <v>849.60541608343101</v>
      </c>
      <c r="O12" s="95">
        <f>강남!I13</f>
        <v>259.14605355440563</v>
      </c>
      <c r="P12" s="92">
        <f t="shared" si="0"/>
        <v>1342.7483281215616</v>
      </c>
      <c r="Q12" s="95">
        <f>중앙!I13</f>
        <v>260.23949681834824</v>
      </c>
      <c r="R12" s="95">
        <f>고양!I13</f>
        <v>109.34432639426397</v>
      </c>
      <c r="S12" s="95">
        <f>용인!I13</f>
        <v>208.84766341304419</v>
      </c>
      <c r="T12" s="95">
        <f>분당!I13</f>
        <v>71.073812156271586</v>
      </c>
      <c r="U12" s="95">
        <f>세종!I13</f>
        <v>85.2885745875259</v>
      </c>
      <c r="V12" s="95">
        <f>김해!I13</f>
        <v>174.95092223082236</v>
      </c>
      <c r="W12" s="95">
        <f>평택!I13</f>
        <v>55.765606461074626</v>
      </c>
      <c r="X12" s="92">
        <f t="shared" si="1"/>
        <v>965.51040206135087</v>
      </c>
      <c r="Y12" s="92">
        <f t="shared" si="3"/>
        <v>6216.4271523086672</v>
      </c>
    </row>
    <row r="13" spans="1:25">
      <c r="A13" s="255" t="s">
        <v>110</v>
      </c>
      <c r="B13" s="255"/>
      <c r="C13" s="58">
        <f t="shared" ref="C13:H13" si="18">C12+C11</f>
        <v>22339.647129675981</v>
      </c>
      <c r="D13" s="58">
        <f t="shared" si="18"/>
        <v>11132.777598863799</v>
      </c>
      <c r="E13" s="58">
        <f t="shared" si="18"/>
        <v>14419.975536959477</v>
      </c>
      <c r="F13" s="58">
        <f t="shared" si="18"/>
        <v>5804.781195096426</v>
      </c>
      <c r="G13" s="58">
        <f t="shared" si="18"/>
        <v>5226.2718047386279</v>
      </c>
      <c r="H13" s="58">
        <f t="shared" si="18"/>
        <v>3885.8239992361559</v>
      </c>
      <c r="I13" s="58">
        <f>I12+I11</f>
        <v>5731.3266056859029</v>
      </c>
      <c r="J13" s="58">
        <f>J12+J11</f>
        <v>7267.6854653374685</v>
      </c>
      <c r="K13" s="58">
        <f>K12+K11</f>
        <v>6399.9999648847452</v>
      </c>
      <c r="L13" s="58">
        <f>SUM(C13:K13)</f>
        <v>82208.289300478587</v>
      </c>
      <c r="M13" s="58">
        <f>M12+M11</f>
        <v>5226.2718047386288</v>
      </c>
      <c r="N13" s="58">
        <f>N12+N11</f>
        <v>5576.3747607525911</v>
      </c>
      <c r="O13" s="58">
        <f>O12+O11</f>
        <v>5270.65349137055</v>
      </c>
      <c r="P13" s="58">
        <f t="shared" si="0"/>
        <v>16073.300056861772</v>
      </c>
      <c r="Q13" s="58">
        <f t="shared" ref="Q13:W13" si="19">Q12+Q11</f>
        <v>5157.296228197617</v>
      </c>
      <c r="R13" s="58">
        <f t="shared" si="19"/>
        <v>3725.9461923987828</v>
      </c>
      <c r="S13" s="58">
        <f t="shared" si="19"/>
        <v>2019.7810610732449</v>
      </c>
      <c r="T13" s="58">
        <f t="shared" si="19"/>
        <v>2097.1804425114251</v>
      </c>
      <c r="U13" s="58">
        <f t="shared" si="19"/>
        <v>1011.9981424278722</v>
      </c>
      <c r="V13" s="58">
        <f t="shared" si="19"/>
        <v>1072.3124728669482</v>
      </c>
      <c r="W13" s="58">
        <f t="shared" si="19"/>
        <v>418.43340102924969</v>
      </c>
      <c r="X13" s="58">
        <f t="shared" si="1"/>
        <v>15502.947940505141</v>
      </c>
      <c r="Y13" s="58">
        <f>L13+P13+X13</f>
        <v>113784.5372978455</v>
      </c>
    </row>
    <row r="14" spans="1:25">
      <c r="A14" s="263" t="s">
        <v>65</v>
      </c>
      <c r="B14" s="263"/>
      <c r="C14" s="95">
        <f>동탄!I15</f>
        <v>0</v>
      </c>
      <c r="D14" s="95">
        <f>화성!I15</f>
        <v>22</v>
      </c>
      <c r="E14" s="95">
        <f>파주!I15</f>
        <v>0</v>
      </c>
      <c r="F14" s="95">
        <f>광교!I15</f>
        <v>28</v>
      </c>
      <c r="G14" s="95">
        <f>판교!I15</f>
        <v>6</v>
      </c>
      <c r="H14" s="95">
        <f>삼송!I15</f>
        <v>0</v>
      </c>
      <c r="I14" s="95">
        <f>양산!I15</f>
        <v>11</v>
      </c>
      <c r="J14" s="95">
        <f>대구!I15</f>
        <v>0</v>
      </c>
      <c r="K14" s="95">
        <f>청주!I15</f>
        <v>0</v>
      </c>
      <c r="L14" s="92">
        <f>SUM(C14:K14)</f>
        <v>67</v>
      </c>
      <c r="M14" s="95">
        <f>수원!I15</f>
        <v>0</v>
      </c>
      <c r="N14" s="95">
        <f>광주전남!I15</f>
        <v>0</v>
      </c>
      <c r="O14" s="95">
        <f>강남!I15</f>
        <v>0</v>
      </c>
      <c r="P14" s="96">
        <f t="shared" si="0"/>
        <v>0</v>
      </c>
      <c r="Q14" s="95">
        <f>중앙!I15</f>
        <v>0</v>
      </c>
      <c r="R14" s="95">
        <f>고양!I15</f>
        <v>0</v>
      </c>
      <c r="S14" s="95">
        <f>용인!I15</f>
        <v>0</v>
      </c>
      <c r="T14" s="95">
        <f>분당!I15</f>
        <v>0</v>
      </c>
      <c r="U14" s="95">
        <f>세종!I15</f>
        <v>0</v>
      </c>
      <c r="V14" s="95">
        <f>김해!I15</f>
        <v>0</v>
      </c>
      <c r="W14" s="95">
        <f>평택!I15</f>
        <v>0</v>
      </c>
      <c r="X14" s="96">
        <f t="shared" si="1"/>
        <v>0</v>
      </c>
      <c r="Y14" s="96">
        <f t="shared" si="3"/>
        <v>67</v>
      </c>
    </row>
    <row r="15" spans="1:25">
      <c r="A15" s="263" t="s">
        <v>66</v>
      </c>
      <c r="B15" s="263"/>
      <c r="C15" s="95">
        <f>동탄!I16</f>
        <v>0</v>
      </c>
      <c r="D15" s="95">
        <f>화성!I16</f>
        <v>15</v>
      </c>
      <c r="E15" s="95">
        <f>파주!I16</f>
        <v>0</v>
      </c>
      <c r="F15" s="95">
        <f>광교!I16</f>
        <v>0</v>
      </c>
      <c r="G15" s="95">
        <f>판교!I16</f>
        <v>0</v>
      </c>
      <c r="H15" s="95">
        <f>삼송!I16</f>
        <v>0</v>
      </c>
      <c r="I15" s="95">
        <f>양산!I16</f>
        <v>0</v>
      </c>
      <c r="J15" s="95">
        <f>대구!I16</f>
        <v>0</v>
      </c>
      <c r="K15" s="95">
        <f>청주!I16</f>
        <v>0</v>
      </c>
      <c r="L15" s="92">
        <f t="shared" ref="L15:L18" si="20">SUM(C15:K15)</f>
        <v>15</v>
      </c>
      <c r="M15" s="95">
        <f>수원!I16</f>
        <v>0</v>
      </c>
      <c r="N15" s="95">
        <f>광주전남!I16</f>
        <v>0</v>
      </c>
      <c r="O15" s="95">
        <f>강남!I16</f>
        <v>0</v>
      </c>
      <c r="P15" s="96">
        <f t="shared" si="0"/>
        <v>0</v>
      </c>
      <c r="Q15" s="95">
        <f>중앙!I16</f>
        <v>0</v>
      </c>
      <c r="R15" s="95">
        <f>고양!I16</f>
        <v>0</v>
      </c>
      <c r="S15" s="95">
        <f>용인!I16</f>
        <v>0</v>
      </c>
      <c r="T15" s="95">
        <f>분당!I16</f>
        <v>0</v>
      </c>
      <c r="U15" s="95">
        <f>세종!I16</f>
        <v>0</v>
      </c>
      <c r="V15" s="95">
        <f>김해!I16</f>
        <v>0</v>
      </c>
      <c r="W15" s="95">
        <f>평택!I16</f>
        <v>0</v>
      </c>
      <c r="X15" s="96">
        <f t="shared" si="1"/>
        <v>0</v>
      </c>
      <c r="Y15" s="96">
        <f t="shared" si="3"/>
        <v>15</v>
      </c>
    </row>
    <row r="16" spans="1:25">
      <c r="A16" s="263" t="s">
        <v>34</v>
      </c>
      <c r="B16" s="97" t="s">
        <v>81</v>
      </c>
      <c r="C16" s="95">
        <f>동탄!I17</f>
        <v>2544.4868858492514</v>
      </c>
      <c r="D16" s="95">
        <f>화성!I17</f>
        <v>2169</v>
      </c>
      <c r="E16" s="95">
        <f>파주!I17</f>
        <v>0</v>
      </c>
      <c r="F16" s="95">
        <f>광교!I17</f>
        <v>0</v>
      </c>
      <c r="G16" s="95">
        <f>판교!I17</f>
        <v>0</v>
      </c>
      <c r="H16" s="95">
        <f>삼송!I17</f>
        <v>788</v>
      </c>
      <c r="I16" s="95">
        <f>양산!I17</f>
        <v>0</v>
      </c>
      <c r="J16" s="95">
        <f>대구!I17</f>
        <v>7042</v>
      </c>
      <c r="K16" s="95">
        <f>청주!I17</f>
        <v>0</v>
      </c>
      <c r="L16" s="92">
        <f>SUM(C16:K16)</f>
        <v>12543.486885849252</v>
      </c>
      <c r="M16" s="95">
        <f>수원!I17</f>
        <v>0</v>
      </c>
      <c r="N16" s="95">
        <f>광주전남!I17</f>
        <v>0</v>
      </c>
      <c r="O16" s="95">
        <f>강남!I17</f>
        <v>0</v>
      </c>
      <c r="P16" s="96">
        <f t="shared" si="0"/>
        <v>0</v>
      </c>
      <c r="Q16" s="95">
        <f>중앙!I17</f>
        <v>0</v>
      </c>
      <c r="R16" s="95">
        <f>고양!I17</f>
        <v>0</v>
      </c>
      <c r="S16" s="95">
        <f>용인!I17</f>
        <v>0</v>
      </c>
      <c r="T16" s="95">
        <f>분당!I17</f>
        <v>0</v>
      </c>
      <c r="U16" s="95">
        <f>세종!I17</f>
        <v>0</v>
      </c>
      <c r="V16" s="95">
        <f>김해!I17</f>
        <v>0</v>
      </c>
      <c r="W16" s="95">
        <f>평택!I17</f>
        <v>0</v>
      </c>
      <c r="X16" s="96">
        <f t="shared" si="1"/>
        <v>0</v>
      </c>
      <c r="Y16" s="96">
        <f t="shared" si="3"/>
        <v>12543.486885849252</v>
      </c>
    </row>
    <row r="17" spans="1:25">
      <c r="A17" s="263"/>
      <c r="B17" s="97" t="s">
        <v>64</v>
      </c>
      <c r="C17" s="95">
        <f>동탄!I18</f>
        <v>473.46093328716296</v>
      </c>
      <c r="D17" s="95">
        <f>화성!I18</f>
        <v>1771.972838714416</v>
      </c>
      <c r="E17" s="95">
        <f>파주!I18</f>
        <v>1077.2519724868414</v>
      </c>
      <c r="F17" s="95">
        <f>광교!I18</f>
        <v>782.07874316965683</v>
      </c>
      <c r="G17" s="95">
        <f>판교!I18</f>
        <v>1252.6597562939799</v>
      </c>
      <c r="H17" s="95">
        <f>삼송!I18</f>
        <v>308.70385945668949</v>
      </c>
      <c r="I17" s="95">
        <f>양산!I18</f>
        <v>1809.0472080299</v>
      </c>
      <c r="J17" s="95">
        <f>대구!I18</f>
        <v>1488.9738785072657</v>
      </c>
      <c r="K17" s="95">
        <f>청주!I18</f>
        <v>706</v>
      </c>
      <c r="L17" s="92">
        <f>SUM(C17:K17)</f>
        <v>9670.1491899459124</v>
      </c>
      <c r="M17" s="95">
        <f>수원!I18</f>
        <v>384.13901308332419</v>
      </c>
      <c r="N17" s="95">
        <f>광주전남!I18</f>
        <v>1640.3507812688295</v>
      </c>
      <c r="O17" s="95">
        <f>강남!I18</f>
        <v>1477.2418495865063</v>
      </c>
      <c r="P17" s="96">
        <f t="shared" si="0"/>
        <v>3501.73164393866</v>
      </c>
      <c r="Q17" s="95">
        <f>중앙!I18</f>
        <v>1014.3982503922261</v>
      </c>
      <c r="R17" s="95">
        <f>고양!I18</f>
        <v>1258.5641312306175</v>
      </c>
      <c r="S17" s="95">
        <f>용인!I18</f>
        <v>615.96392666048746</v>
      </c>
      <c r="T17" s="95">
        <f>분당!I18</f>
        <v>1024.3868546083422</v>
      </c>
      <c r="U17" s="95">
        <f>세종!I18</f>
        <v>83.238368467633435</v>
      </c>
      <c r="V17" s="95">
        <f>김해!I18</f>
        <v>87.677748119240547</v>
      </c>
      <c r="W17" s="95">
        <f>평택!I18</f>
        <v>9.9886042161160127</v>
      </c>
      <c r="X17" s="96">
        <f t="shared" si="1"/>
        <v>4094.2178836946637</v>
      </c>
      <c r="Y17" s="96">
        <f t="shared" si="3"/>
        <v>17266.098717579236</v>
      </c>
    </row>
    <row r="18" spans="1:25">
      <c r="A18" s="263"/>
      <c r="B18" s="93" t="s">
        <v>35</v>
      </c>
      <c r="C18" s="98">
        <f t="shared" ref="C18:H18" si="21">SUM(C16:C17)</f>
        <v>3017.9478191364142</v>
      </c>
      <c r="D18" s="98">
        <f t="shared" si="21"/>
        <v>3940.972838714416</v>
      </c>
      <c r="E18" s="98">
        <f t="shared" si="21"/>
        <v>1077.2519724868414</v>
      </c>
      <c r="F18" s="98">
        <f t="shared" si="21"/>
        <v>782.07874316965683</v>
      </c>
      <c r="G18" s="98">
        <f t="shared" si="21"/>
        <v>1252.6597562939799</v>
      </c>
      <c r="H18" s="98">
        <f t="shared" si="21"/>
        <v>1096.7038594566895</v>
      </c>
      <c r="I18" s="98">
        <f>SUM(I16:I17)</f>
        <v>1809.0472080299</v>
      </c>
      <c r="J18" s="98">
        <f>SUM(J16:J17)</f>
        <v>8530.9738785072659</v>
      </c>
      <c r="K18" s="98">
        <f>SUM(K16:K17)</f>
        <v>706</v>
      </c>
      <c r="L18" s="98">
        <f t="shared" si="20"/>
        <v>22213.636075795162</v>
      </c>
      <c r="M18" s="98">
        <f>SUM(M16:M17)</f>
        <v>384.13901308332419</v>
      </c>
      <c r="N18" s="98">
        <f>SUM(N16:N17)</f>
        <v>1640.3507812688295</v>
      </c>
      <c r="O18" s="98">
        <f>SUM(O16:O17)</f>
        <v>1477.2418495865063</v>
      </c>
      <c r="P18" s="99">
        <f t="shared" si="0"/>
        <v>3501.73164393866</v>
      </c>
      <c r="Q18" s="98">
        <f t="shared" ref="Q18:W18" si="22">SUM(Q16:Q17)</f>
        <v>1014.3982503922261</v>
      </c>
      <c r="R18" s="98">
        <f t="shared" si="22"/>
        <v>1258.5641312306175</v>
      </c>
      <c r="S18" s="98">
        <f t="shared" si="22"/>
        <v>615.96392666048746</v>
      </c>
      <c r="T18" s="98">
        <f t="shared" si="22"/>
        <v>1024.3868546083422</v>
      </c>
      <c r="U18" s="98">
        <f t="shared" si="22"/>
        <v>83.238368467633435</v>
      </c>
      <c r="V18" s="98">
        <f t="shared" si="22"/>
        <v>87.677748119240547</v>
      </c>
      <c r="W18" s="98">
        <f t="shared" si="22"/>
        <v>9.9886042161160127</v>
      </c>
      <c r="X18" s="99">
        <f t="shared" si="1"/>
        <v>4094.2178836946637</v>
      </c>
      <c r="Y18" s="99">
        <f t="shared" si="3"/>
        <v>29809.585603428484</v>
      </c>
    </row>
    <row r="19" spans="1:25">
      <c r="A19" s="89" t="s">
        <v>102</v>
      </c>
      <c r="B19" s="89" t="s">
        <v>103</v>
      </c>
      <c r="C19" s="100">
        <f>동탄!I19</f>
        <v>0</v>
      </c>
      <c r="D19" s="100">
        <f>화성!I19</f>
        <v>0</v>
      </c>
      <c r="E19" s="100">
        <f>파주!I19</f>
        <v>0</v>
      </c>
      <c r="F19" s="100">
        <f>광교!I19</f>
        <v>0</v>
      </c>
      <c r="G19" s="100">
        <f>판교!I19</f>
        <v>0</v>
      </c>
      <c r="H19" s="100">
        <f>삼송!I19</f>
        <v>0</v>
      </c>
      <c r="I19" s="100">
        <f>양산!I19</f>
        <v>3985.4530822302886</v>
      </c>
      <c r="J19" s="100">
        <f>대구!I19</f>
        <v>0</v>
      </c>
      <c r="K19" s="100">
        <f>청주!I19</f>
        <v>0</v>
      </c>
      <c r="L19" s="92">
        <f>SUM(C19:K19)</f>
        <v>3985.4530822302886</v>
      </c>
      <c r="M19" s="100">
        <f>수원!I19</f>
        <v>0</v>
      </c>
      <c r="N19" s="100">
        <f>광주전남!I19</f>
        <v>0</v>
      </c>
      <c r="O19" s="100">
        <f>강남!I19</f>
        <v>0</v>
      </c>
      <c r="P19" s="96">
        <f t="shared" si="0"/>
        <v>0</v>
      </c>
      <c r="Q19" s="100">
        <f>중앙!I19</f>
        <v>0</v>
      </c>
      <c r="R19" s="100">
        <f>고양!I19</f>
        <v>0</v>
      </c>
      <c r="S19" s="100">
        <f>용인!I19</f>
        <v>0</v>
      </c>
      <c r="T19" s="100">
        <f>분당!I19</f>
        <v>0</v>
      </c>
      <c r="U19" s="100">
        <f>세종!I19</f>
        <v>0</v>
      </c>
      <c r="V19" s="100">
        <f>김해!I19</f>
        <v>0</v>
      </c>
      <c r="W19" s="100">
        <f>평택!I19</f>
        <v>0</v>
      </c>
      <c r="X19" s="96">
        <f t="shared" si="1"/>
        <v>0</v>
      </c>
      <c r="Y19" s="96">
        <f t="shared" si="3"/>
        <v>3985.4530822302886</v>
      </c>
    </row>
    <row r="20" spans="1:25">
      <c r="A20" s="263" t="s">
        <v>63</v>
      </c>
      <c r="B20" s="263"/>
      <c r="C20" s="95">
        <f>동탄!I20</f>
        <v>60.976526744538198</v>
      </c>
      <c r="D20" s="95">
        <f>화성!I20</f>
        <v>76</v>
      </c>
      <c r="E20" s="95">
        <f>파주!I20</f>
        <v>451.59206800831026</v>
      </c>
      <c r="F20" s="95">
        <f>광교!I20</f>
        <v>13</v>
      </c>
      <c r="G20" s="95">
        <f>판교!I20</f>
        <v>37.137306400804754</v>
      </c>
      <c r="H20" s="95">
        <f>삼송!I20</f>
        <v>19</v>
      </c>
      <c r="I20" s="95">
        <f>양산!I20</f>
        <v>4</v>
      </c>
      <c r="J20" s="95">
        <f>대구!I20</f>
        <v>328</v>
      </c>
      <c r="K20" s="95">
        <f>청주!I20</f>
        <v>5.5824999999999996</v>
      </c>
      <c r="L20" s="92">
        <f>SUM(C20:K20)</f>
        <v>995.28840115365313</v>
      </c>
      <c r="M20" s="95">
        <f>수원!I20</f>
        <v>150</v>
      </c>
      <c r="N20" s="95">
        <f>광주전남!I20</f>
        <v>81.237857751760401</v>
      </c>
      <c r="O20" s="95">
        <f>강남!I20</f>
        <v>30</v>
      </c>
      <c r="P20" s="96">
        <f t="shared" si="0"/>
        <v>261.23785775176043</v>
      </c>
      <c r="Q20" s="95">
        <f>중앙!I20</f>
        <v>0</v>
      </c>
      <c r="R20" s="95">
        <f>고양!I20</f>
        <v>21</v>
      </c>
      <c r="S20" s="95">
        <f>용인!I20</f>
        <v>0</v>
      </c>
      <c r="T20" s="95">
        <f>분당!I20</f>
        <v>0</v>
      </c>
      <c r="U20" s="95">
        <f>세종!I20</f>
        <v>0</v>
      </c>
      <c r="V20" s="95">
        <f>김해!I20</f>
        <v>0</v>
      </c>
      <c r="W20" s="95">
        <f>평택!I20</f>
        <v>0</v>
      </c>
      <c r="X20" s="96">
        <f t="shared" si="1"/>
        <v>21</v>
      </c>
      <c r="Y20" s="96">
        <f t="shared" si="3"/>
        <v>1277.5262589054137</v>
      </c>
    </row>
    <row r="21" spans="1:25">
      <c r="A21" s="263" t="s">
        <v>36</v>
      </c>
      <c r="B21" s="97" t="s">
        <v>38</v>
      </c>
      <c r="C21" s="95">
        <f>동탄!I21</f>
        <v>0</v>
      </c>
      <c r="D21" s="95">
        <f>화성!I21</f>
        <v>0</v>
      </c>
      <c r="E21" s="95">
        <f>파주!I21</f>
        <v>17583</v>
      </c>
      <c r="F21" s="95">
        <f>광교!I21</f>
        <v>0</v>
      </c>
      <c r="G21" s="95">
        <f>판교!I21</f>
        <v>0</v>
      </c>
      <c r="H21" s="95">
        <f>삼송!I21</f>
        <v>0</v>
      </c>
      <c r="I21" s="95">
        <f>양산!I21</f>
        <v>0</v>
      </c>
      <c r="J21" s="95">
        <f>대구!I21</f>
        <v>0</v>
      </c>
      <c r="K21" s="95">
        <f>청주!I21</f>
        <v>0</v>
      </c>
      <c r="L21" s="92">
        <f>SUM(C21:K21)</f>
        <v>17583</v>
      </c>
      <c r="M21" s="95">
        <f>수원!I21</f>
        <v>0</v>
      </c>
      <c r="N21" s="95">
        <f>광주전남!I21</f>
        <v>0</v>
      </c>
      <c r="O21" s="95">
        <f>강남!I21</f>
        <v>0</v>
      </c>
      <c r="P21" s="96">
        <f t="shared" si="0"/>
        <v>0</v>
      </c>
      <c r="Q21" s="95">
        <f>중앙!I21</f>
        <v>0</v>
      </c>
      <c r="R21" s="95">
        <f>고양!I21</f>
        <v>0</v>
      </c>
      <c r="S21" s="95">
        <f>용인!I21</f>
        <v>0</v>
      </c>
      <c r="T21" s="95">
        <f>분당!I21</f>
        <v>0</v>
      </c>
      <c r="U21" s="95">
        <f>세종!I21</f>
        <v>0</v>
      </c>
      <c r="V21" s="95">
        <f>김해!I21</f>
        <v>0</v>
      </c>
      <c r="W21" s="95">
        <f>평택!I21</f>
        <v>0</v>
      </c>
      <c r="X21" s="96">
        <f t="shared" si="1"/>
        <v>0</v>
      </c>
      <c r="Y21" s="96">
        <f t="shared" si="3"/>
        <v>17583</v>
      </c>
    </row>
    <row r="22" spans="1:25">
      <c r="A22" s="263"/>
      <c r="B22" s="97" t="s">
        <v>39</v>
      </c>
      <c r="C22" s="95">
        <f>동탄!I22</f>
        <v>624</v>
      </c>
      <c r="D22" s="95">
        <f>화성!I22</f>
        <v>652.22394366413346</v>
      </c>
      <c r="E22" s="95">
        <f>파주!I22</f>
        <v>638.01160626998319</v>
      </c>
      <c r="F22" s="95">
        <f>광교!I22</f>
        <v>169.77778034753771</v>
      </c>
      <c r="G22" s="95">
        <f>판교!I22</f>
        <v>180</v>
      </c>
      <c r="H22" s="95">
        <f>삼송!I22</f>
        <v>50</v>
      </c>
      <c r="I22" s="95">
        <f>양산!I22</f>
        <v>156.67301137839505</v>
      </c>
      <c r="J22" s="95">
        <f>대구!I22</f>
        <v>1610</v>
      </c>
      <c r="K22" s="95">
        <f>청주!I22</f>
        <v>385.90967720263905</v>
      </c>
      <c r="L22" s="92">
        <f>SUM(C22:K22)</f>
        <v>4466.5960188626887</v>
      </c>
      <c r="M22" s="95">
        <f>수원!I22</f>
        <v>208.13455486845405</v>
      </c>
      <c r="N22" s="95">
        <f>광주전남!I22</f>
        <v>386</v>
      </c>
      <c r="O22" s="95">
        <f>강남!I22</f>
        <v>107</v>
      </c>
      <c r="P22" s="96">
        <f t="shared" si="0"/>
        <v>701.13455486845407</v>
      </c>
      <c r="Q22" s="95">
        <f>중앙!I22</f>
        <v>29</v>
      </c>
      <c r="R22" s="95">
        <f>고양!I22</f>
        <v>0</v>
      </c>
      <c r="S22" s="95">
        <f>용인!I22</f>
        <v>0</v>
      </c>
      <c r="T22" s="95">
        <f>분당!I22</f>
        <v>0</v>
      </c>
      <c r="U22" s="95">
        <f>세종!I22</f>
        <v>0</v>
      </c>
      <c r="V22" s="95">
        <f>김해!I22</f>
        <v>0</v>
      </c>
      <c r="W22" s="95">
        <f>평택!I22</f>
        <v>0</v>
      </c>
      <c r="X22" s="96">
        <f t="shared" si="1"/>
        <v>29</v>
      </c>
      <c r="Y22" s="96">
        <f t="shared" si="3"/>
        <v>5196.7305737311426</v>
      </c>
    </row>
    <row r="23" spans="1:25">
      <c r="A23" s="263"/>
      <c r="B23" s="97" t="s">
        <v>37</v>
      </c>
      <c r="C23" s="95">
        <f>동탄!I23</f>
        <v>2</v>
      </c>
      <c r="D23" s="95">
        <f>화성!I23</f>
        <v>79</v>
      </c>
      <c r="E23" s="95">
        <f>파주!I23</f>
        <v>155</v>
      </c>
      <c r="F23" s="95">
        <f>광교!I23</f>
        <v>13</v>
      </c>
      <c r="G23" s="95">
        <f>판교!I23</f>
        <v>54</v>
      </c>
      <c r="H23" s="95">
        <f>삼송!I23</f>
        <v>20</v>
      </c>
      <c r="I23" s="95">
        <f>양산!I23</f>
        <v>91</v>
      </c>
      <c r="J23" s="95">
        <f>대구!I23</f>
        <v>83.5</v>
      </c>
      <c r="K23" s="95">
        <f>청주!I23</f>
        <v>83.5</v>
      </c>
      <c r="L23" s="92">
        <f>SUM(C23:K23)</f>
        <v>581</v>
      </c>
      <c r="M23" s="95">
        <f>수원!I23</f>
        <v>44</v>
      </c>
      <c r="N23" s="95">
        <f>광주전남!I23</f>
        <v>84</v>
      </c>
      <c r="O23" s="95">
        <f>강남!I23</f>
        <v>46.421633001005944</v>
      </c>
      <c r="P23" s="96">
        <f t="shared" si="0"/>
        <v>174.42163300100594</v>
      </c>
      <c r="Q23" s="95">
        <f>중앙!I23</f>
        <v>0</v>
      </c>
      <c r="R23" s="95">
        <f>고양!I23</f>
        <v>10</v>
      </c>
      <c r="S23" s="95">
        <f>용인!I23</f>
        <v>0</v>
      </c>
      <c r="T23" s="95">
        <f>분당!I23</f>
        <v>0</v>
      </c>
      <c r="U23" s="95">
        <f>세종!I23</f>
        <v>0</v>
      </c>
      <c r="V23" s="95">
        <f>김해!I23</f>
        <v>0</v>
      </c>
      <c r="W23" s="95">
        <f>평택!I23</f>
        <v>0</v>
      </c>
      <c r="X23" s="96">
        <f t="shared" si="1"/>
        <v>10</v>
      </c>
      <c r="Y23" s="96">
        <f t="shared" si="3"/>
        <v>765.42163300100594</v>
      </c>
    </row>
    <row r="24" spans="1:25">
      <c r="A24" s="263"/>
      <c r="B24" s="93" t="s">
        <v>35</v>
      </c>
      <c r="C24" s="98">
        <f t="shared" ref="C24:H24" si="23">SUM(C21:C23)</f>
        <v>626</v>
      </c>
      <c r="D24" s="98">
        <f t="shared" si="23"/>
        <v>731.22394366413346</v>
      </c>
      <c r="E24" s="98">
        <f t="shared" si="23"/>
        <v>18376.011606269982</v>
      </c>
      <c r="F24" s="98">
        <f t="shared" si="23"/>
        <v>182.77778034753771</v>
      </c>
      <c r="G24" s="98">
        <f t="shared" si="23"/>
        <v>234</v>
      </c>
      <c r="H24" s="98">
        <f t="shared" si="23"/>
        <v>70</v>
      </c>
      <c r="I24" s="98">
        <f>SUM(I21:I23)</f>
        <v>247.67301137839505</v>
      </c>
      <c r="J24" s="98">
        <f>SUM(J21:J23)</f>
        <v>1693.5</v>
      </c>
      <c r="K24" s="98">
        <f>SUM(K21:K23)</f>
        <v>469.40967720263905</v>
      </c>
      <c r="L24" s="98">
        <f t="shared" ref="L24" si="24">SUM(C24:K24)</f>
        <v>22630.596018862685</v>
      </c>
      <c r="M24" s="98">
        <f>SUM(M21:M23)</f>
        <v>252.13455486845405</v>
      </c>
      <c r="N24" s="98">
        <f>SUM(N21:N23)</f>
        <v>470</v>
      </c>
      <c r="O24" s="98">
        <f>SUM(O21:O23)</f>
        <v>153.42163300100594</v>
      </c>
      <c r="P24" s="99">
        <f t="shared" si="0"/>
        <v>875.55618786946002</v>
      </c>
      <c r="Q24" s="98">
        <f t="shared" ref="Q24:W24" si="25">SUM(Q21:Q23)</f>
        <v>29</v>
      </c>
      <c r="R24" s="98">
        <f t="shared" si="25"/>
        <v>10</v>
      </c>
      <c r="S24" s="98">
        <f t="shared" si="25"/>
        <v>0</v>
      </c>
      <c r="T24" s="98">
        <f t="shared" si="25"/>
        <v>0</v>
      </c>
      <c r="U24" s="98">
        <f t="shared" si="25"/>
        <v>0</v>
      </c>
      <c r="V24" s="98">
        <f t="shared" si="25"/>
        <v>0</v>
      </c>
      <c r="W24" s="98">
        <f t="shared" si="25"/>
        <v>0</v>
      </c>
      <c r="X24" s="99">
        <f t="shared" si="1"/>
        <v>39</v>
      </c>
      <c r="Y24" s="99">
        <f t="shared" si="3"/>
        <v>23545.152206732146</v>
      </c>
    </row>
    <row r="25" spans="1:25">
      <c r="A25" s="255" t="s">
        <v>115</v>
      </c>
      <c r="B25" s="255"/>
      <c r="C25" s="56">
        <f>C14+C15+C19+C18+C20+C24</f>
        <v>3704.9243458809524</v>
      </c>
      <c r="D25" s="56">
        <f t="shared" ref="D25:Y25" si="26">D14+D15+D19+D18+D20+D24</f>
        <v>4785.196782378549</v>
      </c>
      <c r="E25" s="56">
        <f t="shared" si="26"/>
        <v>19904.855646765132</v>
      </c>
      <c r="F25" s="56">
        <f t="shared" si="26"/>
        <v>1005.8565235171945</v>
      </c>
      <c r="G25" s="56">
        <f t="shared" si="26"/>
        <v>1529.7970626947847</v>
      </c>
      <c r="H25" s="56">
        <f t="shared" si="26"/>
        <v>1185.7038594566895</v>
      </c>
      <c r="I25" s="56">
        <f t="shared" si="26"/>
        <v>6057.1733016385833</v>
      </c>
      <c r="J25" s="56">
        <f t="shared" si="26"/>
        <v>10552.473878507266</v>
      </c>
      <c r="K25" s="56">
        <f t="shared" si="26"/>
        <v>1180.9921772026391</v>
      </c>
      <c r="L25" s="56">
        <f t="shared" si="26"/>
        <v>49906.973578041783</v>
      </c>
      <c r="M25" s="56">
        <f t="shared" si="26"/>
        <v>786.27356795177832</v>
      </c>
      <c r="N25" s="56">
        <f t="shared" si="26"/>
        <v>2191.5886390205897</v>
      </c>
      <c r="O25" s="56">
        <f t="shared" si="26"/>
        <v>1660.6634825875121</v>
      </c>
      <c r="P25" s="56">
        <f t="shared" si="26"/>
        <v>4638.5256895598804</v>
      </c>
      <c r="Q25" s="56">
        <f t="shared" si="26"/>
        <v>1043.3982503922261</v>
      </c>
      <c r="R25" s="56">
        <f t="shared" si="26"/>
        <v>1289.5641312306175</v>
      </c>
      <c r="S25" s="56">
        <f t="shared" si="26"/>
        <v>615.96392666048746</v>
      </c>
      <c r="T25" s="56">
        <f t="shared" si="26"/>
        <v>1024.3868546083422</v>
      </c>
      <c r="U25" s="56">
        <f t="shared" si="26"/>
        <v>83.238368467633435</v>
      </c>
      <c r="V25" s="56">
        <f t="shared" si="26"/>
        <v>87.677748119240547</v>
      </c>
      <c r="W25" s="56">
        <f t="shared" si="26"/>
        <v>9.9886042161160127</v>
      </c>
      <c r="X25" s="56">
        <f t="shared" si="26"/>
        <v>4154.2178836946641</v>
      </c>
      <c r="Y25" s="56">
        <f t="shared" si="26"/>
        <v>58699.717151296325</v>
      </c>
    </row>
    <row r="26" spans="1:25">
      <c r="A26" s="224" t="s">
        <v>282</v>
      </c>
      <c r="B26" s="224" t="s">
        <v>354</v>
      </c>
      <c r="C26" s="95">
        <f>동탄!I25</f>
        <v>1263.692380138509</v>
      </c>
      <c r="D26" s="95">
        <f>화성!I25</f>
        <v>369.69316753900654</v>
      </c>
      <c r="E26" s="95">
        <f>파주!I25</f>
        <v>469.1965045577868</v>
      </c>
      <c r="F26" s="95">
        <f>광교!I25</f>
        <v>150.89517042408434</v>
      </c>
      <c r="G26" s="95">
        <f>판교!I25</f>
        <v>1528.6336829918107</v>
      </c>
      <c r="H26" s="95">
        <f>삼송!I25</f>
        <v>775.25127413533164</v>
      </c>
      <c r="I26" s="95">
        <f>양산!I25</f>
        <v>2.1868865278852794</v>
      </c>
      <c r="J26" s="95">
        <f>대구!I25</f>
        <v>698.71024565934704</v>
      </c>
      <c r="K26" s="95">
        <f>청주!I25</f>
        <v>3244.2461641178124</v>
      </c>
      <c r="L26" s="92">
        <f>SUM(C26:K26)</f>
        <v>8502.5054760915737</v>
      </c>
      <c r="M26" s="95">
        <f>수원!I25</f>
        <v>47.018060349533521</v>
      </c>
      <c r="N26" s="95">
        <f>광주전남!I25</f>
        <v>580.61837315354194</v>
      </c>
      <c r="O26" s="95">
        <f>강남!I25</f>
        <v>1366.8040799282996</v>
      </c>
      <c r="P26" s="96">
        <f t="shared" ref="P26" si="27">SUM(M26:O26)</f>
        <v>1994.4405134313752</v>
      </c>
      <c r="Q26" s="95">
        <f>중앙!I25</f>
        <v>1139.766476109668</v>
      </c>
      <c r="R26" s="95">
        <f>고양!I25</f>
        <v>756.25337072683089</v>
      </c>
      <c r="S26" s="95">
        <f>용인!I25</f>
        <v>589.27435012475269</v>
      </c>
      <c r="T26" s="95">
        <f>분당!I25</f>
        <v>0</v>
      </c>
      <c r="U26" s="95">
        <f>세종!I25</f>
        <v>0</v>
      </c>
      <c r="V26" s="95">
        <f>김해!I25</f>
        <v>282.24840901770608</v>
      </c>
      <c r="W26" s="95">
        <f>평택!I25</f>
        <v>0</v>
      </c>
      <c r="X26" s="96">
        <f t="shared" ref="X26" si="28">SUM(Q26:W26)</f>
        <v>2767.5426059789579</v>
      </c>
      <c r="Y26" s="96">
        <f t="shared" ref="Y26" si="29">L26+P26+X26</f>
        <v>13264.488595501905</v>
      </c>
    </row>
    <row r="29" spans="1:25">
      <c r="C29" s="262"/>
      <c r="D29" s="262"/>
      <c r="E29" s="262"/>
      <c r="F29" s="262"/>
      <c r="G29" s="262"/>
      <c r="H29" s="262"/>
      <c r="I29" s="262"/>
      <c r="J29" s="262"/>
      <c r="K29" s="262"/>
    </row>
    <row r="30" spans="1:25">
      <c r="C30" s="262"/>
      <c r="D30" s="262"/>
      <c r="E30" s="262"/>
      <c r="F30" s="262"/>
      <c r="G30" s="262"/>
      <c r="H30" s="262"/>
      <c r="I30" s="262"/>
      <c r="J30" s="262"/>
      <c r="K30" s="109"/>
    </row>
    <row r="31" spans="1:25">
      <c r="B31" s="247" t="s">
        <v>33</v>
      </c>
      <c r="C31" s="21">
        <f>INT(C4*0.9)</f>
        <v>935</v>
      </c>
      <c r="D31" s="21">
        <f t="shared" ref="D31:O32" si="30">INT(D4*0.9)</f>
        <v>361</v>
      </c>
      <c r="E31" s="21">
        <f>INT(E4*0.9)</f>
        <v>779</v>
      </c>
      <c r="F31" s="21">
        <f t="shared" si="30"/>
        <v>43</v>
      </c>
      <c r="G31" s="21">
        <f t="shared" si="30"/>
        <v>301</v>
      </c>
      <c r="H31" s="21">
        <f t="shared" si="30"/>
        <v>282</v>
      </c>
      <c r="I31" s="21">
        <f t="shared" si="30"/>
        <v>160</v>
      </c>
      <c r="J31" s="21">
        <f t="shared" si="30"/>
        <v>2</v>
      </c>
      <c r="K31" s="21">
        <f t="shared" si="30"/>
        <v>29</v>
      </c>
      <c r="L31" s="21"/>
      <c r="M31" s="21">
        <f t="shared" si="30"/>
        <v>301</v>
      </c>
      <c r="N31" s="21">
        <f t="shared" si="30"/>
        <v>235</v>
      </c>
      <c r="O31" s="21">
        <f t="shared" si="30"/>
        <v>158</v>
      </c>
      <c r="P31" s="21"/>
      <c r="Q31" s="21">
        <f t="shared" ref="Q31:W32" si="31">INT(Q4*0.9)</f>
        <v>203</v>
      </c>
      <c r="R31" s="21">
        <f t="shared" si="31"/>
        <v>104</v>
      </c>
      <c r="S31" s="21">
        <f t="shared" si="31"/>
        <v>84</v>
      </c>
      <c r="T31" s="21">
        <f t="shared" si="31"/>
        <v>39</v>
      </c>
      <c r="U31" s="21">
        <f t="shared" si="31"/>
        <v>31</v>
      </c>
      <c r="V31" s="21">
        <f t="shared" si="31"/>
        <v>147</v>
      </c>
      <c r="W31" s="21">
        <f t="shared" si="31"/>
        <v>0</v>
      </c>
      <c r="Y31" s="21">
        <f>SUM(C31:X31)</f>
        <v>4194</v>
      </c>
    </row>
    <row r="32" spans="1:25">
      <c r="B32" s="247" t="s">
        <v>95</v>
      </c>
      <c r="C32" s="21">
        <f t="shared" ref="C32:K32" si="32">INT(C5*0.9)</f>
        <v>4657</v>
      </c>
      <c r="D32" s="21">
        <f t="shared" si="32"/>
        <v>1301</v>
      </c>
      <c r="E32" s="21">
        <f t="shared" si="32"/>
        <v>3957</v>
      </c>
      <c r="F32" s="21">
        <f t="shared" si="32"/>
        <v>936</v>
      </c>
      <c r="G32" s="21">
        <f t="shared" si="32"/>
        <v>838</v>
      </c>
      <c r="H32" s="21">
        <f t="shared" si="32"/>
        <v>621</v>
      </c>
      <c r="I32" s="21">
        <f t="shared" si="32"/>
        <v>798</v>
      </c>
      <c r="J32" s="21">
        <f t="shared" si="32"/>
        <v>1074</v>
      </c>
      <c r="K32" s="21">
        <f t="shared" si="32"/>
        <v>1074</v>
      </c>
      <c r="L32" s="21"/>
      <c r="M32" s="21">
        <f t="shared" si="30"/>
        <v>838</v>
      </c>
      <c r="N32" s="21">
        <f t="shared" si="30"/>
        <v>1193</v>
      </c>
      <c r="O32" s="21">
        <f t="shared" si="30"/>
        <v>1799</v>
      </c>
      <c r="P32" s="21"/>
      <c r="Q32" s="21">
        <f t="shared" si="31"/>
        <v>1322</v>
      </c>
      <c r="R32" s="21">
        <f t="shared" si="31"/>
        <v>624</v>
      </c>
      <c r="S32" s="21">
        <f t="shared" si="31"/>
        <v>464</v>
      </c>
      <c r="T32" s="21">
        <f t="shared" si="31"/>
        <v>601</v>
      </c>
      <c r="U32" s="21">
        <f t="shared" si="31"/>
        <v>112</v>
      </c>
      <c r="V32" s="21">
        <f t="shared" si="31"/>
        <v>303</v>
      </c>
      <c r="W32" s="21">
        <f t="shared" si="31"/>
        <v>162</v>
      </c>
      <c r="Y32" s="21">
        <f t="shared" ref="Y32:Y39" si="33">SUM(C32:X32)</f>
        <v>22674</v>
      </c>
    </row>
    <row r="33" spans="2:26">
      <c r="B33" s="247" t="s">
        <v>96</v>
      </c>
      <c r="C33" s="21">
        <f>C6</f>
        <v>8849.9033354787862</v>
      </c>
      <c r="D33" s="21">
        <f t="shared" ref="D33:Y33" si="34">D6</f>
        <v>6836.6446634749591</v>
      </c>
      <c r="E33" s="21">
        <f t="shared" si="34"/>
        <v>6389.377163575542</v>
      </c>
      <c r="F33" s="21">
        <f t="shared" si="34"/>
        <v>2625.8930639256096</v>
      </c>
      <c r="G33" s="21">
        <f t="shared" si="34"/>
        <v>2725.7791060867694</v>
      </c>
      <c r="H33" s="21">
        <f t="shared" si="34"/>
        <v>1966.6451856619526</v>
      </c>
      <c r="I33" s="21">
        <f t="shared" si="34"/>
        <v>2450.5375676871281</v>
      </c>
      <c r="J33" s="21">
        <f t="shared" si="34"/>
        <v>4054.2634668301989</v>
      </c>
      <c r="K33" s="21">
        <f t="shared" si="34"/>
        <v>3683.5752659210048</v>
      </c>
      <c r="L33" s="21"/>
      <c r="M33" s="21">
        <f t="shared" si="34"/>
        <v>2725.7791060867698</v>
      </c>
      <c r="N33" s="21">
        <f t="shared" si="34"/>
        <v>1940.0089077523098</v>
      </c>
      <c r="O33" s="21">
        <f t="shared" si="34"/>
        <v>1361.779708130483</v>
      </c>
      <c r="P33" s="21"/>
      <c r="Q33" s="21">
        <f t="shared" si="34"/>
        <v>1180.874987327493</v>
      </c>
      <c r="R33" s="21">
        <f t="shared" si="34"/>
        <v>775.78159411834361</v>
      </c>
      <c r="S33" s="21">
        <f t="shared" si="34"/>
        <v>751.3650060345044</v>
      </c>
      <c r="T33" s="21">
        <f t="shared" si="34"/>
        <v>670.34632739267454</v>
      </c>
      <c r="U33" s="21">
        <f t="shared" si="34"/>
        <v>302.98766122218569</v>
      </c>
      <c r="V33" s="21">
        <f t="shared" si="34"/>
        <v>44.393796516071163</v>
      </c>
      <c r="W33" s="21">
        <f t="shared" si="34"/>
        <v>44.393796516071163</v>
      </c>
      <c r="X33" s="21"/>
      <c r="Y33" s="21">
        <f t="shared" si="34"/>
        <v>49380.329709738864</v>
      </c>
    </row>
    <row r="34" spans="2:26">
      <c r="B34" s="247" t="s">
        <v>97</v>
      </c>
      <c r="C34" s="21">
        <f t="shared" ref="C34:K37" si="35">INT(C7*0.9)</f>
        <v>2997</v>
      </c>
      <c r="D34" s="21">
        <f t="shared" si="35"/>
        <v>366</v>
      </c>
      <c r="E34" s="21">
        <f t="shared" si="35"/>
        <v>636</v>
      </c>
      <c r="F34" s="21">
        <f t="shared" si="35"/>
        <v>185</v>
      </c>
      <c r="G34" s="21">
        <f t="shared" si="35"/>
        <v>185</v>
      </c>
      <c r="H34" s="21">
        <f t="shared" si="35"/>
        <v>156</v>
      </c>
      <c r="I34" s="21">
        <f t="shared" si="35"/>
        <v>229</v>
      </c>
      <c r="J34" s="21">
        <f t="shared" si="35"/>
        <v>261</v>
      </c>
      <c r="K34" s="21">
        <f t="shared" si="35"/>
        <v>199</v>
      </c>
      <c r="L34" s="21"/>
      <c r="M34" s="21">
        <f t="shared" ref="M34:O37" si="36">INT(M7*0.9)</f>
        <v>185</v>
      </c>
      <c r="N34" s="21">
        <f t="shared" si="36"/>
        <v>204</v>
      </c>
      <c r="O34" s="21">
        <f t="shared" si="36"/>
        <v>577</v>
      </c>
      <c r="P34" s="21"/>
      <c r="Q34" s="21">
        <f t="shared" ref="Q34:W37" si="37">INT(Q7*0.9)</f>
        <v>676</v>
      </c>
      <c r="R34" s="21">
        <f t="shared" si="37"/>
        <v>529</v>
      </c>
      <c r="S34" s="21">
        <f t="shared" si="37"/>
        <v>117</v>
      </c>
      <c r="T34" s="21">
        <f t="shared" si="37"/>
        <v>82</v>
      </c>
      <c r="U34" s="21">
        <f t="shared" si="37"/>
        <v>60</v>
      </c>
      <c r="V34" s="21">
        <f t="shared" si="37"/>
        <v>52</v>
      </c>
      <c r="W34" s="21">
        <f t="shared" si="37"/>
        <v>91</v>
      </c>
      <c r="Y34" s="21">
        <f t="shared" si="33"/>
        <v>7787</v>
      </c>
    </row>
    <row r="35" spans="2:26">
      <c r="B35" s="247" t="s">
        <v>281</v>
      </c>
      <c r="C35" s="21">
        <f t="shared" si="35"/>
        <v>2292</v>
      </c>
      <c r="D35" s="21">
        <f t="shared" si="35"/>
        <v>837</v>
      </c>
      <c r="E35" s="21">
        <f t="shared" si="35"/>
        <v>706</v>
      </c>
      <c r="F35" s="21">
        <f t="shared" si="35"/>
        <v>1222</v>
      </c>
      <c r="G35" s="21">
        <f t="shared" si="35"/>
        <v>461</v>
      </c>
      <c r="H35" s="21">
        <f t="shared" si="35"/>
        <v>385</v>
      </c>
      <c r="I35" s="21">
        <f t="shared" si="35"/>
        <v>880</v>
      </c>
      <c r="J35" s="21">
        <f t="shared" si="35"/>
        <v>759</v>
      </c>
      <c r="K35" s="21">
        <f t="shared" si="35"/>
        <v>366</v>
      </c>
      <c r="L35" s="21"/>
      <c r="M35" s="21">
        <f t="shared" si="36"/>
        <v>461</v>
      </c>
      <c r="N35" s="21">
        <f t="shared" si="36"/>
        <v>700</v>
      </c>
      <c r="O35" s="21">
        <f t="shared" si="36"/>
        <v>626</v>
      </c>
      <c r="P35" s="21"/>
      <c r="Q35" s="21">
        <f t="shared" si="37"/>
        <v>1035</v>
      </c>
      <c r="R35" s="21">
        <f t="shared" si="37"/>
        <v>1228</v>
      </c>
      <c r="S35" s="21">
        <f t="shared" si="37"/>
        <v>219</v>
      </c>
      <c r="T35" s="21">
        <f t="shared" si="37"/>
        <v>436</v>
      </c>
      <c r="U35" s="21">
        <f t="shared" si="37"/>
        <v>329</v>
      </c>
      <c r="V35" s="21">
        <f t="shared" si="37"/>
        <v>259</v>
      </c>
      <c r="W35" s="21">
        <f t="shared" si="37"/>
        <v>27</v>
      </c>
      <c r="Y35" s="21">
        <f t="shared" si="33"/>
        <v>13228</v>
      </c>
    </row>
    <row r="36" spans="2:26">
      <c r="B36" s="247" t="s">
        <v>279</v>
      </c>
      <c r="C36" s="21">
        <f t="shared" si="35"/>
        <v>742</v>
      </c>
      <c r="D36" s="21">
        <f t="shared" si="35"/>
        <v>573</v>
      </c>
      <c r="E36" s="21">
        <f t="shared" si="35"/>
        <v>535</v>
      </c>
      <c r="F36" s="21">
        <f t="shared" si="35"/>
        <v>219</v>
      </c>
      <c r="G36" s="21">
        <f t="shared" si="35"/>
        <v>228</v>
      </c>
      <c r="H36" s="21">
        <f t="shared" si="35"/>
        <v>49</v>
      </c>
      <c r="I36" s="21">
        <f t="shared" si="35"/>
        <v>204</v>
      </c>
      <c r="J36" s="21">
        <f t="shared" si="35"/>
        <v>339</v>
      </c>
      <c r="K36" s="21">
        <f t="shared" si="35"/>
        <v>308</v>
      </c>
      <c r="L36" s="21"/>
      <c r="M36" s="21">
        <f t="shared" si="36"/>
        <v>228</v>
      </c>
      <c r="N36" s="21">
        <f t="shared" si="36"/>
        <v>156</v>
      </c>
      <c r="O36" s="21">
        <f t="shared" si="36"/>
        <v>109</v>
      </c>
      <c r="P36" s="21"/>
      <c r="Q36" s="21">
        <f t="shared" si="37"/>
        <v>95</v>
      </c>
      <c r="R36" s="21">
        <f t="shared" si="37"/>
        <v>62</v>
      </c>
      <c r="S36" s="21">
        <f t="shared" si="37"/>
        <v>60</v>
      </c>
      <c r="T36" s="21">
        <f t="shared" si="37"/>
        <v>53</v>
      </c>
      <c r="U36" s="21">
        <f t="shared" si="37"/>
        <v>24</v>
      </c>
      <c r="V36" s="21">
        <f t="shared" si="37"/>
        <v>3</v>
      </c>
      <c r="W36" s="21">
        <f t="shared" si="37"/>
        <v>3</v>
      </c>
      <c r="Y36" s="21">
        <f t="shared" si="33"/>
        <v>3990</v>
      </c>
    </row>
    <row r="37" spans="2:26">
      <c r="B37" s="247" t="s">
        <v>280</v>
      </c>
      <c r="C37" s="21">
        <f t="shared" si="35"/>
        <v>82</v>
      </c>
      <c r="D37" s="21">
        <f t="shared" si="35"/>
        <v>63</v>
      </c>
      <c r="E37" s="21">
        <f t="shared" si="35"/>
        <v>59</v>
      </c>
      <c r="F37" s="21">
        <f t="shared" si="35"/>
        <v>23</v>
      </c>
      <c r="G37" s="21">
        <f t="shared" si="35"/>
        <v>24</v>
      </c>
      <c r="H37" s="21">
        <f t="shared" si="35"/>
        <v>5</v>
      </c>
      <c r="I37" s="21">
        <f t="shared" si="35"/>
        <v>22</v>
      </c>
      <c r="J37" s="21">
        <f t="shared" si="35"/>
        <v>37</v>
      </c>
      <c r="K37" s="21">
        <f t="shared" si="35"/>
        <v>33</v>
      </c>
      <c r="L37" s="21"/>
      <c r="M37" s="21">
        <f t="shared" si="36"/>
        <v>24</v>
      </c>
      <c r="N37" s="21">
        <f t="shared" si="36"/>
        <v>16</v>
      </c>
      <c r="O37" s="21">
        <f t="shared" si="36"/>
        <v>11</v>
      </c>
      <c r="P37" s="21"/>
      <c r="Q37" s="21">
        <f t="shared" si="37"/>
        <v>10</v>
      </c>
      <c r="R37" s="21">
        <f t="shared" si="37"/>
        <v>6</v>
      </c>
      <c r="S37" s="21">
        <f t="shared" si="37"/>
        <v>6</v>
      </c>
      <c r="T37" s="21">
        <f t="shared" si="37"/>
        <v>5</v>
      </c>
      <c r="U37" s="21">
        <f t="shared" si="37"/>
        <v>2</v>
      </c>
      <c r="V37" s="21">
        <f t="shared" si="37"/>
        <v>0</v>
      </c>
      <c r="W37" s="21">
        <f t="shared" si="37"/>
        <v>0</v>
      </c>
      <c r="Y37" s="21">
        <f t="shared" si="33"/>
        <v>428</v>
      </c>
    </row>
    <row r="38" spans="2:26">
      <c r="C38" s="21"/>
      <c r="D38" s="21"/>
      <c r="E38" s="21"/>
      <c r="F38" s="21"/>
      <c r="G38" s="21"/>
      <c r="H38" s="21"/>
      <c r="I38" s="21"/>
      <c r="J38" s="21"/>
      <c r="K38" s="21"/>
      <c r="L38" s="246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Y38" s="21"/>
    </row>
    <row r="39" spans="2:26">
      <c r="B39" s="247" t="s">
        <v>99</v>
      </c>
      <c r="C39" s="21">
        <f t="shared" ref="C39:K39" si="38">INT(C12*0.9)</f>
        <v>432</v>
      </c>
      <c r="D39" s="21">
        <f t="shared" si="38"/>
        <v>363</v>
      </c>
      <c r="E39" s="21">
        <f t="shared" si="38"/>
        <v>552</v>
      </c>
      <c r="F39" s="21">
        <f t="shared" si="38"/>
        <v>230</v>
      </c>
      <c r="G39" s="21">
        <f t="shared" si="38"/>
        <v>210</v>
      </c>
      <c r="H39" s="21">
        <f t="shared" si="38"/>
        <v>225</v>
      </c>
      <c r="I39" s="21">
        <f t="shared" si="38"/>
        <v>656</v>
      </c>
      <c r="J39" s="21">
        <f t="shared" si="38"/>
        <v>415</v>
      </c>
      <c r="K39" s="21">
        <f t="shared" si="38"/>
        <v>432</v>
      </c>
      <c r="L39" s="21"/>
      <c r="M39" s="21">
        <f t="shared" ref="M39:O39" si="39">INT(M12*0.9)</f>
        <v>210</v>
      </c>
      <c r="N39" s="21">
        <f t="shared" si="39"/>
        <v>764</v>
      </c>
      <c r="O39" s="21">
        <f t="shared" si="39"/>
        <v>233</v>
      </c>
      <c r="P39" s="21"/>
      <c r="Q39" s="21">
        <f t="shared" ref="Q39:W39" si="40">INT(Q12*0.9)</f>
        <v>234</v>
      </c>
      <c r="R39" s="21">
        <f t="shared" si="40"/>
        <v>98</v>
      </c>
      <c r="S39" s="21">
        <f t="shared" si="40"/>
        <v>187</v>
      </c>
      <c r="T39" s="21">
        <f t="shared" si="40"/>
        <v>63</v>
      </c>
      <c r="U39" s="21">
        <f t="shared" si="40"/>
        <v>76</v>
      </c>
      <c r="V39" s="21">
        <f t="shared" si="40"/>
        <v>157</v>
      </c>
      <c r="W39" s="21">
        <f t="shared" si="40"/>
        <v>50</v>
      </c>
      <c r="Y39" s="21">
        <f t="shared" si="33"/>
        <v>5587</v>
      </c>
    </row>
    <row r="40" spans="2:26"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Y40" s="21">
        <f>SUM(Y31:Y39)</f>
        <v>107268.32970973887</v>
      </c>
      <c r="Z40" s="21">
        <f>Y13-Y40</f>
        <v>6516.2075881066266</v>
      </c>
    </row>
    <row r="41" spans="2:26">
      <c r="C41" s="21">
        <f>C14</f>
        <v>0</v>
      </c>
      <c r="D41" s="21">
        <f t="shared" ref="D41:W41" si="41">D14</f>
        <v>22</v>
      </c>
      <c r="E41" s="21">
        <f t="shared" si="41"/>
        <v>0</v>
      </c>
      <c r="F41" s="21">
        <f t="shared" si="41"/>
        <v>28</v>
      </c>
      <c r="G41" s="21">
        <f t="shared" si="41"/>
        <v>6</v>
      </c>
      <c r="H41" s="21">
        <f t="shared" si="41"/>
        <v>0</v>
      </c>
      <c r="I41" s="21">
        <f t="shared" si="41"/>
        <v>11</v>
      </c>
      <c r="J41" s="21">
        <f t="shared" si="41"/>
        <v>0</v>
      </c>
      <c r="K41" s="21">
        <f t="shared" si="41"/>
        <v>0</v>
      </c>
      <c r="L41" s="21">
        <f t="shared" si="41"/>
        <v>67</v>
      </c>
      <c r="M41" s="21">
        <f t="shared" si="41"/>
        <v>0</v>
      </c>
      <c r="N41" s="21">
        <f t="shared" si="41"/>
        <v>0</v>
      </c>
      <c r="O41" s="21">
        <f t="shared" si="41"/>
        <v>0</v>
      </c>
      <c r="P41" s="21">
        <f t="shared" si="41"/>
        <v>0</v>
      </c>
      <c r="Q41" s="21">
        <f t="shared" si="41"/>
        <v>0</v>
      </c>
      <c r="R41" s="21">
        <f t="shared" si="41"/>
        <v>0</v>
      </c>
      <c r="S41" s="21">
        <f t="shared" si="41"/>
        <v>0</v>
      </c>
      <c r="T41" s="21">
        <f t="shared" si="41"/>
        <v>0</v>
      </c>
      <c r="U41" s="21">
        <f t="shared" si="41"/>
        <v>0</v>
      </c>
      <c r="V41" s="21">
        <f t="shared" si="41"/>
        <v>0</v>
      </c>
      <c r="W41" s="21">
        <f t="shared" si="41"/>
        <v>0</v>
      </c>
    </row>
    <row r="42" spans="2:26">
      <c r="C42" s="21">
        <f t="shared" ref="C42:W42" si="42">C15</f>
        <v>0</v>
      </c>
      <c r="D42" s="21">
        <f t="shared" si="42"/>
        <v>15</v>
      </c>
      <c r="E42" s="21">
        <f t="shared" si="42"/>
        <v>0</v>
      </c>
      <c r="F42" s="21">
        <f t="shared" si="42"/>
        <v>0</v>
      </c>
      <c r="G42" s="21">
        <f t="shared" si="42"/>
        <v>0</v>
      </c>
      <c r="H42" s="21">
        <f t="shared" si="42"/>
        <v>0</v>
      </c>
      <c r="I42" s="21">
        <f t="shared" si="42"/>
        <v>0</v>
      </c>
      <c r="J42" s="21">
        <f t="shared" si="42"/>
        <v>0</v>
      </c>
      <c r="K42" s="21">
        <f t="shared" si="42"/>
        <v>0</v>
      </c>
      <c r="L42" s="21">
        <f t="shared" si="42"/>
        <v>15</v>
      </c>
      <c r="M42" s="21">
        <f t="shared" si="42"/>
        <v>0</v>
      </c>
      <c r="N42" s="21">
        <f t="shared" si="42"/>
        <v>0</v>
      </c>
      <c r="O42" s="21">
        <f t="shared" si="42"/>
        <v>0</v>
      </c>
      <c r="P42" s="21">
        <f t="shared" si="42"/>
        <v>0</v>
      </c>
      <c r="Q42" s="21">
        <f t="shared" si="42"/>
        <v>0</v>
      </c>
      <c r="R42" s="21">
        <f t="shared" si="42"/>
        <v>0</v>
      </c>
      <c r="S42" s="21">
        <f t="shared" si="42"/>
        <v>0</v>
      </c>
      <c r="T42" s="21">
        <f t="shared" si="42"/>
        <v>0</v>
      </c>
      <c r="U42" s="21">
        <f t="shared" si="42"/>
        <v>0</v>
      </c>
      <c r="V42" s="21">
        <f t="shared" si="42"/>
        <v>0</v>
      </c>
      <c r="W42" s="21">
        <f t="shared" si="42"/>
        <v>0</v>
      </c>
    </row>
    <row r="43" spans="2:26">
      <c r="C43" s="21">
        <f t="shared" ref="C43:W43" si="43">C16</f>
        <v>2544.4868858492514</v>
      </c>
      <c r="D43" s="21">
        <f t="shared" si="43"/>
        <v>2169</v>
      </c>
      <c r="E43" s="21">
        <f t="shared" si="43"/>
        <v>0</v>
      </c>
      <c r="F43" s="21">
        <f t="shared" si="43"/>
        <v>0</v>
      </c>
      <c r="G43" s="21">
        <f t="shared" si="43"/>
        <v>0</v>
      </c>
      <c r="H43" s="21">
        <f t="shared" si="43"/>
        <v>788</v>
      </c>
      <c r="I43" s="21">
        <f t="shared" si="43"/>
        <v>0</v>
      </c>
      <c r="J43" s="21">
        <f t="shared" si="43"/>
        <v>7042</v>
      </c>
      <c r="K43" s="21">
        <f t="shared" si="43"/>
        <v>0</v>
      </c>
      <c r="L43" s="21">
        <f t="shared" si="43"/>
        <v>12543.486885849252</v>
      </c>
      <c r="M43" s="21">
        <f t="shared" si="43"/>
        <v>0</v>
      </c>
      <c r="N43" s="21">
        <f t="shared" si="43"/>
        <v>0</v>
      </c>
      <c r="O43" s="21">
        <f t="shared" si="43"/>
        <v>0</v>
      </c>
      <c r="P43" s="21">
        <f t="shared" si="43"/>
        <v>0</v>
      </c>
      <c r="Q43" s="21">
        <f t="shared" si="43"/>
        <v>0</v>
      </c>
      <c r="R43" s="21">
        <f t="shared" si="43"/>
        <v>0</v>
      </c>
      <c r="S43" s="21">
        <f t="shared" si="43"/>
        <v>0</v>
      </c>
      <c r="T43" s="21">
        <f t="shared" si="43"/>
        <v>0</v>
      </c>
      <c r="U43" s="21">
        <f t="shared" si="43"/>
        <v>0</v>
      </c>
      <c r="V43" s="21">
        <f t="shared" si="43"/>
        <v>0</v>
      </c>
      <c r="W43" s="21">
        <f t="shared" si="43"/>
        <v>0</v>
      </c>
    </row>
    <row r="44" spans="2:26">
      <c r="C44" s="21">
        <f t="shared" ref="C44:W44" si="44">C17</f>
        <v>473.46093328716296</v>
      </c>
      <c r="D44" s="21">
        <f t="shared" si="44"/>
        <v>1771.972838714416</v>
      </c>
      <c r="E44" s="21">
        <f t="shared" si="44"/>
        <v>1077.2519724868414</v>
      </c>
      <c r="F44" s="21">
        <f t="shared" si="44"/>
        <v>782.07874316965683</v>
      </c>
      <c r="G44" s="21">
        <f t="shared" si="44"/>
        <v>1252.6597562939799</v>
      </c>
      <c r="H44" s="21">
        <f t="shared" si="44"/>
        <v>308.70385945668949</v>
      </c>
      <c r="I44" s="21">
        <f t="shared" si="44"/>
        <v>1809.0472080299</v>
      </c>
      <c r="J44" s="21">
        <f t="shared" si="44"/>
        <v>1488.9738785072657</v>
      </c>
      <c r="K44" s="21">
        <f t="shared" si="44"/>
        <v>706</v>
      </c>
      <c r="L44" s="21">
        <f t="shared" si="44"/>
        <v>9670.1491899459124</v>
      </c>
      <c r="M44" s="21">
        <f t="shared" si="44"/>
        <v>384.13901308332419</v>
      </c>
      <c r="N44" s="21">
        <f t="shared" si="44"/>
        <v>1640.3507812688295</v>
      </c>
      <c r="O44" s="21">
        <f t="shared" si="44"/>
        <v>1477.2418495865063</v>
      </c>
      <c r="P44" s="21">
        <f t="shared" si="44"/>
        <v>3501.73164393866</v>
      </c>
      <c r="Q44" s="21">
        <f t="shared" si="44"/>
        <v>1014.3982503922261</v>
      </c>
      <c r="R44" s="21">
        <f t="shared" si="44"/>
        <v>1258.5641312306175</v>
      </c>
      <c r="S44" s="21">
        <f t="shared" si="44"/>
        <v>615.96392666048746</v>
      </c>
      <c r="T44" s="21">
        <f t="shared" si="44"/>
        <v>1024.3868546083422</v>
      </c>
      <c r="U44" s="21">
        <f t="shared" si="44"/>
        <v>83.238368467633435</v>
      </c>
      <c r="V44" s="21">
        <f t="shared" si="44"/>
        <v>87.677748119240547</v>
      </c>
      <c r="W44" s="21">
        <f t="shared" si="44"/>
        <v>9.9886042161160127</v>
      </c>
    </row>
    <row r="45" spans="2:26">
      <c r="C45" s="21">
        <f t="shared" ref="C45:W45" si="45">C18</f>
        <v>3017.9478191364142</v>
      </c>
      <c r="D45" s="21">
        <f t="shared" si="45"/>
        <v>3940.972838714416</v>
      </c>
      <c r="E45" s="21">
        <f t="shared" si="45"/>
        <v>1077.2519724868414</v>
      </c>
      <c r="F45" s="21">
        <f t="shared" si="45"/>
        <v>782.07874316965683</v>
      </c>
      <c r="G45" s="21">
        <f t="shared" si="45"/>
        <v>1252.6597562939799</v>
      </c>
      <c r="H45" s="21">
        <f t="shared" si="45"/>
        <v>1096.7038594566895</v>
      </c>
      <c r="I45" s="21">
        <f t="shared" si="45"/>
        <v>1809.0472080299</v>
      </c>
      <c r="J45" s="21">
        <f t="shared" si="45"/>
        <v>8530.9738785072659</v>
      </c>
      <c r="K45" s="21">
        <f t="shared" si="45"/>
        <v>706</v>
      </c>
      <c r="L45" s="21">
        <f t="shared" si="45"/>
        <v>22213.636075795162</v>
      </c>
      <c r="M45" s="21">
        <f t="shared" si="45"/>
        <v>384.13901308332419</v>
      </c>
      <c r="N45" s="21">
        <f t="shared" si="45"/>
        <v>1640.3507812688295</v>
      </c>
      <c r="O45" s="21">
        <f t="shared" si="45"/>
        <v>1477.2418495865063</v>
      </c>
      <c r="P45" s="21">
        <f t="shared" si="45"/>
        <v>3501.73164393866</v>
      </c>
      <c r="Q45" s="21">
        <f t="shared" si="45"/>
        <v>1014.3982503922261</v>
      </c>
      <c r="R45" s="21">
        <f t="shared" si="45"/>
        <v>1258.5641312306175</v>
      </c>
      <c r="S45" s="21">
        <f t="shared" si="45"/>
        <v>615.96392666048746</v>
      </c>
      <c r="T45" s="21">
        <f t="shared" si="45"/>
        <v>1024.3868546083422</v>
      </c>
      <c r="U45" s="21">
        <f t="shared" si="45"/>
        <v>83.238368467633435</v>
      </c>
      <c r="V45" s="21">
        <f t="shared" si="45"/>
        <v>87.677748119240547</v>
      </c>
      <c r="W45" s="21">
        <f t="shared" si="45"/>
        <v>9.9886042161160127</v>
      </c>
    </row>
    <row r="46" spans="2:26">
      <c r="C46" s="21">
        <f t="shared" ref="C46:W46" si="46">C19</f>
        <v>0</v>
      </c>
      <c r="D46" s="21">
        <f t="shared" si="46"/>
        <v>0</v>
      </c>
      <c r="E46" s="21">
        <f t="shared" si="46"/>
        <v>0</v>
      </c>
      <c r="F46" s="21">
        <f t="shared" si="46"/>
        <v>0</v>
      </c>
      <c r="G46" s="21">
        <f t="shared" si="46"/>
        <v>0</v>
      </c>
      <c r="H46" s="21">
        <f t="shared" si="46"/>
        <v>0</v>
      </c>
      <c r="I46" s="21">
        <f t="shared" si="46"/>
        <v>3985.4530822302886</v>
      </c>
      <c r="J46" s="21">
        <f t="shared" si="46"/>
        <v>0</v>
      </c>
      <c r="K46" s="21">
        <f t="shared" si="46"/>
        <v>0</v>
      </c>
      <c r="L46" s="21">
        <f t="shared" si="46"/>
        <v>3985.4530822302886</v>
      </c>
      <c r="M46" s="21">
        <f t="shared" si="46"/>
        <v>0</v>
      </c>
      <c r="N46" s="21">
        <f t="shared" si="46"/>
        <v>0</v>
      </c>
      <c r="O46" s="21">
        <f t="shared" si="46"/>
        <v>0</v>
      </c>
      <c r="P46" s="21">
        <f t="shared" si="46"/>
        <v>0</v>
      </c>
      <c r="Q46" s="21">
        <f t="shared" si="46"/>
        <v>0</v>
      </c>
      <c r="R46" s="21">
        <f t="shared" si="46"/>
        <v>0</v>
      </c>
      <c r="S46" s="21">
        <f t="shared" si="46"/>
        <v>0</v>
      </c>
      <c r="T46" s="21">
        <f t="shared" si="46"/>
        <v>0</v>
      </c>
      <c r="U46" s="21">
        <f t="shared" si="46"/>
        <v>0</v>
      </c>
      <c r="V46" s="21">
        <f t="shared" si="46"/>
        <v>0</v>
      </c>
      <c r="W46" s="21">
        <f t="shared" si="46"/>
        <v>0</v>
      </c>
    </row>
    <row r="47" spans="2:26">
      <c r="C47" s="21">
        <f t="shared" ref="C47:W47" si="47">C20</f>
        <v>60.976526744538198</v>
      </c>
      <c r="D47" s="21">
        <f t="shared" si="47"/>
        <v>76</v>
      </c>
      <c r="E47" s="21">
        <f t="shared" si="47"/>
        <v>451.59206800831026</v>
      </c>
      <c r="F47" s="21">
        <f t="shared" si="47"/>
        <v>13</v>
      </c>
      <c r="G47" s="21">
        <f t="shared" si="47"/>
        <v>37.137306400804754</v>
      </c>
      <c r="H47" s="21">
        <f t="shared" si="47"/>
        <v>19</v>
      </c>
      <c r="I47" s="21">
        <f t="shared" si="47"/>
        <v>4</v>
      </c>
      <c r="J47" s="21">
        <f t="shared" si="47"/>
        <v>328</v>
      </c>
      <c r="K47" s="21">
        <f t="shared" si="47"/>
        <v>5.5824999999999996</v>
      </c>
      <c r="L47" s="21">
        <f t="shared" si="47"/>
        <v>995.28840115365313</v>
      </c>
      <c r="M47" s="21">
        <f t="shared" si="47"/>
        <v>150</v>
      </c>
      <c r="N47" s="21">
        <f t="shared" si="47"/>
        <v>81.237857751760401</v>
      </c>
      <c r="O47" s="21">
        <f t="shared" si="47"/>
        <v>30</v>
      </c>
      <c r="P47" s="21">
        <f t="shared" si="47"/>
        <v>261.23785775176043</v>
      </c>
      <c r="Q47" s="21">
        <f t="shared" si="47"/>
        <v>0</v>
      </c>
      <c r="R47" s="21">
        <f t="shared" si="47"/>
        <v>21</v>
      </c>
      <c r="S47" s="21">
        <f t="shared" si="47"/>
        <v>0</v>
      </c>
      <c r="T47" s="21">
        <f t="shared" si="47"/>
        <v>0</v>
      </c>
      <c r="U47" s="21">
        <f t="shared" si="47"/>
        <v>0</v>
      </c>
      <c r="V47" s="21">
        <f t="shared" si="47"/>
        <v>0</v>
      </c>
      <c r="W47" s="21">
        <f t="shared" si="47"/>
        <v>0</v>
      </c>
    </row>
    <row r="48" spans="2:26">
      <c r="C48" s="21">
        <f t="shared" ref="C48:W48" si="48">C21</f>
        <v>0</v>
      </c>
      <c r="D48" s="21">
        <f t="shared" si="48"/>
        <v>0</v>
      </c>
      <c r="E48" s="21">
        <f t="shared" si="48"/>
        <v>17583</v>
      </c>
      <c r="F48" s="21">
        <f t="shared" si="48"/>
        <v>0</v>
      </c>
      <c r="G48" s="21">
        <f t="shared" si="48"/>
        <v>0</v>
      </c>
      <c r="H48" s="21">
        <f t="shared" si="48"/>
        <v>0</v>
      </c>
      <c r="I48" s="21">
        <f t="shared" si="48"/>
        <v>0</v>
      </c>
      <c r="J48" s="21">
        <f t="shared" si="48"/>
        <v>0</v>
      </c>
      <c r="K48" s="21">
        <f t="shared" si="48"/>
        <v>0</v>
      </c>
      <c r="L48" s="21">
        <f t="shared" si="48"/>
        <v>17583</v>
      </c>
      <c r="M48" s="21">
        <f t="shared" si="48"/>
        <v>0</v>
      </c>
      <c r="N48" s="21">
        <f t="shared" si="48"/>
        <v>0</v>
      </c>
      <c r="O48" s="21">
        <f t="shared" si="48"/>
        <v>0</v>
      </c>
      <c r="P48" s="21">
        <f t="shared" si="48"/>
        <v>0</v>
      </c>
      <c r="Q48" s="21">
        <f t="shared" si="48"/>
        <v>0</v>
      </c>
      <c r="R48" s="21">
        <f t="shared" si="48"/>
        <v>0</v>
      </c>
      <c r="S48" s="21">
        <f t="shared" si="48"/>
        <v>0</v>
      </c>
      <c r="T48" s="21">
        <f t="shared" si="48"/>
        <v>0</v>
      </c>
      <c r="U48" s="21">
        <f t="shared" si="48"/>
        <v>0</v>
      </c>
      <c r="V48" s="21">
        <f t="shared" si="48"/>
        <v>0</v>
      </c>
      <c r="W48" s="21">
        <f t="shared" si="48"/>
        <v>0</v>
      </c>
    </row>
    <row r="49" spans="3:23">
      <c r="C49" s="21">
        <f t="shared" ref="C49:W49" si="49">C22</f>
        <v>624</v>
      </c>
      <c r="D49" s="21">
        <f t="shared" si="49"/>
        <v>652.22394366413346</v>
      </c>
      <c r="E49" s="21">
        <f t="shared" si="49"/>
        <v>638.01160626998319</v>
      </c>
      <c r="F49" s="21">
        <f t="shared" si="49"/>
        <v>169.77778034753771</v>
      </c>
      <c r="G49" s="21">
        <f t="shared" si="49"/>
        <v>180</v>
      </c>
      <c r="H49" s="21">
        <f t="shared" si="49"/>
        <v>50</v>
      </c>
      <c r="I49" s="21">
        <f t="shared" si="49"/>
        <v>156.67301137839505</v>
      </c>
      <c r="J49" s="21">
        <f t="shared" si="49"/>
        <v>1610</v>
      </c>
      <c r="K49" s="21">
        <f t="shared" si="49"/>
        <v>385.90967720263905</v>
      </c>
      <c r="L49" s="21">
        <f t="shared" si="49"/>
        <v>4466.5960188626887</v>
      </c>
      <c r="M49" s="21">
        <f t="shared" si="49"/>
        <v>208.13455486845405</v>
      </c>
      <c r="N49" s="21">
        <f t="shared" si="49"/>
        <v>386</v>
      </c>
      <c r="O49" s="21">
        <f t="shared" si="49"/>
        <v>107</v>
      </c>
      <c r="P49" s="21">
        <f t="shared" si="49"/>
        <v>701.13455486845407</v>
      </c>
      <c r="Q49" s="21">
        <f t="shared" si="49"/>
        <v>29</v>
      </c>
      <c r="R49" s="21">
        <f t="shared" si="49"/>
        <v>0</v>
      </c>
      <c r="S49" s="21">
        <f t="shared" si="49"/>
        <v>0</v>
      </c>
      <c r="T49" s="21">
        <f t="shared" si="49"/>
        <v>0</v>
      </c>
      <c r="U49" s="21">
        <f t="shared" si="49"/>
        <v>0</v>
      </c>
      <c r="V49" s="21">
        <f t="shared" si="49"/>
        <v>0</v>
      </c>
      <c r="W49" s="21">
        <f t="shared" si="49"/>
        <v>0</v>
      </c>
    </row>
    <row r="50" spans="3:23">
      <c r="C50" s="21">
        <f t="shared" ref="C50:W50" si="50">C23</f>
        <v>2</v>
      </c>
      <c r="D50" s="21">
        <f t="shared" si="50"/>
        <v>79</v>
      </c>
      <c r="E50" s="21">
        <f t="shared" si="50"/>
        <v>155</v>
      </c>
      <c r="F50" s="21">
        <f t="shared" si="50"/>
        <v>13</v>
      </c>
      <c r="G50" s="21">
        <f t="shared" si="50"/>
        <v>54</v>
      </c>
      <c r="H50" s="21">
        <f t="shared" si="50"/>
        <v>20</v>
      </c>
      <c r="I50" s="21">
        <f t="shared" si="50"/>
        <v>91</v>
      </c>
      <c r="J50" s="21">
        <f t="shared" si="50"/>
        <v>83.5</v>
      </c>
      <c r="K50" s="21">
        <f t="shared" si="50"/>
        <v>83.5</v>
      </c>
      <c r="L50" s="21">
        <f t="shared" si="50"/>
        <v>581</v>
      </c>
      <c r="M50" s="21">
        <f t="shared" si="50"/>
        <v>44</v>
      </c>
      <c r="N50" s="21">
        <f t="shared" si="50"/>
        <v>84</v>
      </c>
      <c r="O50" s="21">
        <f t="shared" si="50"/>
        <v>46.421633001005944</v>
      </c>
      <c r="P50" s="21">
        <f t="shared" si="50"/>
        <v>174.42163300100594</v>
      </c>
      <c r="Q50" s="21">
        <f t="shared" si="50"/>
        <v>0</v>
      </c>
      <c r="R50" s="21">
        <f t="shared" si="50"/>
        <v>10</v>
      </c>
      <c r="S50" s="21">
        <f t="shared" si="50"/>
        <v>0</v>
      </c>
      <c r="T50" s="21">
        <f t="shared" si="50"/>
        <v>0</v>
      </c>
      <c r="U50" s="21">
        <f t="shared" si="50"/>
        <v>0</v>
      </c>
      <c r="V50" s="21">
        <f t="shared" si="50"/>
        <v>0</v>
      </c>
      <c r="W50" s="21">
        <f t="shared" si="50"/>
        <v>0</v>
      </c>
    </row>
    <row r="51" spans="3:23">
      <c r="C51" s="21">
        <f t="shared" ref="C51:W51" si="51">C24</f>
        <v>626</v>
      </c>
      <c r="D51" s="21">
        <f t="shared" si="51"/>
        <v>731.22394366413346</v>
      </c>
      <c r="E51" s="21">
        <f t="shared" si="51"/>
        <v>18376.011606269982</v>
      </c>
      <c r="F51" s="21">
        <f t="shared" si="51"/>
        <v>182.77778034753771</v>
      </c>
      <c r="G51" s="21">
        <f t="shared" si="51"/>
        <v>234</v>
      </c>
      <c r="H51" s="21">
        <f t="shared" si="51"/>
        <v>70</v>
      </c>
      <c r="I51" s="21">
        <f t="shared" si="51"/>
        <v>247.67301137839505</v>
      </c>
      <c r="J51" s="21">
        <f t="shared" si="51"/>
        <v>1693.5</v>
      </c>
      <c r="K51" s="21">
        <f t="shared" si="51"/>
        <v>469.40967720263905</v>
      </c>
      <c r="L51" s="21">
        <f t="shared" si="51"/>
        <v>22630.596018862685</v>
      </c>
      <c r="M51" s="21">
        <f t="shared" si="51"/>
        <v>252.13455486845405</v>
      </c>
      <c r="N51" s="21">
        <f t="shared" si="51"/>
        <v>470</v>
      </c>
      <c r="O51" s="21">
        <f t="shared" si="51"/>
        <v>153.42163300100594</v>
      </c>
      <c r="P51" s="21">
        <f t="shared" si="51"/>
        <v>875.55618786946002</v>
      </c>
      <c r="Q51" s="21">
        <f t="shared" si="51"/>
        <v>29</v>
      </c>
      <c r="R51" s="21">
        <f t="shared" si="51"/>
        <v>10</v>
      </c>
      <c r="S51" s="21">
        <f t="shared" si="51"/>
        <v>0</v>
      </c>
      <c r="T51" s="21">
        <f t="shared" si="51"/>
        <v>0</v>
      </c>
      <c r="U51" s="21">
        <f t="shared" si="51"/>
        <v>0</v>
      </c>
      <c r="V51" s="21">
        <f t="shared" si="51"/>
        <v>0</v>
      </c>
      <c r="W51" s="21">
        <f t="shared" si="51"/>
        <v>0</v>
      </c>
    </row>
    <row r="52" spans="3:23">
      <c r="C52" s="21">
        <f>C25</f>
        <v>3704.9243458809524</v>
      </c>
      <c r="D52" s="21">
        <f t="shared" ref="D52:W52" si="52">D25</f>
        <v>4785.196782378549</v>
      </c>
      <c r="E52" s="21">
        <f t="shared" si="52"/>
        <v>19904.855646765132</v>
      </c>
      <c r="F52" s="21">
        <f t="shared" si="52"/>
        <v>1005.8565235171945</v>
      </c>
      <c r="G52" s="21">
        <f t="shared" si="52"/>
        <v>1529.7970626947847</v>
      </c>
      <c r="H52" s="21">
        <f t="shared" si="52"/>
        <v>1185.7038594566895</v>
      </c>
      <c r="I52" s="21">
        <f t="shared" si="52"/>
        <v>6057.1733016385833</v>
      </c>
      <c r="J52" s="21">
        <f t="shared" si="52"/>
        <v>10552.473878507266</v>
      </c>
      <c r="K52" s="21">
        <f t="shared" si="52"/>
        <v>1180.9921772026391</v>
      </c>
      <c r="L52" s="21">
        <f t="shared" si="52"/>
        <v>49906.973578041783</v>
      </c>
      <c r="M52" s="21">
        <f t="shared" si="52"/>
        <v>786.27356795177832</v>
      </c>
      <c r="N52" s="21">
        <f t="shared" si="52"/>
        <v>2191.5886390205897</v>
      </c>
      <c r="O52" s="21">
        <f t="shared" si="52"/>
        <v>1660.6634825875121</v>
      </c>
      <c r="P52" s="21">
        <f t="shared" si="52"/>
        <v>4638.5256895598804</v>
      </c>
      <c r="Q52" s="21">
        <f t="shared" si="52"/>
        <v>1043.3982503922261</v>
      </c>
      <c r="R52" s="21">
        <f t="shared" si="52"/>
        <v>1289.5641312306175</v>
      </c>
      <c r="S52" s="21">
        <f t="shared" si="52"/>
        <v>615.96392666048746</v>
      </c>
      <c r="T52" s="21">
        <f t="shared" si="52"/>
        <v>1024.3868546083422</v>
      </c>
      <c r="U52" s="21">
        <f t="shared" si="52"/>
        <v>83.238368467633435</v>
      </c>
      <c r="V52" s="21">
        <f t="shared" si="52"/>
        <v>87.677748119240547</v>
      </c>
      <c r="W52" s="21">
        <f t="shared" si="52"/>
        <v>9.9886042161160127</v>
      </c>
    </row>
    <row r="53" spans="3:23">
      <c r="C53" s="21">
        <f t="shared" ref="C53:W53" si="53">C26</f>
        <v>1263.692380138509</v>
      </c>
      <c r="D53" s="21">
        <f t="shared" si="53"/>
        <v>369.69316753900654</v>
      </c>
      <c r="E53" s="21">
        <f t="shared" si="53"/>
        <v>469.1965045577868</v>
      </c>
      <c r="F53" s="21">
        <f t="shared" si="53"/>
        <v>150.89517042408434</v>
      </c>
      <c r="G53" s="21">
        <f t="shared" si="53"/>
        <v>1528.6336829918107</v>
      </c>
      <c r="H53" s="21">
        <f t="shared" si="53"/>
        <v>775.25127413533164</v>
      </c>
      <c r="I53" s="21">
        <f t="shared" si="53"/>
        <v>2.1868865278852794</v>
      </c>
      <c r="J53" s="21">
        <f t="shared" si="53"/>
        <v>698.71024565934704</v>
      </c>
      <c r="K53" s="21">
        <f t="shared" si="53"/>
        <v>3244.2461641178124</v>
      </c>
      <c r="L53" s="21">
        <f t="shared" si="53"/>
        <v>8502.5054760915737</v>
      </c>
      <c r="M53" s="21">
        <f t="shared" si="53"/>
        <v>47.018060349533521</v>
      </c>
      <c r="N53" s="21">
        <f t="shared" si="53"/>
        <v>580.61837315354194</v>
      </c>
      <c r="O53" s="21">
        <f t="shared" si="53"/>
        <v>1366.8040799282996</v>
      </c>
      <c r="P53" s="21">
        <f t="shared" si="53"/>
        <v>1994.4405134313752</v>
      </c>
      <c r="Q53" s="21">
        <f t="shared" si="53"/>
        <v>1139.766476109668</v>
      </c>
      <c r="R53" s="21">
        <f t="shared" si="53"/>
        <v>756.25337072683089</v>
      </c>
      <c r="S53" s="21">
        <f t="shared" si="53"/>
        <v>589.27435012475269</v>
      </c>
      <c r="T53" s="21">
        <f t="shared" si="53"/>
        <v>0</v>
      </c>
      <c r="U53" s="21">
        <f t="shared" si="53"/>
        <v>0</v>
      </c>
      <c r="V53" s="21">
        <f t="shared" si="53"/>
        <v>282.24840901770608</v>
      </c>
      <c r="W53" s="21">
        <f t="shared" si="53"/>
        <v>0</v>
      </c>
    </row>
    <row r="54" spans="3:23">
      <c r="C54" s="21">
        <f t="shared" ref="C54:W54" si="54">C27</f>
        <v>0</v>
      </c>
      <c r="D54" s="21">
        <f t="shared" si="54"/>
        <v>0</v>
      </c>
      <c r="E54" s="21">
        <f t="shared" si="54"/>
        <v>0</v>
      </c>
      <c r="F54" s="21">
        <f t="shared" si="54"/>
        <v>0</v>
      </c>
      <c r="G54" s="21">
        <f t="shared" si="54"/>
        <v>0</v>
      </c>
      <c r="H54" s="21">
        <f t="shared" si="54"/>
        <v>0</v>
      </c>
      <c r="I54" s="21">
        <f t="shared" si="54"/>
        <v>0</v>
      </c>
      <c r="J54" s="21">
        <f t="shared" si="54"/>
        <v>0</v>
      </c>
      <c r="K54" s="21">
        <f t="shared" si="54"/>
        <v>0</v>
      </c>
      <c r="L54" s="21">
        <f t="shared" si="54"/>
        <v>0</v>
      </c>
      <c r="M54" s="21">
        <f t="shared" si="54"/>
        <v>0</v>
      </c>
      <c r="N54" s="21">
        <f t="shared" si="54"/>
        <v>0</v>
      </c>
      <c r="O54" s="21">
        <f t="shared" si="54"/>
        <v>0</v>
      </c>
      <c r="P54" s="21">
        <f t="shared" si="54"/>
        <v>0</v>
      </c>
      <c r="Q54" s="21">
        <f t="shared" si="54"/>
        <v>0</v>
      </c>
      <c r="R54" s="21">
        <f t="shared" si="54"/>
        <v>0</v>
      </c>
      <c r="S54" s="21">
        <f t="shared" si="54"/>
        <v>0</v>
      </c>
      <c r="T54" s="21">
        <f t="shared" si="54"/>
        <v>0</v>
      </c>
      <c r="U54" s="21">
        <f t="shared" si="54"/>
        <v>0</v>
      </c>
      <c r="V54" s="21">
        <f t="shared" si="54"/>
        <v>0</v>
      </c>
      <c r="W54" s="21">
        <f t="shared" si="54"/>
        <v>0</v>
      </c>
    </row>
    <row r="55" spans="3:23">
      <c r="C55" s="21">
        <f t="shared" ref="C55:W55" si="55">C28</f>
        <v>0</v>
      </c>
      <c r="D55" s="21">
        <f t="shared" si="55"/>
        <v>0</v>
      </c>
      <c r="E55" s="21">
        <f t="shared" si="55"/>
        <v>0</v>
      </c>
      <c r="F55" s="21">
        <f t="shared" si="55"/>
        <v>0</v>
      </c>
      <c r="G55" s="21">
        <f t="shared" si="55"/>
        <v>0</v>
      </c>
      <c r="H55" s="21">
        <f t="shared" si="55"/>
        <v>0</v>
      </c>
      <c r="I55" s="21">
        <f t="shared" si="55"/>
        <v>0</v>
      </c>
      <c r="J55" s="21">
        <f t="shared" si="55"/>
        <v>0</v>
      </c>
      <c r="K55" s="21">
        <f t="shared" si="55"/>
        <v>0</v>
      </c>
      <c r="L55" s="21">
        <f t="shared" si="55"/>
        <v>0</v>
      </c>
      <c r="M55" s="21">
        <f t="shared" si="55"/>
        <v>0</v>
      </c>
      <c r="N55" s="21">
        <f t="shared" si="55"/>
        <v>0</v>
      </c>
      <c r="O55" s="21">
        <f t="shared" si="55"/>
        <v>0</v>
      </c>
      <c r="P55" s="21">
        <f t="shared" si="55"/>
        <v>0</v>
      </c>
      <c r="Q55" s="21">
        <f t="shared" si="55"/>
        <v>0</v>
      </c>
      <c r="R55" s="21">
        <f t="shared" si="55"/>
        <v>0</v>
      </c>
      <c r="S55" s="21">
        <f t="shared" si="55"/>
        <v>0</v>
      </c>
      <c r="T55" s="21">
        <f t="shared" si="55"/>
        <v>0</v>
      </c>
      <c r="U55" s="21">
        <f t="shared" si="55"/>
        <v>0</v>
      </c>
      <c r="V55" s="21">
        <f t="shared" si="55"/>
        <v>0</v>
      </c>
      <c r="W55" s="21">
        <f t="shared" si="55"/>
        <v>0</v>
      </c>
    </row>
    <row r="56" spans="3:23">
      <c r="C56" s="21">
        <f t="shared" ref="C56:W56" si="56">C29</f>
        <v>0</v>
      </c>
      <c r="D56" s="21">
        <f t="shared" si="56"/>
        <v>0</v>
      </c>
      <c r="E56" s="21">
        <f t="shared" si="56"/>
        <v>0</v>
      </c>
      <c r="F56" s="21">
        <f t="shared" si="56"/>
        <v>0</v>
      </c>
      <c r="G56" s="21">
        <f t="shared" si="56"/>
        <v>0</v>
      </c>
      <c r="H56" s="21">
        <f t="shared" si="56"/>
        <v>0</v>
      </c>
      <c r="I56" s="21">
        <f t="shared" si="56"/>
        <v>0</v>
      </c>
      <c r="J56" s="21">
        <f t="shared" si="56"/>
        <v>0</v>
      </c>
      <c r="K56" s="21">
        <f t="shared" si="56"/>
        <v>0</v>
      </c>
      <c r="L56" s="21">
        <f t="shared" si="56"/>
        <v>0</v>
      </c>
      <c r="M56" s="21">
        <f t="shared" si="56"/>
        <v>0</v>
      </c>
      <c r="N56" s="21">
        <f t="shared" si="56"/>
        <v>0</v>
      </c>
      <c r="O56" s="21">
        <f t="shared" si="56"/>
        <v>0</v>
      </c>
      <c r="P56" s="21">
        <f t="shared" si="56"/>
        <v>0</v>
      </c>
      <c r="Q56" s="21">
        <f t="shared" si="56"/>
        <v>0</v>
      </c>
      <c r="R56" s="21">
        <f t="shared" si="56"/>
        <v>0</v>
      </c>
      <c r="S56" s="21">
        <f t="shared" si="56"/>
        <v>0</v>
      </c>
      <c r="T56" s="21">
        <f t="shared" si="56"/>
        <v>0</v>
      </c>
      <c r="U56" s="21">
        <f t="shared" si="56"/>
        <v>0</v>
      </c>
      <c r="V56" s="21">
        <f t="shared" si="56"/>
        <v>0</v>
      </c>
      <c r="W56" s="21">
        <f t="shared" si="56"/>
        <v>0</v>
      </c>
    </row>
  </sheetData>
  <mergeCells count="11">
    <mergeCell ref="C29:K29"/>
    <mergeCell ref="C30:J30"/>
    <mergeCell ref="A20:B20"/>
    <mergeCell ref="A21:A24"/>
    <mergeCell ref="A25:B25"/>
    <mergeCell ref="A16:A18"/>
    <mergeCell ref="A3:B3"/>
    <mergeCell ref="A4:A11"/>
    <mergeCell ref="A13:B13"/>
    <mergeCell ref="A14:B14"/>
    <mergeCell ref="A15:B15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2:Z56"/>
  <sheetViews>
    <sheetView zoomScale="85" zoomScaleNormal="85" workbookViewId="0">
      <pane xSplit="2" ySplit="3" topLeftCell="C23" activePane="bottomRight" state="frozen"/>
      <selection activeCell="B46" sqref="B46"/>
      <selection pane="topRight" activeCell="B46" sqref="B46"/>
      <selection pane="bottomLeft" activeCell="B46" sqref="B46"/>
      <selection pane="bottomRight" activeCell="C31" sqref="C31:W53"/>
    </sheetView>
  </sheetViews>
  <sheetFormatPr defaultRowHeight="16.899999999999999"/>
  <cols>
    <col min="1" max="1" width="17.375" customWidth="1"/>
    <col min="2" max="2" width="19.25" bestFit="1" customWidth="1"/>
    <col min="25" max="25" width="12.125" customWidth="1"/>
  </cols>
  <sheetData>
    <row r="2" spans="1:25">
      <c r="Y2" t="s">
        <v>77</v>
      </c>
    </row>
    <row r="3" spans="1:25">
      <c r="A3" s="264" t="s">
        <v>265</v>
      </c>
      <c r="B3" s="264"/>
      <c r="C3" s="88" t="s">
        <v>0</v>
      </c>
      <c r="D3" s="88" t="s">
        <v>18</v>
      </c>
      <c r="E3" s="88" t="s">
        <v>19</v>
      </c>
      <c r="F3" s="88" t="s">
        <v>3</v>
      </c>
      <c r="G3" s="88" t="s">
        <v>5</v>
      </c>
      <c r="H3" s="88" t="s">
        <v>20</v>
      </c>
      <c r="I3" s="88" t="s">
        <v>7</v>
      </c>
      <c r="J3" s="88" t="s">
        <v>22</v>
      </c>
      <c r="K3" s="88" t="s">
        <v>23</v>
      </c>
      <c r="L3" s="88" t="s">
        <v>85</v>
      </c>
      <c r="M3" s="88" t="s">
        <v>21</v>
      </c>
      <c r="N3" s="88" t="s">
        <v>24</v>
      </c>
      <c r="O3" s="88" t="s">
        <v>25</v>
      </c>
      <c r="P3" s="88" t="s">
        <v>85</v>
      </c>
      <c r="Q3" s="88" t="s">
        <v>26</v>
      </c>
      <c r="R3" s="88" t="s">
        <v>27</v>
      </c>
      <c r="S3" s="88" t="s">
        <v>28</v>
      </c>
      <c r="T3" s="88" t="s">
        <v>29</v>
      </c>
      <c r="U3" s="88" t="s">
        <v>30</v>
      </c>
      <c r="V3" s="88" t="s">
        <v>31</v>
      </c>
      <c r="W3" s="88" t="s">
        <v>32</v>
      </c>
      <c r="X3" s="88" t="s">
        <v>17</v>
      </c>
      <c r="Y3" s="88" t="s">
        <v>41</v>
      </c>
    </row>
    <row r="4" spans="1:25">
      <c r="A4" s="265" t="s">
        <v>93</v>
      </c>
      <c r="B4" s="89" t="s">
        <v>33</v>
      </c>
      <c r="C4" s="90">
        <f>동탄!J6</f>
        <v>1055.4625121695919</v>
      </c>
      <c r="D4" s="90">
        <f>화성!J6</f>
        <v>407.31308303495291</v>
      </c>
      <c r="E4" s="90">
        <f>파주!J6</f>
        <v>878.99717101820909</v>
      </c>
      <c r="F4" s="90">
        <f>광교!J6</f>
        <v>48.833176167678282</v>
      </c>
      <c r="G4" s="90">
        <f>판교!J6</f>
        <v>339.61254334794438</v>
      </c>
      <c r="H4" s="90">
        <f>삼송!J6</f>
        <v>318.52549000281061</v>
      </c>
      <c r="I4" s="90">
        <f>양산!J6</f>
        <v>180.90472080299</v>
      </c>
      <c r="J4" s="90">
        <f>대구!J6</f>
        <v>3.3295347387053376</v>
      </c>
      <c r="K4" s="90">
        <f>청주!J6</f>
        <v>33.295347387053376</v>
      </c>
      <c r="L4" s="91">
        <f>SUM(C4:K4)</f>
        <v>3266.2735786699359</v>
      </c>
      <c r="M4" s="90">
        <f>수원!J6</f>
        <v>339.61254334794455</v>
      </c>
      <c r="N4" s="90">
        <f>광주전남!J6</f>
        <v>265.25293418352521</v>
      </c>
      <c r="O4" s="90">
        <f>강남!J6</f>
        <v>178.68503097718644</v>
      </c>
      <c r="P4" s="91">
        <f t="shared" ref="P4:P24" si="0">SUM(M4:O4)</f>
        <v>783.55050850865621</v>
      </c>
      <c r="Q4" s="90">
        <f>중앙!J6</f>
        <v>229.73789697066829</v>
      </c>
      <c r="R4" s="90">
        <f>고양!J6</f>
        <v>117.64356076758858</v>
      </c>
      <c r="S4" s="90">
        <f>용인!J6</f>
        <v>95.446662509553008</v>
      </c>
      <c r="T4" s="90">
        <f>분당!J6</f>
        <v>44.393796516071163</v>
      </c>
      <c r="U4" s="90">
        <f>세종!J6</f>
        <v>35.515037212856932</v>
      </c>
      <c r="V4" s="90">
        <f>김해!J6</f>
        <v>166.47673693526687</v>
      </c>
      <c r="W4" s="90">
        <f>평택!J6</f>
        <v>0</v>
      </c>
      <c r="X4" s="91">
        <f t="shared" ref="X4:X24" si="1">SUM(Q4:W4)</f>
        <v>689.21369091200484</v>
      </c>
      <c r="Y4" s="92">
        <f>L4+P4+X4</f>
        <v>4739.0377780905965</v>
      </c>
    </row>
    <row r="5" spans="1:25">
      <c r="A5" s="265"/>
      <c r="B5" s="89" t="s">
        <v>95</v>
      </c>
      <c r="C5" s="90">
        <f>동탄!J7</f>
        <v>3669.1384310401004</v>
      </c>
      <c r="D5" s="90">
        <f>화성!J7</f>
        <v>4262.3787812603659</v>
      </c>
      <c r="E5" s="90">
        <f>파주!J7</f>
        <v>2316.4394867501965</v>
      </c>
      <c r="F5" s="90">
        <f>광교!J7</f>
        <v>1912.784412038829</v>
      </c>
      <c r="G5" s="90">
        <f>판교!J7</f>
        <v>945.5835096510325</v>
      </c>
      <c r="H5" s="90">
        <f>삼송!J7</f>
        <v>700.67838886228014</v>
      </c>
      <c r="I5" s="90">
        <f>양산!J7</f>
        <v>900.08422436334286</v>
      </c>
      <c r="J5" s="90">
        <f>대구!J7</f>
        <v>2740.873890847588</v>
      </c>
      <c r="K5" s="90">
        <f>청주!J7</f>
        <v>1212.1060231765489</v>
      </c>
      <c r="L5" s="91">
        <f t="shared" ref="L5:L9" si="2">SUM(C5:K5)</f>
        <v>18660.067147990285</v>
      </c>
      <c r="M5" s="90">
        <f>수원!J7</f>
        <v>1895.3198402774458</v>
      </c>
      <c r="N5" s="90">
        <f>광주전남!J7</f>
        <v>1346.241879349858</v>
      </c>
      <c r="O5" s="90">
        <f>강남!J7</f>
        <v>2029.906345697354</v>
      </c>
      <c r="P5" s="91">
        <f t="shared" si="0"/>
        <v>5271.4680653246578</v>
      </c>
      <c r="Q5" s="90">
        <f>중앙!J7</f>
        <v>1491.6315629399912</v>
      </c>
      <c r="R5" s="90">
        <f>고양!J7</f>
        <v>704.7515196926297</v>
      </c>
      <c r="S5" s="90">
        <f>용인!J7</f>
        <v>523.84679888963979</v>
      </c>
      <c r="T5" s="90">
        <f>분당!J7</f>
        <v>678.11524178298703</v>
      </c>
      <c r="U5" s="90">
        <f>세종!J7</f>
        <v>126.52232007080282</v>
      </c>
      <c r="V5" s="90">
        <f>김해!J7</f>
        <v>341.83223317374797</v>
      </c>
      <c r="W5" s="90">
        <f>평택!J7</f>
        <v>183.12441062879356</v>
      </c>
      <c r="X5" s="91">
        <f t="shared" si="1"/>
        <v>4049.8240871785929</v>
      </c>
      <c r="Y5" s="91">
        <f t="shared" ref="Y5:Y24" si="3">L5+P5+X5</f>
        <v>27981.359300493536</v>
      </c>
    </row>
    <row r="6" spans="1:25">
      <c r="A6" s="265"/>
      <c r="B6" s="89" t="s">
        <v>96</v>
      </c>
      <c r="C6" s="90">
        <f>동탄!J8</f>
        <v>8982.651885510968</v>
      </c>
      <c r="D6" s="90">
        <f>화성!J8</f>
        <v>6939.1943334270836</v>
      </c>
      <c r="E6" s="90">
        <f>파주!J8</f>
        <v>6485.217821029175</v>
      </c>
      <c r="F6" s="90">
        <f>광교!J8</f>
        <v>2665.2814598844934</v>
      </c>
      <c r="G6" s="90">
        <f>판교!J8</f>
        <v>2766.6657926780708</v>
      </c>
      <c r="H6" s="90">
        <f>삼송!J8</f>
        <v>1996.1448634468818</v>
      </c>
      <c r="I6" s="90">
        <f>양산!J8</f>
        <v>2487.2956312024348</v>
      </c>
      <c r="J6" s="90">
        <f>대구!J8</f>
        <v>4115.0774188326513</v>
      </c>
      <c r="K6" s="90">
        <f>청주!J8</f>
        <v>3738.8288949098196</v>
      </c>
      <c r="L6" s="91">
        <f>SUM(C6:K6)</f>
        <v>40176.358100921585</v>
      </c>
      <c r="M6" s="90">
        <f>수원!J8</f>
        <v>2766.6657926780713</v>
      </c>
      <c r="N6" s="90">
        <f>광주전남!J8</f>
        <v>1969.1090413685945</v>
      </c>
      <c r="O6" s="90">
        <f>강남!J8</f>
        <v>1382.2064037524401</v>
      </c>
      <c r="P6" s="91">
        <f t="shared" si="0"/>
        <v>6117.9812377991057</v>
      </c>
      <c r="Q6" s="90">
        <f>중앙!J8</f>
        <v>1198.5881121374052</v>
      </c>
      <c r="R6" s="90">
        <f>고양!J8</f>
        <v>787.41831803011871</v>
      </c>
      <c r="S6" s="90">
        <f>용인!J8</f>
        <v>762.63548112502201</v>
      </c>
      <c r="T6" s="90">
        <f>분당!J8</f>
        <v>680.40152230356466</v>
      </c>
      <c r="U6" s="90">
        <f>세종!J8</f>
        <v>307.53247614051844</v>
      </c>
      <c r="V6" s="90">
        <f>김해!J8</f>
        <v>45.059703463812227</v>
      </c>
      <c r="W6" s="90">
        <f>평택!J8</f>
        <v>45.059703463812227</v>
      </c>
      <c r="X6" s="91">
        <f t="shared" si="1"/>
        <v>3826.6953166642538</v>
      </c>
      <c r="Y6" s="91">
        <f t="shared" si="3"/>
        <v>50121.034655384945</v>
      </c>
    </row>
    <row r="7" spans="1:25">
      <c r="A7" s="265"/>
      <c r="B7" s="89" t="s">
        <v>97</v>
      </c>
      <c r="C7" s="90">
        <f>동탄!J9</f>
        <v>3380.7213197438818</v>
      </c>
      <c r="D7" s="90">
        <f>화성!J9</f>
        <v>412.86230759946181</v>
      </c>
      <c r="E7" s="90">
        <f>파주!J9</f>
        <v>718.06965864745109</v>
      </c>
      <c r="F7" s="90">
        <f>광교!J9</f>
        <v>208.65084362553446</v>
      </c>
      <c r="G7" s="90">
        <f>판교!J9</f>
        <v>208.65084362553446</v>
      </c>
      <c r="H7" s="90">
        <f>삼송!J9</f>
        <v>176.46534115138289</v>
      </c>
      <c r="I7" s="90">
        <f>양산!J9</f>
        <v>258.59386470611452</v>
      </c>
      <c r="J7" s="90">
        <f>대구!J9</f>
        <v>295.21874683187326</v>
      </c>
      <c r="K7" s="90">
        <f>청주!J9</f>
        <v>225.29851731906115</v>
      </c>
      <c r="L7" s="91">
        <f t="shared" si="2"/>
        <v>5884.5314432502955</v>
      </c>
      <c r="M7" s="90">
        <f>수원!J9</f>
        <v>208.65084362553449</v>
      </c>
      <c r="N7" s="90">
        <f>광주전남!J9</f>
        <v>230.84774188357005</v>
      </c>
      <c r="O7" s="90">
        <f>강남!J9</f>
        <v>651.47896387334436</v>
      </c>
      <c r="P7" s="91">
        <f t="shared" si="0"/>
        <v>1090.9775493824488</v>
      </c>
      <c r="Q7" s="90">
        <f>중앙!J9</f>
        <v>762.46345516352221</v>
      </c>
      <c r="R7" s="90">
        <f>고양!J9</f>
        <v>597.09656314115716</v>
      </c>
      <c r="S7" s="90">
        <f>용인!J9</f>
        <v>132.07154463531171</v>
      </c>
      <c r="T7" s="90">
        <f>분당!J9</f>
        <v>93.226972683749452</v>
      </c>
      <c r="U7" s="90">
        <f>세종!J9</f>
        <v>67.700539687008529</v>
      </c>
      <c r="V7" s="90">
        <f>김해!J9</f>
        <v>58.821780383794291</v>
      </c>
      <c r="W7" s="90">
        <f>평택!J9</f>
        <v>103.21557689986545</v>
      </c>
      <c r="X7" s="91">
        <f t="shared" si="1"/>
        <v>1814.596432594409</v>
      </c>
      <c r="Y7" s="91">
        <f t="shared" si="3"/>
        <v>8790.1054252271533</v>
      </c>
    </row>
    <row r="8" spans="1:25">
      <c r="A8" s="265"/>
      <c r="B8" s="89" t="s">
        <v>281</v>
      </c>
      <c r="C8" s="90">
        <f>동탄!J10</f>
        <v>2569.2561183815924</v>
      </c>
      <c r="D8" s="90">
        <f>화성!J10</f>
        <v>1358.4501733917775</v>
      </c>
      <c r="E8" s="90">
        <f>파주!J10</f>
        <v>797.29154679227702</v>
      </c>
      <c r="F8" s="90">
        <f>광교!J10</f>
        <v>1378.4273818240097</v>
      </c>
      <c r="G8" s="90">
        <f>판교!J10</f>
        <v>520.51726415093435</v>
      </c>
      <c r="H8" s="90">
        <f>삼송!J10</f>
        <v>435.05920585749743</v>
      </c>
      <c r="I8" s="90">
        <f>양산!J10</f>
        <v>993.31119704709226</v>
      </c>
      <c r="J8" s="90">
        <f>대구!J10</f>
        <v>856.80027276017347</v>
      </c>
      <c r="K8" s="90">
        <f>청주!J10</f>
        <v>412.86230759946181</v>
      </c>
      <c r="L8" s="91">
        <f t="shared" si="2"/>
        <v>9321.9754678048175</v>
      </c>
      <c r="M8" s="90">
        <f>수원!J10</f>
        <v>520.51726415093447</v>
      </c>
      <c r="N8" s="90">
        <f>광주전남!J10</f>
        <v>790.20957798606673</v>
      </c>
      <c r="O8" s="90">
        <f>강남!J10</f>
        <v>706.97120951843328</v>
      </c>
      <c r="P8" s="91">
        <f t="shared" si="0"/>
        <v>2017.6980516554345</v>
      </c>
      <c r="Q8" s="90">
        <f>중앙!J10</f>
        <v>1167.5568483726715</v>
      </c>
      <c r="R8" s="90">
        <f>고양!J10</f>
        <v>1385.0864513014203</v>
      </c>
      <c r="S8" s="90">
        <f>용인!J10</f>
        <v>247.49541557709674</v>
      </c>
      <c r="T8" s="90">
        <f>분당!J10</f>
        <v>492.77114132838994</v>
      </c>
      <c r="U8" s="90">
        <f>세종!J10</f>
        <v>371.79804582209601</v>
      </c>
      <c r="V8" s="90">
        <f>김해!J10</f>
        <v>292.99905700606968</v>
      </c>
      <c r="W8" s="90">
        <f>평택!J10</f>
        <v>31.075657561249816</v>
      </c>
      <c r="X8" s="91">
        <f t="shared" si="1"/>
        <v>3988.7826169689938</v>
      </c>
      <c r="Y8" s="91">
        <f t="shared" si="3"/>
        <v>15328.456136429246</v>
      </c>
    </row>
    <row r="9" spans="1:25">
      <c r="A9" s="265"/>
      <c r="B9" s="220" t="s">
        <v>279</v>
      </c>
      <c r="C9" s="90">
        <f>동탄!J11</f>
        <v>836.98399184031223</v>
      </c>
      <c r="D9" s="90">
        <f>화성!J11</f>
        <v>646.60674470570541</v>
      </c>
      <c r="E9" s="90">
        <f>파주!J11</f>
        <v>603.80002641508383</v>
      </c>
      <c r="F9" s="90">
        <f>광교!J11</f>
        <v>247.82836905096727</v>
      </c>
      <c r="G9" s="90">
        <f>판교!J11</f>
        <v>257.96680233032498</v>
      </c>
      <c r="H9" s="90">
        <f>삼송!J11</f>
        <v>56.32462932976528</v>
      </c>
      <c r="I9" s="90">
        <f>양산!J11</f>
        <v>230.93098025203767</v>
      </c>
      <c r="J9" s="90">
        <f>대구!J11</f>
        <v>383.00747944240391</v>
      </c>
      <c r="K9" s="90">
        <f>청주!J11</f>
        <v>348.08620925794946</v>
      </c>
      <c r="L9" s="91">
        <f t="shared" si="2"/>
        <v>3611.5352326245502</v>
      </c>
      <c r="M9" s="90">
        <f>수원!J11</f>
        <v>70.969032955504261</v>
      </c>
      <c r="N9" s="90">
        <f>광주전남!J11</f>
        <v>176.85933609546299</v>
      </c>
      <c r="O9" s="90">
        <f>강남!J11</f>
        <v>123.91418452548363</v>
      </c>
      <c r="P9" s="91">
        <f t="shared" si="0"/>
        <v>371.74255357645086</v>
      </c>
      <c r="Q9" s="90">
        <f>중앙!J11</f>
        <v>108.14328831314936</v>
      </c>
      <c r="R9" s="90">
        <f>고양!J11</f>
        <v>70.969032955504261</v>
      </c>
      <c r="S9" s="90">
        <f>용인!J11</f>
        <v>68.716047782313652</v>
      </c>
      <c r="T9" s="90">
        <f>분당!J11</f>
        <v>60.830599676146505</v>
      </c>
      <c r="U9" s="90">
        <f>세종!J11</f>
        <v>28.16231466488264</v>
      </c>
      <c r="V9" s="90">
        <f>김해!J11</f>
        <v>4.5059703463812228</v>
      </c>
      <c r="W9" s="90">
        <f>평택!J11</f>
        <v>4.5059703463812228</v>
      </c>
      <c r="X9" s="91">
        <f t="shared" si="1"/>
        <v>345.8332240847588</v>
      </c>
      <c r="Y9" s="91">
        <f t="shared" si="3"/>
        <v>4329.1110102857601</v>
      </c>
    </row>
    <row r="10" spans="1:25">
      <c r="A10" s="265"/>
      <c r="B10" s="220" t="s">
        <v>280</v>
      </c>
      <c r="C10" s="90">
        <f>동탄!J12</f>
        <v>93.498884687410367</v>
      </c>
      <c r="D10" s="90">
        <f>화성!J12</f>
        <v>72.095525542099566</v>
      </c>
      <c r="E10" s="90">
        <f>파주!J12</f>
        <v>67.589555195718333</v>
      </c>
      <c r="F10" s="90">
        <f>광교!J12</f>
        <v>27.035822078287339</v>
      </c>
      <c r="G10" s="90">
        <f>판교!J12</f>
        <v>28.16231466488264</v>
      </c>
      <c r="H10" s="90">
        <f>삼송!J12</f>
        <v>6.7589555195718347</v>
      </c>
      <c r="I10" s="90">
        <f>양산!J12</f>
        <v>25.909329491692031</v>
      </c>
      <c r="J10" s="90">
        <f>대구!J12</f>
        <v>42.80671829062161</v>
      </c>
      <c r="K10" s="90">
        <f>청주!J12</f>
        <v>38.300747944240392</v>
      </c>
      <c r="L10" s="91">
        <f t="shared" ref="L10" si="4">SUM(C10:K10)</f>
        <v>402.15785341452408</v>
      </c>
      <c r="M10" s="90">
        <f>수원!J12</f>
        <v>7.8854481061671402</v>
      </c>
      <c r="N10" s="90">
        <f>광주전남!J12</f>
        <v>19.150373972120196</v>
      </c>
      <c r="O10" s="90">
        <f>강남!J12</f>
        <v>13.517911039143669</v>
      </c>
      <c r="P10" s="91">
        <f t="shared" ref="P10" si="5">SUM(M10:O10)</f>
        <v>40.553733117431008</v>
      </c>
      <c r="Q10" s="90">
        <f>중앙!J12</f>
        <v>12.391418452548363</v>
      </c>
      <c r="R10" s="90">
        <f>고양!J12</f>
        <v>7.8854481061671402</v>
      </c>
      <c r="S10" s="90">
        <f>용인!J12</f>
        <v>7.8854481061671402</v>
      </c>
      <c r="T10" s="90">
        <f>분당!J12</f>
        <v>6.7589555195718347</v>
      </c>
      <c r="U10" s="90">
        <f>세종!J12</f>
        <v>3.3794777597859174</v>
      </c>
      <c r="V10" s="90">
        <f>김해!J12</f>
        <v>1.1264925865953057</v>
      </c>
      <c r="W10" s="90">
        <f>평택!J12</f>
        <v>1.1264925865953057</v>
      </c>
      <c r="X10" s="91">
        <f t="shared" ref="X10" si="6">SUM(Q10:W10)</f>
        <v>40.553733117431008</v>
      </c>
      <c r="Y10" s="91">
        <f t="shared" ref="Y10" si="7">L10+P10+X10</f>
        <v>483.26531964938613</v>
      </c>
    </row>
    <row r="11" spans="1:25">
      <c r="A11" s="265"/>
      <c r="B11" s="93" t="s">
        <v>35</v>
      </c>
      <c r="C11" s="94">
        <f>SUM(C4:C10)</f>
        <v>20587.713143373858</v>
      </c>
      <c r="D11" s="94">
        <f t="shared" ref="D11:M11" si="8">SUM(D4:D10)</f>
        <v>14098.900948961445</v>
      </c>
      <c r="E11" s="94">
        <f t="shared" si="8"/>
        <v>11867.405265848111</v>
      </c>
      <c r="F11" s="94">
        <f t="shared" si="8"/>
        <v>6488.8414646697993</v>
      </c>
      <c r="G11" s="94">
        <f t="shared" si="8"/>
        <v>5067.1590704487244</v>
      </c>
      <c r="H11" s="94">
        <f t="shared" si="8"/>
        <v>3689.9568741701896</v>
      </c>
      <c r="I11" s="94">
        <f t="shared" si="8"/>
        <v>5077.0299478657034</v>
      </c>
      <c r="J11" s="94">
        <f t="shared" si="8"/>
        <v>8437.1140617440178</v>
      </c>
      <c r="K11" s="94">
        <f t="shared" si="8"/>
        <v>6008.7780475941345</v>
      </c>
      <c r="L11" s="94">
        <f>SUM(C11:K11)</f>
        <v>81322.898824675984</v>
      </c>
      <c r="M11" s="94">
        <f t="shared" si="8"/>
        <v>5809.6207651416016</v>
      </c>
      <c r="N11" s="94">
        <f t="shared" ref="N11" si="9">SUM(N4:N10)</f>
        <v>4797.6708848391972</v>
      </c>
      <c r="O11" s="94">
        <f t="shared" ref="O11" si="10">SUM(O4:O10)</f>
        <v>5086.6800493833853</v>
      </c>
      <c r="P11" s="94">
        <f t="shared" si="0"/>
        <v>15693.971699364183</v>
      </c>
      <c r="Q11" s="94">
        <f t="shared" ref="Q11" si="11">SUM(Q4:Q10)</f>
        <v>4970.5125823499557</v>
      </c>
      <c r="R11" s="94">
        <f t="shared" ref="R11" si="12">SUM(R4:R10)</f>
        <v>3670.8508939945859</v>
      </c>
      <c r="S11" s="94">
        <f t="shared" ref="S11" si="13">SUM(S4:S10)</f>
        <v>1838.097398625104</v>
      </c>
      <c r="T11" s="94">
        <f t="shared" ref="T11" si="14">SUM(T4:T10)</f>
        <v>2056.4982298104806</v>
      </c>
      <c r="U11" s="94">
        <f t="shared" ref="U11" si="15">SUM(U4:U10)</f>
        <v>940.61021135795124</v>
      </c>
      <c r="V11" s="94">
        <f t="shared" ref="V11" si="16">SUM(V4:V10)</f>
        <v>910.8219738956675</v>
      </c>
      <c r="W11" s="94">
        <f t="shared" ref="W11" si="17">SUM(W4:W10)</f>
        <v>368.10781148669764</v>
      </c>
      <c r="X11" s="94">
        <f t="shared" si="1"/>
        <v>14755.499101520441</v>
      </c>
      <c r="Y11" s="94">
        <f t="shared" si="3"/>
        <v>111772.3696255606</v>
      </c>
    </row>
    <row r="12" spans="1:25">
      <c r="A12" s="89" t="s">
        <v>98</v>
      </c>
      <c r="B12" s="89" t="s">
        <v>99</v>
      </c>
      <c r="C12" s="95">
        <f>동탄!J13</f>
        <v>487.42714651056241</v>
      </c>
      <c r="D12" s="95">
        <f>화성!J13</f>
        <v>409.53277286075649</v>
      </c>
      <c r="E12" s="95">
        <f>파주!J13</f>
        <v>622.6229961378981</v>
      </c>
      <c r="F12" s="95">
        <f>광교!J13</f>
        <v>259.70370961901631</v>
      </c>
      <c r="G12" s="95">
        <f>판교!J13</f>
        <v>237.50681136098072</v>
      </c>
      <c r="H12" s="95">
        <f>삼송!J13</f>
        <v>254.1544850545074</v>
      </c>
      <c r="I12" s="95">
        <f>양산!J13</f>
        <v>740.26655690548671</v>
      </c>
      <c r="J12" s="95">
        <f>대구!J13</f>
        <v>468.3545532445508</v>
      </c>
      <c r="K12" s="95">
        <f>청주!J13</f>
        <v>487.22191676388104</v>
      </c>
      <c r="L12" s="92">
        <f>SUM(C12:K12)</f>
        <v>3966.7909484576398</v>
      </c>
      <c r="M12" s="95">
        <f>수원!J13</f>
        <v>237.50681136098075</v>
      </c>
      <c r="N12" s="95">
        <f>광주전남!J13</f>
        <v>862.34949732468237</v>
      </c>
      <c r="O12" s="95">
        <f>강남!J13</f>
        <v>263.03324435772163</v>
      </c>
      <c r="P12" s="92">
        <f t="shared" si="0"/>
        <v>1362.8895530433847</v>
      </c>
      <c r="Q12" s="95">
        <f>중앙!J13</f>
        <v>264.14308927062342</v>
      </c>
      <c r="R12" s="95">
        <f>고양!J13</f>
        <v>110.98449129017791</v>
      </c>
      <c r="S12" s="95">
        <f>용인!J13</f>
        <v>211.98037836423981</v>
      </c>
      <c r="T12" s="95">
        <f>분당!J13</f>
        <v>72.139919338615641</v>
      </c>
      <c r="U12" s="95">
        <f>세종!J13</f>
        <v>86.567903206338769</v>
      </c>
      <c r="V12" s="95">
        <f>김해!J13</f>
        <v>177.57518606428465</v>
      </c>
      <c r="W12" s="95">
        <f>평택!J13</f>
        <v>56.602090557990735</v>
      </c>
      <c r="X12" s="92">
        <f t="shared" si="1"/>
        <v>979.99305809227099</v>
      </c>
      <c r="Y12" s="92">
        <f t="shared" si="3"/>
        <v>6309.673559593296</v>
      </c>
    </row>
    <row r="13" spans="1:25">
      <c r="A13" s="255" t="s">
        <v>110</v>
      </c>
      <c r="B13" s="255"/>
      <c r="C13" s="58">
        <f t="shared" ref="C13:H13" si="18">C12+C11</f>
        <v>21075.140289884421</v>
      </c>
      <c r="D13" s="58">
        <f t="shared" si="18"/>
        <v>14508.433721822203</v>
      </c>
      <c r="E13" s="58">
        <f t="shared" si="18"/>
        <v>12490.028261986008</v>
      </c>
      <c r="F13" s="58">
        <f t="shared" si="18"/>
        <v>6748.5451742888154</v>
      </c>
      <c r="G13" s="58">
        <f t="shared" si="18"/>
        <v>5304.6658818097048</v>
      </c>
      <c r="H13" s="58">
        <f t="shared" si="18"/>
        <v>3944.111359224697</v>
      </c>
      <c r="I13" s="58">
        <f>I12+I11</f>
        <v>5817.2965047711905</v>
      </c>
      <c r="J13" s="58">
        <f>J12+J11</f>
        <v>8905.4686149885692</v>
      </c>
      <c r="K13" s="58">
        <f>K12+K11</f>
        <v>6495.9999643580159</v>
      </c>
      <c r="L13" s="58">
        <f>SUM(C13:K13)</f>
        <v>85289.689773133636</v>
      </c>
      <c r="M13" s="58">
        <f>M12+M11</f>
        <v>6047.1275765025821</v>
      </c>
      <c r="N13" s="58">
        <f>N12+N11</f>
        <v>5660.0203821638797</v>
      </c>
      <c r="O13" s="58">
        <f>O12+O11</f>
        <v>5349.713293741107</v>
      </c>
      <c r="P13" s="58">
        <f t="shared" si="0"/>
        <v>17056.861252407569</v>
      </c>
      <c r="Q13" s="58">
        <f t="shared" ref="Q13:W13" si="19">Q12+Q11</f>
        <v>5234.6556716205787</v>
      </c>
      <c r="R13" s="58">
        <f t="shared" si="19"/>
        <v>3781.835385284764</v>
      </c>
      <c r="S13" s="58">
        <f t="shared" si="19"/>
        <v>2050.0777769893439</v>
      </c>
      <c r="T13" s="58">
        <f t="shared" si="19"/>
        <v>2128.6381491490961</v>
      </c>
      <c r="U13" s="58">
        <f t="shared" si="19"/>
        <v>1027.1781145642899</v>
      </c>
      <c r="V13" s="58">
        <f t="shared" si="19"/>
        <v>1088.3971599599522</v>
      </c>
      <c r="W13" s="58">
        <f t="shared" si="19"/>
        <v>424.70990204468836</v>
      </c>
      <c r="X13" s="58">
        <f t="shared" si="1"/>
        <v>15735.492159612711</v>
      </c>
      <c r="Y13" s="58">
        <f>L13+P13+X13</f>
        <v>118082.04318515392</v>
      </c>
    </row>
    <row r="14" spans="1:25">
      <c r="A14" s="263" t="s">
        <v>65</v>
      </c>
      <c r="B14" s="263"/>
      <c r="C14" s="95">
        <f>동탄!J15</f>
        <v>19</v>
      </c>
      <c r="D14" s="95">
        <f>화성!J15</f>
        <v>0</v>
      </c>
      <c r="E14" s="95">
        <f>파주!J15</f>
        <v>0</v>
      </c>
      <c r="F14" s="95">
        <f>광교!J15</f>
        <v>28</v>
      </c>
      <c r="G14" s="95">
        <f>판교!J15</f>
        <v>6</v>
      </c>
      <c r="H14" s="95">
        <f>삼송!J15</f>
        <v>0</v>
      </c>
      <c r="I14" s="95">
        <f>양산!J15</f>
        <v>11</v>
      </c>
      <c r="J14" s="95">
        <f>대구!J15</f>
        <v>0</v>
      </c>
      <c r="K14" s="95">
        <f>청주!J15</f>
        <v>0</v>
      </c>
      <c r="L14" s="92">
        <f>SUM(C14:K14)</f>
        <v>64</v>
      </c>
      <c r="M14" s="95">
        <f>수원!J15</f>
        <v>0</v>
      </c>
      <c r="N14" s="95">
        <f>광주전남!J15</f>
        <v>0</v>
      </c>
      <c r="O14" s="95">
        <f>강남!J15</f>
        <v>0</v>
      </c>
      <c r="P14" s="96">
        <f t="shared" si="0"/>
        <v>0</v>
      </c>
      <c r="Q14" s="95">
        <f>중앙!J15</f>
        <v>0</v>
      </c>
      <c r="R14" s="95">
        <f>고양!J15</f>
        <v>0</v>
      </c>
      <c r="S14" s="95">
        <f>용인!J15</f>
        <v>0</v>
      </c>
      <c r="T14" s="95">
        <f>분당!J15</f>
        <v>0</v>
      </c>
      <c r="U14" s="95">
        <f>세종!J15</f>
        <v>0</v>
      </c>
      <c r="V14" s="95">
        <f>김해!J15</f>
        <v>0</v>
      </c>
      <c r="W14" s="95">
        <f>평택!J15</f>
        <v>0</v>
      </c>
      <c r="X14" s="96">
        <f t="shared" si="1"/>
        <v>0</v>
      </c>
      <c r="Y14" s="96">
        <f t="shared" si="3"/>
        <v>64</v>
      </c>
    </row>
    <row r="15" spans="1:25">
      <c r="A15" s="263" t="s">
        <v>66</v>
      </c>
      <c r="B15" s="263"/>
      <c r="C15" s="95">
        <f>동탄!J16</f>
        <v>0</v>
      </c>
      <c r="D15" s="95">
        <f>화성!J16</f>
        <v>15</v>
      </c>
      <c r="E15" s="95">
        <f>파주!J16</f>
        <v>0</v>
      </c>
      <c r="F15" s="95">
        <f>광교!J16</f>
        <v>0</v>
      </c>
      <c r="G15" s="95">
        <f>판교!J16</f>
        <v>0</v>
      </c>
      <c r="H15" s="95">
        <f>삼송!J16</f>
        <v>0</v>
      </c>
      <c r="I15" s="95">
        <f>양산!J16</f>
        <v>0</v>
      </c>
      <c r="J15" s="95">
        <f>대구!J16</f>
        <v>0</v>
      </c>
      <c r="K15" s="95">
        <f>청주!J16</f>
        <v>0</v>
      </c>
      <c r="L15" s="92">
        <f t="shared" ref="L15:L18" si="20">SUM(C15:K15)</f>
        <v>15</v>
      </c>
      <c r="M15" s="95">
        <f>수원!J16</f>
        <v>0</v>
      </c>
      <c r="N15" s="95">
        <f>광주전남!J16</f>
        <v>0</v>
      </c>
      <c r="O15" s="95">
        <f>강남!J16</f>
        <v>0</v>
      </c>
      <c r="P15" s="96">
        <f t="shared" si="0"/>
        <v>0</v>
      </c>
      <c r="Q15" s="95">
        <f>중앙!J16</f>
        <v>0</v>
      </c>
      <c r="R15" s="95">
        <f>고양!J16</f>
        <v>0</v>
      </c>
      <c r="S15" s="95">
        <f>용인!J16</f>
        <v>0</v>
      </c>
      <c r="T15" s="95">
        <f>분당!J16</f>
        <v>0</v>
      </c>
      <c r="U15" s="95">
        <f>세종!J16</f>
        <v>0</v>
      </c>
      <c r="V15" s="95">
        <f>김해!J16</f>
        <v>0</v>
      </c>
      <c r="W15" s="95">
        <f>평택!J16</f>
        <v>0</v>
      </c>
      <c r="X15" s="96">
        <f t="shared" si="1"/>
        <v>0</v>
      </c>
      <c r="Y15" s="96">
        <f t="shared" si="3"/>
        <v>15</v>
      </c>
    </row>
    <row r="16" spans="1:25">
      <c r="A16" s="263" t="s">
        <v>34</v>
      </c>
      <c r="B16" s="97" t="s">
        <v>81</v>
      </c>
      <c r="C16" s="95">
        <f>동탄!J17</f>
        <v>2580.3641509397262</v>
      </c>
      <c r="D16" s="95">
        <f>화성!J17</f>
        <v>0</v>
      </c>
      <c r="E16" s="95">
        <f>파주!J17</f>
        <v>2877</v>
      </c>
      <c r="F16" s="95">
        <f>광교!J17</f>
        <v>0</v>
      </c>
      <c r="G16" s="95">
        <f>판교!J17</f>
        <v>0</v>
      </c>
      <c r="H16" s="95">
        <f>삼송!J17</f>
        <v>0</v>
      </c>
      <c r="I16" s="95">
        <f>양산!J17</f>
        <v>0</v>
      </c>
      <c r="J16" s="95">
        <f>대구!J17</f>
        <v>0</v>
      </c>
      <c r="K16" s="95">
        <f>청주!J17</f>
        <v>6977</v>
      </c>
      <c r="L16" s="92">
        <f>SUM(C16:K16)</f>
        <v>12434.364150939726</v>
      </c>
      <c r="M16" s="95">
        <f>수원!J17</f>
        <v>0</v>
      </c>
      <c r="N16" s="95">
        <f>광주전남!J17</f>
        <v>0</v>
      </c>
      <c r="O16" s="95">
        <f>강남!J17</f>
        <v>1006</v>
      </c>
      <c r="P16" s="96">
        <f t="shared" si="0"/>
        <v>1006</v>
      </c>
      <c r="Q16" s="95">
        <f>중앙!J17</f>
        <v>0</v>
      </c>
      <c r="R16" s="95">
        <f>고양!J17</f>
        <v>0</v>
      </c>
      <c r="S16" s="95">
        <f>용인!J17</f>
        <v>0</v>
      </c>
      <c r="T16" s="95">
        <f>분당!J17</f>
        <v>0</v>
      </c>
      <c r="U16" s="95">
        <f>세종!J17</f>
        <v>0</v>
      </c>
      <c r="V16" s="95">
        <f>김해!J17</f>
        <v>0</v>
      </c>
      <c r="W16" s="95">
        <f>평택!J17</f>
        <v>0</v>
      </c>
      <c r="X16" s="96">
        <f t="shared" si="1"/>
        <v>0</v>
      </c>
      <c r="Y16" s="96">
        <f t="shared" si="3"/>
        <v>13440.364150939726</v>
      </c>
    </row>
    <row r="17" spans="1:25">
      <c r="A17" s="263"/>
      <c r="B17" s="97" t="s">
        <v>64</v>
      </c>
      <c r="C17" s="95">
        <f>동탄!J18</f>
        <v>358.68545143846001</v>
      </c>
      <c r="D17" s="95">
        <f>화성!J18</f>
        <v>1174.4673149254504</v>
      </c>
      <c r="E17" s="95">
        <f>파주!J18</f>
        <v>1194.1965089508778</v>
      </c>
      <c r="F17" s="95">
        <f>광교!J18</f>
        <v>793.80992431720165</v>
      </c>
      <c r="G17" s="95">
        <f>판교!J18</f>
        <v>1271.4496526383896</v>
      </c>
      <c r="H17" s="95">
        <f>삼송!J18</f>
        <v>313.33441734853983</v>
      </c>
      <c r="I17" s="95">
        <f>양산!J18</f>
        <v>180</v>
      </c>
      <c r="J17" s="95">
        <f>대구!J18</f>
        <v>1745</v>
      </c>
      <c r="K17" s="95">
        <f>청주!J18</f>
        <v>706</v>
      </c>
      <c r="L17" s="92">
        <f>SUM(C17:K17)</f>
        <v>7736.9432696189197</v>
      </c>
      <c r="M17" s="95">
        <f>수원!J18</f>
        <v>180</v>
      </c>
      <c r="N17" s="95">
        <f>광주전남!J18</f>
        <v>1664.9560429878618</v>
      </c>
      <c r="O17" s="95">
        <f>강남!J18</f>
        <v>1499.4004773303036</v>
      </c>
      <c r="P17" s="96">
        <f t="shared" si="0"/>
        <v>3344.3565203181652</v>
      </c>
      <c r="Q17" s="95">
        <f>중앙!J18</f>
        <v>1029.6142241481093</v>
      </c>
      <c r="R17" s="95">
        <f>고양!J18</f>
        <v>1277.4425931990768</v>
      </c>
      <c r="S17" s="95">
        <f>용인!J18</f>
        <v>625.20338556039462</v>
      </c>
      <c r="T17" s="95">
        <f>분당!J18</f>
        <v>1039.7526574274673</v>
      </c>
      <c r="U17" s="95">
        <f>세종!J18</f>
        <v>84.48694399464793</v>
      </c>
      <c r="V17" s="95">
        <f>김해!J18</f>
        <v>88.992914341029149</v>
      </c>
      <c r="W17" s="95">
        <f>평택!J18</f>
        <v>10.138433279357752</v>
      </c>
      <c r="X17" s="96">
        <f t="shared" si="1"/>
        <v>4155.6311519500823</v>
      </c>
      <c r="Y17" s="96">
        <f t="shared" si="3"/>
        <v>15236.930941887167</v>
      </c>
    </row>
    <row r="18" spans="1:25">
      <c r="A18" s="263"/>
      <c r="B18" s="93" t="s">
        <v>35</v>
      </c>
      <c r="C18" s="98">
        <f t="shared" ref="C18:H18" si="21">SUM(C16:C17)</f>
        <v>2939.0496023781861</v>
      </c>
      <c r="D18" s="98">
        <f t="shared" si="21"/>
        <v>1174.4673149254504</v>
      </c>
      <c r="E18" s="98">
        <f t="shared" si="21"/>
        <v>4071.1965089508776</v>
      </c>
      <c r="F18" s="98">
        <f t="shared" si="21"/>
        <v>793.80992431720165</v>
      </c>
      <c r="G18" s="98">
        <f t="shared" si="21"/>
        <v>1271.4496526383896</v>
      </c>
      <c r="H18" s="98">
        <f t="shared" si="21"/>
        <v>313.33441734853983</v>
      </c>
      <c r="I18" s="98">
        <f>SUM(I16:I17)</f>
        <v>180</v>
      </c>
      <c r="J18" s="98">
        <f>SUM(J16:J17)</f>
        <v>1745</v>
      </c>
      <c r="K18" s="98">
        <f>SUM(K16:K17)</f>
        <v>7683</v>
      </c>
      <c r="L18" s="98">
        <f t="shared" si="20"/>
        <v>20171.307420558645</v>
      </c>
      <c r="M18" s="98">
        <f>SUM(M16:M17)</f>
        <v>180</v>
      </c>
      <c r="N18" s="98">
        <f>SUM(N16:N17)</f>
        <v>1664.9560429878618</v>
      </c>
      <c r="O18" s="98">
        <f>SUM(O16:O17)</f>
        <v>2505.4004773303036</v>
      </c>
      <c r="P18" s="99">
        <f t="shared" si="0"/>
        <v>4350.3565203181652</v>
      </c>
      <c r="Q18" s="98">
        <f t="shared" ref="Q18:W18" si="22">SUM(Q16:Q17)</f>
        <v>1029.6142241481093</v>
      </c>
      <c r="R18" s="98">
        <f t="shared" si="22"/>
        <v>1277.4425931990768</v>
      </c>
      <c r="S18" s="98">
        <f t="shared" si="22"/>
        <v>625.20338556039462</v>
      </c>
      <c r="T18" s="98">
        <f t="shared" si="22"/>
        <v>1039.7526574274673</v>
      </c>
      <c r="U18" s="98">
        <f t="shared" si="22"/>
        <v>84.48694399464793</v>
      </c>
      <c r="V18" s="98">
        <f t="shared" si="22"/>
        <v>88.992914341029149</v>
      </c>
      <c r="W18" s="98">
        <f t="shared" si="22"/>
        <v>10.138433279357752</v>
      </c>
      <c r="X18" s="99">
        <f t="shared" si="1"/>
        <v>4155.6311519500823</v>
      </c>
      <c r="Y18" s="99">
        <f t="shared" si="3"/>
        <v>28677.295092826891</v>
      </c>
    </row>
    <row r="19" spans="1:25">
      <c r="A19" s="89" t="s">
        <v>102</v>
      </c>
      <c r="B19" s="89" t="s">
        <v>103</v>
      </c>
      <c r="C19" s="100">
        <f>동탄!J19</f>
        <v>0</v>
      </c>
      <c r="D19" s="100">
        <f>화성!J19</f>
        <v>0</v>
      </c>
      <c r="E19" s="100">
        <f>파주!J19</f>
        <v>0</v>
      </c>
      <c r="F19" s="100">
        <f>광교!J19</f>
        <v>0</v>
      </c>
      <c r="G19" s="100">
        <f>판교!J19</f>
        <v>0</v>
      </c>
      <c r="H19" s="100">
        <f>삼송!J19</f>
        <v>0</v>
      </c>
      <c r="I19" s="100">
        <f>양산!J19</f>
        <v>0</v>
      </c>
      <c r="J19" s="100">
        <f>대구!J19</f>
        <v>0</v>
      </c>
      <c r="K19" s="100">
        <f>청주!J19</f>
        <v>0</v>
      </c>
      <c r="L19" s="92">
        <f>SUM(C19:K19)</f>
        <v>0</v>
      </c>
      <c r="M19" s="100">
        <f>수원!J19</f>
        <v>0</v>
      </c>
      <c r="N19" s="100">
        <f>광주전남!J19</f>
        <v>0</v>
      </c>
      <c r="O19" s="100">
        <f>강남!J19</f>
        <v>0</v>
      </c>
      <c r="P19" s="96">
        <f t="shared" si="0"/>
        <v>0</v>
      </c>
      <c r="Q19" s="100">
        <f>중앙!J19</f>
        <v>0</v>
      </c>
      <c r="R19" s="100">
        <f>고양!J19</f>
        <v>0</v>
      </c>
      <c r="S19" s="100">
        <f>용인!J19</f>
        <v>0</v>
      </c>
      <c r="T19" s="100">
        <f>분당!J19</f>
        <v>0</v>
      </c>
      <c r="U19" s="100">
        <f>세종!J19</f>
        <v>0</v>
      </c>
      <c r="V19" s="100">
        <f>김해!J19</f>
        <v>0</v>
      </c>
      <c r="W19" s="100">
        <f>평택!J19</f>
        <v>0</v>
      </c>
      <c r="X19" s="96">
        <f t="shared" si="1"/>
        <v>0</v>
      </c>
      <c r="Y19" s="96">
        <f t="shared" si="3"/>
        <v>0</v>
      </c>
    </row>
    <row r="20" spans="1:25">
      <c r="A20" s="263" t="s">
        <v>63</v>
      </c>
      <c r="B20" s="263"/>
      <c r="C20" s="95">
        <f>동탄!J20</f>
        <v>13</v>
      </c>
      <c r="D20" s="95">
        <f>화성!J20</f>
        <v>76</v>
      </c>
      <c r="E20" s="95">
        <f>파주!J20</f>
        <v>458.3659490284349</v>
      </c>
      <c r="F20" s="95">
        <f>광교!J20</f>
        <v>13</v>
      </c>
      <c r="G20" s="95">
        <f>판교!J20</f>
        <v>37</v>
      </c>
      <c r="H20" s="95">
        <f>삼송!J20</f>
        <v>19</v>
      </c>
      <c r="I20" s="95">
        <f>양산!J20</f>
        <v>4</v>
      </c>
      <c r="J20" s="95">
        <f>대구!J20</f>
        <v>102</v>
      </c>
      <c r="K20" s="95">
        <f>청주!J20</f>
        <v>6</v>
      </c>
      <c r="L20" s="92">
        <f>SUM(C20:K20)</f>
        <v>728.3659490284349</v>
      </c>
      <c r="M20" s="95">
        <f>수원!J20</f>
        <v>150</v>
      </c>
      <c r="N20" s="95">
        <f>광주전남!J20</f>
        <v>82.456425618036789</v>
      </c>
      <c r="O20" s="95">
        <f>강남!J20</f>
        <v>30</v>
      </c>
      <c r="P20" s="96">
        <f t="shared" si="0"/>
        <v>262.4564256180368</v>
      </c>
      <c r="Q20" s="95">
        <f>중앙!J20</f>
        <v>0</v>
      </c>
      <c r="R20" s="95">
        <f>고양!J20</f>
        <v>21</v>
      </c>
      <c r="S20" s="95">
        <f>용인!J20</f>
        <v>0</v>
      </c>
      <c r="T20" s="95">
        <f>분당!J20</f>
        <v>0</v>
      </c>
      <c r="U20" s="95">
        <f>세종!J20</f>
        <v>0</v>
      </c>
      <c r="V20" s="95">
        <f>김해!J20</f>
        <v>0</v>
      </c>
      <c r="W20" s="95">
        <f>평택!J20</f>
        <v>0</v>
      </c>
      <c r="X20" s="96">
        <f t="shared" si="1"/>
        <v>21</v>
      </c>
      <c r="Y20" s="96">
        <f t="shared" si="3"/>
        <v>1011.8223746464716</v>
      </c>
    </row>
    <row r="21" spans="1:25">
      <c r="A21" s="263" t="s">
        <v>36</v>
      </c>
      <c r="B21" s="97" t="s">
        <v>38</v>
      </c>
      <c r="C21" s="95">
        <f>동탄!J21</f>
        <v>0</v>
      </c>
      <c r="D21" s="95">
        <f>화성!J21</f>
        <v>17618</v>
      </c>
      <c r="E21" s="95">
        <f>파주!J21</f>
        <v>0</v>
      </c>
      <c r="F21" s="95">
        <f>광교!J21</f>
        <v>5221</v>
      </c>
      <c r="G21" s="95">
        <f>판교!J21</f>
        <v>0</v>
      </c>
      <c r="H21" s="95">
        <f>삼송!J21</f>
        <v>0</v>
      </c>
      <c r="I21" s="95">
        <f>양산!J21</f>
        <v>12273</v>
      </c>
      <c r="J21" s="95">
        <f>대구!J21</f>
        <v>0</v>
      </c>
      <c r="K21" s="95">
        <f>청주!J21</f>
        <v>0</v>
      </c>
      <c r="L21" s="92">
        <f>SUM(C21:K21)</f>
        <v>35112</v>
      </c>
      <c r="M21" s="95">
        <f>수원!J21</f>
        <v>0</v>
      </c>
      <c r="N21" s="95">
        <f>광주전남!J21</f>
        <v>0</v>
      </c>
      <c r="O21" s="95">
        <f>강남!J21</f>
        <v>0</v>
      </c>
      <c r="P21" s="96">
        <f t="shared" si="0"/>
        <v>0</v>
      </c>
      <c r="Q21" s="95">
        <f>중앙!J21</f>
        <v>0</v>
      </c>
      <c r="R21" s="95">
        <f>고양!J21</f>
        <v>0</v>
      </c>
      <c r="S21" s="95">
        <f>용인!J21</f>
        <v>0</v>
      </c>
      <c r="T21" s="95">
        <f>분당!J21</f>
        <v>0</v>
      </c>
      <c r="U21" s="95">
        <f>세종!J21</f>
        <v>0</v>
      </c>
      <c r="V21" s="95">
        <f>김해!J21</f>
        <v>0</v>
      </c>
      <c r="W21" s="95">
        <f>평택!J21</f>
        <v>0</v>
      </c>
      <c r="X21" s="96">
        <f t="shared" si="1"/>
        <v>0</v>
      </c>
      <c r="Y21" s="96">
        <f t="shared" si="3"/>
        <v>35112</v>
      </c>
    </row>
    <row r="22" spans="1:25">
      <c r="A22" s="263"/>
      <c r="B22" s="97" t="s">
        <v>39</v>
      </c>
      <c r="C22" s="95">
        <f>동탄!J22</f>
        <v>363</v>
      </c>
      <c r="D22" s="95">
        <f>화성!J22</f>
        <v>1151.2564984249473</v>
      </c>
      <c r="E22" s="95">
        <f>파주!J22</f>
        <v>18</v>
      </c>
      <c r="F22" s="95">
        <f>광교!J22</f>
        <v>170</v>
      </c>
      <c r="G22" s="95">
        <f>판교!J22</f>
        <v>180</v>
      </c>
      <c r="H22" s="95">
        <f>삼송!J22</f>
        <v>50</v>
      </c>
      <c r="I22" s="95">
        <f>양산!J22</f>
        <v>157</v>
      </c>
      <c r="J22" s="95">
        <f>대구!J22</f>
        <v>386</v>
      </c>
      <c r="K22" s="95">
        <f>청주!J22</f>
        <v>386</v>
      </c>
      <c r="L22" s="92">
        <f>SUM(C22:K22)</f>
        <v>2861.2564984249475</v>
      </c>
      <c r="M22" s="95">
        <f>수원!J22</f>
        <v>234.46203307362737</v>
      </c>
      <c r="N22" s="95">
        <f>광주전남!J22</f>
        <v>386</v>
      </c>
      <c r="O22" s="95">
        <f>강남!J22</f>
        <v>107</v>
      </c>
      <c r="P22" s="96">
        <f t="shared" si="0"/>
        <v>727.46203307362737</v>
      </c>
      <c r="Q22" s="95">
        <f>중앙!J22</f>
        <v>29</v>
      </c>
      <c r="R22" s="95">
        <f>고양!J22</f>
        <v>0</v>
      </c>
      <c r="S22" s="95">
        <f>용인!J22</f>
        <v>0</v>
      </c>
      <c r="T22" s="95">
        <f>분당!J22</f>
        <v>0</v>
      </c>
      <c r="U22" s="95">
        <f>세종!J22</f>
        <v>0</v>
      </c>
      <c r="V22" s="95">
        <f>김해!J22</f>
        <v>0</v>
      </c>
      <c r="W22" s="95">
        <f>평택!J22</f>
        <v>0</v>
      </c>
      <c r="X22" s="96">
        <f t="shared" si="1"/>
        <v>29</v>
      </c>
      <c r="Y22" s="96">
        <f t="shared" si="3"/>
        <v>3617.718531498575</v>
      </c>
    </row>
    <row r="23" spans="1:25">
      <c r="A23" s="263"/>
      <c r="B23" s="97" t="s">
        <v>37</v>
      </c>
      <c r="C23" s="95">
        <f>동탄!J23</f>
        <v>2</v>
      </c>
      <c r="D23" s="95">
        <f>화성!J23</f>
        <v>107</v>
      </c>
      <c r="E23" s="95">
        <f>파주!J23</f>
        <v>126</v>
      </c>
      <c r="F23" s="95">
        <f>광교!J23</f>
        <v>13</v>
      </c>
      <c r="G23" s="95">
        <f>판교!J23</f>
        <v>54</v>
      </c>
      <c r="H23" s="95">
        <f>삼송!J23</f>
        <v>20</v>
      </c>
      <c r="I23" s="95">
        <f>양산!J23</f>
        <v>91</v>
      </c>
      <c r="J23" s="95">
        <f>대구!J23</f>
        <v>84</v>
      </c>
      <c r="K23" s="95">
        <f>청주!J23</f>
        <v>84</v>
      </c>
      <c r="L23" s="92">
        <f>SUM(C23:K23)</f>
        <v>581</v>
      </c>
      <c r="M23" s="95">
        <f>수원!J23</f>
        <v>44</v>
      </c>
      <c r="N23" s="95">
        <f>광주전남!J23</f>
        <v>84</v>
      </c>
      <c r="O23" s="95">
        <f>강남!J23</f>
        <v>47</v>
      </c>
      <c r="P23" s="96">
        <f t="shared" si="0"/>
        <v>175</v>
      </c>
      <c r="Q23" s="95">
        <f>중앙!J23</f>
        <v>0</v>
      </c>
      <c r="R23" s="95">
        <f>고양!J23</f>
        <v>10</v>
      </c>
      <c r="S23" s="95">
        <f>용인!J23</f>
        <v>0</v>
      </c>
      <c r="T23" s="95">
        <f>분당!J23</f>
        <v>0</v>
      </c>
      <c r="U23" s="95">
        <f>세종!J23</f>
        <v>0</v>
      </c>
      <c r="V23" s="95">
        <f>김해!J23</f>
        <v>0</v>
      </c>
      <c r="W23" s="95">
        <f>평택!J23</f>
        <v>0</v>
      </c>
      <c r="X23" s="96">
        <f t="shared" si="1"/>
        <v>10</v>
      </c>
      <c r="Y23" s="96">
        <f t="shared" si="3"/>
        <v>766</v>
      </c>
    </row>
    <row r="24" spans="1:25">
      <c r="A24" s="263"/>
      <c r="B24" s="93" t="s">
        <v>35</v>
      </c>
      <c r="C24" s="98">
        <f t="shared" ref="C24:H24" si="23">SUM(C21:C23)</f>
        <v>365</v>
      </c>
      <c r="D24" s="98">
        <f t="shared" si="23"/>
        <v>18876.256498424947</v>
      </c>
      <c r="E24" s="98">
        <f t="shared" si="23"/>
        <v>144</v>
      </c>
      <c r="F24" s="98">
        <f t="shared" si="23"/>
        <v>5404</v>
      </c>
      <c r="G24" s="98">
        <f t="shared" si="23"/>
        <v>234</v>
      </c>
      <c r="H24" s="98">
        <f t="shared" si="23"/>
        <v>70</v>
      </c>
      <c r="I24" s="98">
        <f>SUM(I21:I23)</f>
        <v>12521</v>
      </c>
      <c r="J24" s="98">
        <f>SUM(J21:J23)</f>
        <v>470</v>
      </c>
      <c r="K24" s="98">
        <f>SUM(K21:K23)</f>
        <v>470</v>
      </c>
      <c r="L24" s="98">
        <f t="shared" ref="L24" si="24">SUM(C24:K24)</f>
        <v>38554.256498424947</v>
      </c>
      <c r="M24" s="98">
        <f>SUM(M21:M23)</f>
        <v>278.46203307362737</v>
      </c>
      <c r="N24" s="98">
        <f>SUM(N21:N23)</f>
        <v>470</v>
      </c>
      <c r="O24" s="98">
        <f>SUM(O21:O23)</f>
        <v>154</v>
      </c>
      <c r="P24" s="99">
        <f t="shared" si="0"/>
        <v>902.46203307362737</v>
      </c>
      <c r="Q24" s="98">
        <f t="shared" ref="Q24:W24" si="25">SUM(Q21:Q23)</f>
        <v>29</v>
      </c>
      <c r="R24" s="98">
        <f t="shared" si="25"/>
        <v>10</v>
      </c>
      <c r="S24" s="98">
        <f t="shared" si="25"/>
        <v>0</v>
      </c>
      <c r="T24" s="98">
        <f t="shared" si="25"/>
        <v>0</v>
      </c>
      <c r="U24" s="98">
        <f t="shared" si="25"/>
        <v>0</v>
      </c>
      <c r="V24" s="98">
        <f t="shared" si="25"/>
        <v>0</v>
      </c>
      <c r="W24" s="98">
        <f t="shared" si="25"/>
        <v>0</v>
      </c>
      <c r="X24" s="99">
        <f t="shared" si="1"/>
        <v>39</v>
      </c>
      <c r="Y24" s="99">
        <f t="shared" si="3"/>
        <v>39495.718531498576</v>
      </c>
    </row>
    <row r="25" spans="1:25">
      <c r="A25" s="255" t="s">
        <v>115</v>
      </c>
      <c r="B25" s="255"/>
      <c r="C25" s="56">
        <f>C14+C15+C19+C18+C20+C24</f>
        <v>3336.0496023781861</v>
      </c>
      <c r="D25" s="56">
        <f t="shared" ref="D25:Y25" si="26">D14+D15+D19+D18+D20+D24</f>
        <v>20141.7238133504</v>
      </c>
      <c r="E25" s="56">
        <f t="shared" si="26"/>
        <v>4673.562457979313</v>
      </c>
      <c r="F25" s="56">
        <f t="shared" si="26"/>
        <v>6238.8099243172019</v>
      </c>
      <c r="G25" s="56">
        <f t="shared" si="26"/>
        <v>1548.4496526383896</v>
      </c>
      <c r="H25" s="56">
        <f t="shared" si="26"/>
        <v>402.33441734853983</v>
      </c>
      <c r="I25" s="56">
        <f t="shared" si="26"/>
        <v>12716</v>
      </c>
      <c r="J25" s="56">
        <f t="shared" si="26"/>
        <v>2317</v>
      </c>
      <c r="K25" s="56">
        <f t="shared" si="26"/>
        <v>8159</v>
      </c>
      <c r="L25" s="56">
        <f t="shared" si="26"/>
        <v>59532.929868012026</v>
      </c>
      <c r="M25" s="56">
        <f t="shared" si="26"/>
        <v>608.46203307362737</v>
      </c>
      <c r="N25" s="56">
        <f t="shared" si="26"/>
        <v>2217.4124686058985</v>
      </c>
      <c r="O25" s="56">
        <f t="shared" si="26"/>
        <v>2689.4004773303036</v>
      </c>
      <c r="P25" s="56">
        <f t="shared" si="26"/>
        <v>5515.2749790098287</v>
      </c>
      <c r="Q25" s="56">
        <f t="shared" si="26"/>
        <v>1058.6142241481093</v>
      </c>
      <c r="R25" s="56">
        <f t="shared" si="26"/>
        <v>1308.4425931990768</v>
      </c>
      <c r="S25" s="56">
        <f t="shared" si="26"/>
        <v>625.20338556039462</v>
      </c>
      <c r="T25" s="56">
        <f t="shared" si="26"/>
        <v>1039.7526574274673</v>
      </c>
      <c r="U25" s="56">
        <f t="shared" si="26"/>
        <v>84.48694399464793</v>
      </c>
      <c r="V25" s="56">
        <f t="shared" si="26"/>
        <v>88.992914341029149</v>
      </c>
      <c r="W25" s="56">
        <f t="shared" si="26"/>
        <v>10.138433279357752</v>
      </c>
      <c r="X25" s="56">
        <f t="shared" si="26"/>
        <v>4215.6311519500823</v>
      </c>
      <c r="Y25" s="56">
        <f t="shared" si="26"/>
        <v>69263.835998971947</v>
      </c>
    </row>
    <row r="26" spans="1:25">
      <c r="A26" s="224" t="s">
        <v>282</v>
      </c>
      <c r="B26" s="224" t="s">
        <v>354</v>
      </c>
      <c r="C26" s="95">
        <f>동탄!J25</f>
        <v>1282.6477658405865</v>
      </c>
      <c r="D26" s="95">
        <f>화성!J25</f>
        <v>375.23856505209159</v>
      </c>
      <c r="E26" s="95">
        <f>파주!J25</f>
        <v>476.23445212615354</v>
      </c>
      <c r="F26" s="95">
        <f>광교!J25</f>
        <v>153.15859798044559</v>
      </c>
      <c r="G26" s="95">
        <f>판교!J25</f>
        <v>1551.5631882366877</v>
      </c>
      <c r="H26" s="95">
        <f>삼송!J25</f>
        <v>786.88004324736153</v>
      </c>
      <c r="I26" s="95">
        <f>양산!J25</f>
        <v>2.2196898258035582</v>
      </c>
      <c r="J26" s="95">
        <f>대구!J25</f>
        <v>709.19089934423721</v>
      </c>
      <c r="K26" s="95">
        <f>청주!J25</f>
        <v>3292.9098565795794</v>
      </c>
      <c r="L26" s="92">
        <f>SUM(C26:K26)</f>
        <v>8630.0430582329464</v>
      </c>
      <c r="M26" s="95">
        <f>수원!J25</f>
        <v>47.723331254776518</v>
      </c>
      <c r="N26" s="95">
        <f>광주전남!J25</f>
        <v>589.32764875084501</v>
      </c>
      <c r="O26" s="95">
        <f>강남!J25</f>
        <v>1387.306141127224</v>
      </c>
      <c r="P26" s="96">
        <f t="shared" ref="P26" si="27">SUM(M26:O26)</f>
        <v>2024.3571211328456</v>
      </c>
      <c r="Q26" s="95">
        <f>중앙!J25</f>
        <v>1156.862973251313</v>
      </c>
      <c r="R26" s="95">
        <f>고양!J25</f>
        <v>767.59717128773332</v>
      </c>
      <c r="S26" s="95">
        <f>용인!J25</f>
        <v>598.11346537662394</v>
      </c>
      <c r="T26" s="95">
        <f>분당!J25</f>
        <v>0</v>
      </c>
      <c r="U26" s="95">
        <f>세종!J25</f>
        <v>0</v>
      </c>
      <c r="V26" s="95">
        <f>김해!J25</f>
        <v>286.48213515297164</v>
      </c>
      <c r="W26" s="95">
        <f>평택!J25</f>
        <v>0</v>
      </c>
      <c r="X26" s="96">
        <f t="shared" ref="X26" si="28">SUM(Q26:W26)</f>
        <v>2809.055745068642</v>
      </c>
      <c r="Y26" s="96">
        <f t="shared" ref="Y26" si="29">L26+P26+X26</f>
        <v>13463.455924434435</v>
      </c>
    </row>
    <row r="30" spans="1:25">
      <c r="W30">
        <v>50</v>
      </c>
    </row>
    <row r="31" spans="1:25">
      <c r="B31" s="247" t="s">
        <v>33</v>
      </c>
      <c r="C31" s="21">
        <f>INT(C4*0.9)</f>
        <v>949</v>
      </c>
      <c r="D31" s="21">
        <f t="shared" ref="D31:O32" si="30">INT(D4*0.9)</f>
        <v>366</v>
      </c>
      <c r="E31" s="21">
        <f>INT(E4*0.9)</f>
        <v>791</v>
      </c>
      <c r="F31" s="21">
        <f t="shared" si="30"/>
        <v>43</v>
      </c>
      <c r="G31" s="21">
        <f t="shared" si="30"/>
        <v>305</v>
      </c>
      <c r="H31" s="21">
        <f t="shared" si="30"/>
        <v>286</v>
      </c>
      <c r="I31" s="21">
        <f t="shared" si="30"/>
        <v>162</v>
      </c>
      <c r="J31" s="21">
        <f t="shared" si="30"/>
        <v>2</v>
      </c>
      <c r="K31" s="21">
        <f t="shared" si="30"/>
        <v>29</v>
      </c>
      <c r="L31" s="21"/>
      <c r="M31" s="21">
        <f t="shared" si="30"/>
        <v>305</v>
      </c>
      <c r="N31" s="21">
        <f t="shared" si="30"/>
        <v>238</v>
      </c>
      <c r="O31" s="21">
        <f t="shared" si="30"/>
        <v>160</v>
      </c>
      <c r="P31" s="21"/>
      <c r="Q31" s="21">
        <f t="shared" ref="Q31:W32" si="31">INT(Q4*0.9)</f>
        <v>206</v>
      </c>
      <c r="R31" s="21">
        <f t="shared" si="31"/>
        <v>105</v>
      </c>
      <c r="S31" s="21">
        <f t="shared" si="31"/>
        <v>85</v>
      </c>
      <c r="T31" s="21">
        <f t="shared" si="31"/>
        <v>39</v>
      </c>
      <c r="U31" s="21">
        <f t="shared" si="31"/>
        <v>31</v>
      </c>
      <c r="V31" s="21">
        <f t="shared" si="31"/>
        <v>149</v>
      </c>
      <c r="W31" s="21">
        <f t="shared" si="31"/>
        <v>0</v>
      </c>
      <c r="Y31" s="21">
        <f>SUM(C31:X31)</f>
        <v>4251</v>
      </c>
    </row>
    <row r="32" spans="1:25">
      <c r="B32" s="247" t="s">
        <v>95</v>
      </c>
      <c r="C32" s="21">
        <f t="shared" ref="C32:K32" si="32">INT(C5*0.9)</f>
        <v>3302</v>
      </c>
      <c r="D32" s="21">
        <f t="shared" si="32"/>
        <v>3836</v>
      </c>
      <c r="E32" s="21">
        <f t="shared" si="32"/>
        <v>2084</v>
      </c>
      <c r="F32" s="21">
        <f t="shared" si="32"/>
        <v>1721</v>
      </c>
      <c r="G32" s="21">
        <f t="shared" si="32"/>
        <v>851</v>
      </c>
      <c r="H32" s="21">
        <f t="shared" si="32"/>
        <v>630</v>
      </c>
      <c r="I32" s="21">
        <f t="shared" si="32"/>
        <v>810</v>
      </c>
      <c r="J32" s="21">
        <f t="shared" si="32"/>
        <v>2466</v>
      </c>
      <c r="K32" s="21">
        <f t="shared" si="32"/>
        <v>1090</v>
      </c>
      <c r="L32" s="21"/>
      <c r="M32" s="21">
        <f t="shared" si="30"/>
        <v>1705</v>
      </c>
      <c r="N32" s="21">
        <f t="shared" si="30"/>
        <v>1211</v>
      </c>
      <c r="O32" s="21">
        <f t="shared" si="30"/>
        <v>1826</v>
      </c>
      <c r="P32" s="21"/>
      <c r="Q32" s="21">
        <f t="shared" si="31"/>
        <v>1342</v>
      </c>
      <c r="R32" s="21">
        <f t="shared" si="31"/>
        <v>634</v>
      </c>
      <c r="S32" s="21">
        <f t="shared" si="31"/>
        <v>471</v>
      </c>
      <c r="T32" s="21">
        <f t="shared" si="31"/>
        <v>610</v>
      </c>
      <c r="U32" s="21">
        <f t="shared" si="31"/>
        <v>113</v>
      </c>
      <c r="V32" s="21">
        <f t="shared" si="31"/>
        <v>307</v>
      </c>
      <c r="W32" s="21">
        <f t="shared" si="31"/>
        <v>164</v>
      </c>
      <c r="Y32" s="21">
        <f t="shared" ref="Y32:Y39" si="33">SUM(C32:X32)</f>
        <v>25173</v>
      </c>
    </row>
    <row r="33" spans="2:26">
      <c r="B33" s="247" t="s">
        <v>96</v>
      </c>
      <c r="C33" s="21">
        <f>C6</f>
        <v>8982.651885510968</v>
      </c>
      <c r="D33" s="21">
        <f t="shared" ref="D33:Y33" si="34">D6</f>
        <v>6939.1943334270836</v>
      </c>
      <c r="E33" s="21">
        <f t="shared" si="34"/>
        <v>6485.217821029175</v>
      </c>
      <c r="F33" s="21">
        <f t="shared" si="34"/>
        <v>2665.2814598844934</v>
      </c>
      <c r="G33" s="21">
        <f t="shared" si="34"/>
        <v>2766.6657926780708</v>
      </c>
      <c r="H33" s="21">
        <f t="shared" si="34"/>
        <v>1996.1448634468818</v>
      </c>
      <c r="I33" s="21">
        <f t="shared" si="34"/>
        <v>2487.2956312024348</v>
      </c>
      <c r="J33" s="21">
        <f t="shared" si="34"/>
        <v>4115.0774188326513</v>
      </c>
      <c r="K33" s="21">
        <f t="shared" si="34"/>
        <v>3738.8288949098196</v>
      </c>
      <c r="L33" s="21"/>
      <c r="M33" s="21">
        <f t="shared" si="34"/>
        <v>2766.6657926780713</v>
      </c>
      <c r="N33" s="21">
        <f t="shared" si="34"/>
        <v>1969.1090413685945</v>
      </c>
      <c r="O33" s="21">
        <f t="shared" si="34"/>
        <v>1382.2064037524401</v>
      </c>
      <c r="P33" s="21"/>
      <c r="Q33" s="21">
        <f t="shared" si="34"/>
        <v>1198.5881121374052</v>
      </c>
      <c r="R33" s="21">
        <f t="shared" si="34"/>
        <v>787.41831803011871</v>
      </c>
      <c r="S33" s="21">
        <f t="shared" si="34"/>
        <v>762.63548112502201</v>
      </c>
      <c r="T33" s="21">
        <f t="shared" si="34"/>
        <v>680.40152230356466</v>
      </c>
      <c r="U33" s="21">
        <f t="shared" si="34"/>
        <v>307.53247614051844</v>
      </c>
      <c r="V33" s="21">
        <f t="shared" si="34"/>
        <v>45.059703463812227</v>
      </c>
      <c r="W33" s="21">
        <f t="shared" si="34"/>
        <v>45.059703463812227</v>
      </c>
      <c r="X33" s="21"/>
      <c r="Y33" s="21">
        <f t="shared" si="34"/>
        <v>50121.034655384945</v>
      </c>
    </row>
    <row r="34" spans="2:26">
      <c r="B34" s="247" t="s">
        <v>97</v>
      </c>
      <c r="C34" s="21">
        <f t="shared" ref="C34:K37" si="35">INT(C7*0.9)</f>
        <v>3042</v>
      </c>
      <c r="D34" s="21">
        <f t="shared" si="35"/>
        <v>371</v>
      </c>
      <c r="E34" s="21">
        <f t="shared" si="35"/>
        <v>646</v>
      </c>
      <c r="F34" s="21">
        <f t="shared" si="35"/>
        <v>187</v>
      </c>
      <c r="G34" s="21">
        <f t="shared" si="35"/>
        <v>187</v>
      </c>
      <c r="H34" s="21">
        <f t="shared" si="35"/>
        <v>158</v>
      </c>
      <c r="I34" s="21">
        <f t="shared" si="35"/>
        <v>232</v>
      </c>
      <c r="J34" s="21">
        <f t="shared" si="35"/>
        <v>265</v>
      </c>
      <c r="K34" s="21">
        <f t="shared" si="35"/>
        <v>202</v>
      </c>
      <c r="L34" s="21"/>
      <c r="M34" s="21">
        <f t="shared" ref="M34:O37" si="36">INT(M7*0.9)</f>
        <v>187</v>
      </c>
      <c r="N34" s="21">
        <f t="shared" si="36"/>
        <v>207</v>
      </c>
      <c r="O34" s="21">
        <f t="shared" si="36"/>
        <v>586</v>
      </c>
      <c r="P34" s="21"/>
      <c r="Q34" s="21">
        <f t="shared" ref="Q34:W37" si="37">INT(Q7*0.9)</f>
        <v>686</v>
      </c>
      <c r="R34" s="21">
        <f t="shared" si="37"/>
        <v>537</v>
      </c>
      <c r="S34" s="21">
        <f t="shared" si="37"/>
        <v>118</v>
      </c>
      <c r="T34" s="21">
        <f t="shared" si="37"/>
        <v>83</v>
      </c>
      <c r="U34" s="21">
        <f t="shared" si="37"/>
        <v>60</v>
      </c>
      <c r="V34" s="21">
        <f t="shared" si="37"/>
        <v>52</v>
      </c>
      <c r="W34" s="21">
        <f t="shared" si="37"/>
        <v>92</v>
      </c>
      <c r="Y34" s="21">
        <f t="shared" si="33"/>
        <v>7898</v>
      </c>
    </row>
    <row r="35" spans="2:26">
      <c r="B35" s="247" t="s">
        <v>281</v>
      </c>
      <c r="C35" s="21">
        <f t="shared" si="35"/>
        <v>2312</v>
      </c>
      <c r="D35" s="21">
        <f t="shared" si="35"/>
        <v>1222</v>
      </c>
      <c r="E35" s="21">
        <f t="shared" si="35"/>
        <v>717</v>
      </c>
      <c r="F35" s="21">
        <f t="shared" si="35"/>
        <v>1240</v>
      </c>
      <c r="G35" s="21">
        <f t="shared" si="35"/>
        <v>468</v>
      </c>
      <c r="H35" s="21">
        <f t="shared" si="35"/>
        <v>391</v>
      </c>
      <c r="I35" s="21">
        <f t="shared" si="35"/>
        <v>893</v>
      </c>
      <c r="J35" s="21">
        <f t="shared" si="35"/>
        <v>771</v>
      </c>
      <c r="K35" s="21">
        <f t="shared" si="35"/>
        <v>371</v>
      </c>
      <c r="L35" s="21"/>
      <c r="M35" s="21">
        <f t="shared" si="36"/>
        <v>468</v>
      </c>
      <c r="N35" s="21">
        <f t="shared" si="36"/>
        <v>711</v>
      </c>
      <c r="O35" s="21">
        <f t="shared" si="36"/>
        <v>636</v>
      </c>
      <c r="P35" s="21"/>
      <c r="Q35" s="21">
        <f t="shared" si="37"/>
        <v>1050</v>
      </c>
      <c r="R35" s="21">
        <f t="shared" si="37"/>
        <v>1246</v>
      </c>
      <c r="S35" s="21">
        <f t="shared" si="37"/>
        <v>222</v>
      </c>
      <c r="T35" s="21">
        <f t="shared" si="37"/>
        <v>443</v>
      </c>
      <c r="U35" s="21">
        <f t="shared" si="37"/>
        <v>334</v>
      </c>
      <c r="V35" s="21">
        <f t="shared" si="37"/>
        <v>263</v>
      </c>
      <c r="W35" s="21">
        <f t="shared" si="37"/>
        <v>27</v>
      </c>
      <c r="Y35" s="21">
        <f t="shared" si="33"/>
        <v>13785</v>
      </c>
    </row>
    <row r="36" spans="2:26">
      <c r="B36" s="247" t="s">
        <v>279</v>
      </c>
      <c r="C36" s="21">
        <f t="shared" si="35"/>
        <v>753</v>
      </c>
      <c r="D36" s="21">
        <f t="shared" si="35"/>
        <v>581</v>
      </c>
      <c r="E36" s="21">
        <f t="shared" si="35"/>
        <v>543</v>
      </c>
      <c r="F36" s="21">
        <f t="shared" si="35"/>
        <v>223</v>
      </c>
      <c r="G36" s="21">
        <f t="shared" si="35"/>
        <v>232</v>
      </c>
      <c r="H36" s="21">
        <f t="shared" si="35"/>
        <v>50</v>
      </c>
      <c r="I36" s="21">
        <f t="shared" si="35"/>
        <v>207</v>
      </c>
      <c r="J36" s="21">
        <f t="shared" si="35"/>
        <v>344</v>
      </c>
      <c r="K36" s="21">
        <f t="shared" si="35"/>
        <v>313</v>
      </c>
      <c r="L36" s="21"/>
      <c r="M36" s="21">
        <f t="shared" si="36"/>
        <v>63</v>
      </c>
      <c r="N36" s="21">
        <f t="shared" si="36"/>
        <v>159</v>
      </c>
      <c r="O36" s="21">
        <f t="shared" si="36"/>
        <v>111</v>
      </c>
      <c r="P36" s="21"/>
      <c r="Q36" s="21">
        <f t="shared" si="37"/>
        <v>97</v>
      </c>
      <c r="R36" s="21">
        <f t="shared" si="37"/>
        <v>63</v>
      </c>
      <c r="S36" s="21">
        <f t="shared" si="37"/>
        <v>61</v>
      </c>
      <c r="T36" s="21">
        <f t="shared" si="37"/>
        <v>54</v>
      </c>
      <c r="U36" s="21">
        <f t="shared" si="37"/>
        <v>25</v>
      </c>
      <c r="V36" s="21">
        <f t="shared" si="37"/>
        <v>4</v>
      </c>
      <c r="W36" s="21">
        <f t="shared" si="37"/>
        <v>4</v>
      </c>
      <c r="Y36" s="21">
        <f t="shared" si="33"/>
        <v>3887</v>
      </c>
    </row>
    <row r="37" spans="2:26">
      <c r="B37" s="247" t="s">
        <v>280</v>
      </c>
      <c r="C37" s="21">
        <f t="shared" si="35"/>
        <v>84</v>
      </c>
      <c r="D37" s="21">
        <f t="shared" si="35"/>
        <v>64</v>
      </c>
      <c r="E37" s="21">
        <f t="shared" si="35"/>
        <v>60</v>
      </c>
      <c r="F37" s="21">
        <f t="shared" si="35"/>
        <v>24</v>
      </c>
      <c r="G37" s="21">
        <f t="shared" si="35"/>
        <v>25</v>
      </c>
      <c r="H37" s="21">
        <f t="shared" si="35"/>
        <v>6</v>
      </c>
      <c r="I37" s="21">
        <f t="shared" si="35"/>
        <v>23</v>
      </c>
      <c r="J37" s="21">
        <f t="shared" si="35"/>
        <v>38</v>
      </c>
      <c r="K37" s="21">
        <f t="shared" si="35"/>
        <v>34</v>
      </c>
      <c r="L37" s="21"/>
      <c r="M37" s="21">
        <f t="shared" si="36"/>
        <v>7</v>
      </c>
      <c r="N37" s="21">
        <f t="shared" si="36"/>
        <v>17</v>
      </c>
      <c r="O37" s="21">
        <f t="shared" si="36"/>
        <v>12</v>
      </c>
      <c r="P37" s="21"/>
      <c r="Q37" s="21">
        <f t="shared" si="37"/>
        <v>11</v>
      </c>
      <c r="R37" s="21">
        <f t="shared" si="37"/>
        <v>7</v>
      </c>
      <c r="S37" s="21">
        <f t="shared" si="37"/>
        <v>7</v>
      </c>
      <c r="T37" s="21">
        <f t="shared" si="37"/>
        <v>6</v>
      </c>
      <c r="U37" s="21">
        <f t="shared" si="37"/>
        <v>3</v>
      </c>
      <c r="V37" s="21">
        <f t="shared" si="37"/>
        <v>1</v>
      </c>
      <c r="W37" s="21">
        <f t="shared" si="37"/>
        <v>1</v>
      </c>
      <c r="Y37" s="21">
        <f t="shared" si="33"/>
        <v>430</v>
      </c>
    </row>
    <row r="38" spans="2:26">
      <c r="C38" s="21"/>
      <c r="D38" s="21"/>
      <c r="E38" s="21"/>
      <c r="F38" s="21"/>
      <c r="G38" s="21"/>
      <c r="H38" s="21"/>
      <c r="I38" s="21"/>
      <c r="J38" s="21"/>
      <c r="K38" s="21"/>
      <c r="L38" s="246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Y38" s="21"/>
    </row>
    <row r="39" spans="2:26">
      <c r="B39" s="247" t="s">
        <v>99</v>
      </c>
      <c r="C39" s="21">
        <f t="shared" ref="C39:K39" si="38">INT(C12*0.9)</f>
        <v>438</v>
      </c>
      <c r="D39" s="21">
        <f t="shared" si="38"/>
        <v>368</v>
      </c>
      <c r="E39" s="21">
        <f t="shared" si="38"/>
        <v>560</v>
      </c>
      <c r="F39" s="21">
        <f t="shared" si="38"/>
        <v>233</v>
      </c>
      <c r="G39" s="21">
        <f t="shared" si="38"/>
        <v>213</v>
      </c>
      <c r="H39" s="21">
        <f t="shared" si="38"/>
        <v>228</v>
      </c>
      <c r="I39" s="21">
        <f t="shared" si="38"/>
        <v>666</v>
      </c>
      <c r="J39" s="21">
        <f t="shared" si="38"/>
        <v>421</v>
      </c>
      <c r="K39" s="21">
        <f t="shared" si="38"/>
        <v>438</v>
      </c>
      <c r="L39" s="21"/>
      <c r="M39" s="21">
        <f t="shared" ref="M39:O39" si="39">INT(M12*0.9)</f>
        <v>213</v>
      </c>
      <c r="N39" s="21">
        <f t="shared" si="39"/>
        <v>776</v>
      </c>
      <c r="O39" s="21">
        <f t="shared" si="39"/>
        <v>236</v>
      </c>
      <c r="P39" s="21"/>
      <c r="Q39" s="21">
        <f t="shared" ref="Q39:W39" si="40">INT(Q12*0.9)</f>
        <v>237</v>
      </c>
      <c r="R39" s="21">
        <f t="shared" si="40"/>
        <v>99</v>
      </c>
      <c r="S39" s="21">
        <f t="shared" si="40"/>
        <v>190</v>
      </c>
      <c r="T39" s="21">
        <f t="shared" si="40"/>
        <v>64</v>
      </c>
      <c r="U39" s="21">
        <f t="shared" si="40"/>
        <v>77</v>
      </c>
      <c r="V39" s="21">
        <f t="shared" si="40"/>
        <v>159</v>
      </c>
      <c r="W39" s="21">
        <f t="shared" si="40"/>
        <v>50</v>
      </c>
      <c r="Y39" s="21">
        <f t="shared" si="33"/>
        <v>5666</v>
      </c>
    </row>
    <row r="40" spans="2:26"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Y40" s="21">
        <f>SUM(Y31:Y39)</f>
        <v>111211.03465538495</v>
      </c>
      <c r="Z40" s="21">
        <f>Y13-Y40</f>
        <v>6871.0085297689657</v>
      </c>
    </row>
    <row r="41" spans="2:26">
      <c r="C41" s="21">
        <f>C14</f>
        <v>19</v>
      </c>
      <c r="D41" s="21">
        <f t="shared" ref="D41:W41" si="41">D14</f>
        <v>0</v>
      </c>
      <c r="E41" s="21">
        <f t="shared" si="41"/>
        <v>0</v>
      </c>
      <c r="F41" s="21">
        <f t="shared" si="41"/>
        <v>28</v>
      </c>
      <c r="G41" s="21">
        <f t="shared" si="41"/>
        <v>6</v>
      </c>
      <c r="H41" s="21">
        <f t="shared" si="41"/>
        <v>0</v>
      </c>
      <c r="I41" s="21">
        <f t="shared" si="41"/>
        <v>11</v>
      </c>
      <c r="J41" s="21">
        <f t="shared" si="41"/>
        <v>0</v>
      </c>
      <c r="K41" s="21">
        <f t="shared" si="41"/>
        <v>0</v>
      </c>
      <c r="L41" s="21">
        <f t="shared" si="41"/>
        <v>64</v>
      </c>
      <c r="M41" s="21">
        <f t="shared" si="41"/>
        <v>0</v>
      </c>
      <c r="N41" s="21">
        <f t="shared" si="41"/>
        <v>0</v>
      </c>
      <c r="O41" s="21">
        <f t="shared" si="41"/>
        <v>0</v>
      </c>
      <c r="P41" s="21">
        <f t="shared" si="41"/>
        <v>0</v>
      </c>
      <c r="Q41" s="21">
        <f t="shared" si="41"/>
        <v>0</v>
      </c>
      <c r="R41" s="21">
        <f t="shared" si="41"/>
        <v>0</v>
      </c>
      <c r="S41" s="21">
        <f t="shared" si="41"/>
        <v>0</v>
      </c>
      <c r="T41" s="21">
        <f t="shared" si="41"/>
        <v>0</v>
      </c>
      <c r="U41" s="21">
        <f t="shared" si="41"/>
        <v>0</v>
      </c>
      <c r="V41" s="21">
        <f t="shared" si="41"/>
        <v>0</v>
      </c>
      <c r="W41" s="21">
        <f t="shared" si="41"/>
        <v>0</v>
      </c>
    </row>
    <row r="42" spans="2:26">
      <c r="C42" s="21">
        <f t="shared" ref="C42:W42" si="42">C15</f>
        <v>0</v>
      </c>
      <c r="D42" s="21">
        <f t="shared" si="42"/>
        <v>15</v>
      </c>
      <c r="E42" s="21">
        <f t="shared" si="42"/>
        <v>0</v>
      </c>
      <c r="F42" s="21">
        <f t="shared" si="42"/>
        <v>0</v>
      </c>
      <c r="G42" s="21">
        <f t="shared" si="42"/>
        <v>0</v>
      </c>
      <c r="H42" s="21">
        <f t="shared" si="42"/>
        <v>0</v>
      </c>
      <c r="I42" s="21">
        <f t="shared" si="42"/>
        <v>0</v>
      </c>
      <c r="J42" s="21">
        <f t="shared" si="42"/>
        <v>0</v>
      </c>
      <c r="K42" s="21">
        <f t="shared" si="42"/>
        <v>0</v>
      </c>
      <c r="L42" s="21">
        <f t="shared" si="42"/>
        <v>15</v>
      </c>
      <c r="M42" s="21">
        <f t="shared" si="42"/>
        <v>0</v>
      </c>
      <c r="N42" s="21">
        <f t="shared" si="42"/>
        <v>0</v>
      </c>
      <c r="O42" s="21">
        <f t="shared" si="42"/>
        <v>0</v>
      </c>
      <c r="P42" s="21">
        <f t="shared" si="42"/>
        <v>0</v>
      </c>
      <c r="Q42" s="21">
        <f t="shared" si="42"/>
        <v>0</v>
      </c>
      <c r="R42" s="21">
        <f t="shared" si="42"/>
        <v>0</v>
      </c>
      <c r="S42" s="21">
        <f t="shared" si="42"/>
        <v>0</v>
      </c>
      <c r="T42" s="21">
        <f t="shared" si="42"/>
        <v>0</v>
      </c>
      <c r="U42" s="21">
        <f t="shared" si="42"/>
        <v>0</v>
      </c>
      <c r="V42" s="21">
        <f t="shared" si="42"/>
        <v>0</v>
      </c>
      <c r="W42" s="21">
        <f t="shared" si="42"/>
        <v>0</v>
      </c>
    </row>
    <row r="43" spans="2:26">
      <c r="C43" s="21">
        <f t="shared" ref="C43:W43" si="43">C16</f>
        <v>2580.3641509397262</v>
      </c>
      <c r="D43" s="21">
        <f t="shared" si="43"/>
        <v>0</v>
      </c>
      <c r="E43" s="21">
        <f t="shared" si="43"/>
        <v>2877</v>
      </c>
      <c r="F43" s="21">
        <f t="shared" si="43"/>
        <v>0</v>
      </c>
      <c r="G43" s="21">
        <f t="shared" si="43"/>
        <v>0</v>
      </c>
      <c r="H43" s="21">
        <f t="shared" si="43"/>
        <v>0</v>
      </c>
      <c r="I43" s="21">
        <f t="shared" si="43"/>
        <v>0</v>
      </c>
      <c r="J43" s="21">
        <f t="shared" si="43"/>
        <v>0</v>
      </c>
      <c r="K43" s="21">
        <f t="shared" si="43"/>
        <v>6977</v>
      </c>
      <c r="L43" s="21">
        <f t="shared" si="43"/>
        <v>12434.364150939726</v>
      </c>
      <c r="M43" s="21">
        <f t="shared" si="43"/>
        <v>0</v>
      </c>
      <c r="N43" s="21">
        <f t="shared" si="43"/>
        <v>0</v>
      </c>
      <c r="O43" s="21">
        <f t="shared" si="43"/>
        <v>1006</v>
      </c>
      <c r="P43" s="21">
        <f t="shared" si="43"/>
        <v>1006</v>
      </c>
      <c r="Q43" s="21">
        <f t="shared" si="43"/>
        <v>0</v>
      </c>
      <c r="R43" s="21">
        <f t="shared" si="43"/>
        <v>0</v>
      </c>
      <c r="S43" s="21">
        <f t="shared" si="43"/>
        <v>0</v>
      </c>
      <c r="T43" s="21">
        <f t="shared" si="43"/>
        <v>0</v>
      </c>
      <c r="U43" s="21">
        <f t="shared" si="43"/>
        <v>0</v>
      </c>
      <c r="V43" s="21">
        <f t="shared" si="43"/>
        <v>0</v>
      </c>
      <c r="W43" s="21">
        <f t="shared" si="43"/>
        <v>0</v>
      </c>
    </row>
    <row r="44" spans="2:26">
      <c r="C44" s="21">
        <f t="shared" ref="C44:W44" si="44">C17</f>
        <v>358.68545143846001</v>
      </c>
      <c r="D44" s="21">
        <f t="shared" si="44"/>
        <v>1174.4673149254504</v>
      </c>
      <c r="E44" s="21">
        <f t="shared" si="44"/>
        <v>1194.1965089508778</v>
      </c>
      <c r="F44" s="21">
        <f t="shared" si="44"/>
        <v>793.80992431720165</v>
      </c>
      <c r="G44" s="21">
        <f t="shared" si="44"/>
        <v>1271.4496526383896</v>
      </c>
      <c r="H44" s="21">
        <f t="shared" si="44"/>
        <v>313.33441734853983</v>
      </c>
      <c r="I44" s="21">
        <f t="shared" si="44"/>
        <v>180</v>
      </c>
      <c r="J44" s="21">
        <f t="shared" si="44"/>
        <v>1745</v>
      </c>
      <c r="K44" s="21">
        <f t="shared" si="44"/>
        <v>706</v>
      </c>
      <c r="L44" s="21">
        <f t="shared" si="44"/>
        <v>7736.9432696189197</v>
      </c>
      <c r="M44" s="21">
        <f t="shared" si="44"/>
        <v>180</v>
      </c>
      <c r="N44" s="21">
        <f t="shared" si="44"/>
        <v>1664.9560429878618</v>
      </c>
      <c r="O44" s="21">
        <f t="shared" si="44"/>
        <v>1499.4004773303036</v>
      </c>
      <c r="P44" s="21">
        <f t="shared" si="44"/>
        <v>3344.3565203181652</v>
      </c>
      <c r="Q44" s="21">
        <f t="shared" si="44"/>
        <v>1029.6142241481093</v>
      </c>
      <c r="R44" s="21">
        <f t="shared" si="44"/>
        <v>1277.4425931990768</v>
      </c>
      <c r="S44" s="21">
        <f t="shared" si="44"/>
        <v>625.20338556039462</v>
      </c>
      <c r="T44" s="21">
        <f t="shared" si="44"/>
        <v>1039.7526574274673</v>
      </c>
      <c r="U44" s="21">
        <f t="shared" si="44"/>
        <v>84.48694399464793</v>
      </c>
      <c r="V44" s="21">
        <f t="shared" si="44"/>
        <v>88.992914341029149</v>
      </c>
      <c r="W44" s="21">
        <f t="shared" si="44"/>
        <v>10.138433279357752</v>
      </c>
    </row>
    <row r="45" spans="2:26">
      <c r="C45" s="21">
        <f t="shared" ref="C45:W45" si="45">C18</f>
        <v>2939.0496023781861</v>
      </c>
      <c r="D45" s="21">
        <f t="shared" si="45"/>
        <v>1174.4673149254504</v>
      </c>
      <c r="E45" s="21">
        <f t="shared" si="45"/>
        <v>4071.1965089508776</v>
      </c>
      <c r="F45" s="21">
        <f t="shared" si="45"/>
        <v>793.80992431720165</v>
      </c>
      <c r="G45" s="21">
        <f t="shared" si="45"/>
        <v>1271.4496526383896</v>
      </c>
      <c r="H45" s="21">
        <f t="shared" si="45"/>
        <v>313.33441734853983</v>
      </c>
      <c r="I45" s="21">
        <f t="shared" si="45"/>
        <v>180</v>
      </c>
      <c r="J45" s="21">
        <f t="shared" si="45"/>
        <v>1745</v>
      </c>
      <c r="K45" s="21">
        <f t="shared" si="45"/>
        <v>7683</v>
      </c>
      <c r="L45" s="21">
        <f t="shared" si="45"/>
        <v>20171.307420558645</v>
      </c>
      <c r="M45" s="21">
        <f t="shared" si="45"/>
        <v>180</v>
      </c>
      <c r="N45" s="21">
        <f t="shared" si="45"/>
        <v>1664.9560429878618</v>
      </c>
      <c r="O45" s="21">
        <f t="shared" si="45"/>
        <v>2505.4004773303036</v>
      </c>
      <c r="P45" s="21">
        <f t="shared" si="45"/>
        <v>4350.3565203181652</v>
      </c>
      <c r="Q45" s="21">
        <f t="shared" si="45"/>
        <v>1029.6142241481093</v>
      </c>
      <c r="R45" s="21">
        <f t="shared" si="45"/>
        <v>1277.4425931990768</v>
      </c>
      <c r="S45" s="21">
        <f t="shared" si="45"/>
        <v>625.20338556039462</v>
      </c>
      <c r="T45" s="21">
        <f t="shared" si="45"/>
        <v>1039.7526574274673</v>
      </c>
      <c r="U45" s="21">
        <f t="shared" si="45"/>
        <v>84.48694399464793</v>
      </c>
      <c r="V45" s="21">
        <f t="shared" si="45"/>
        <v>88.992914341029149</v>
      </c>
      <c r="W45" s="21">
        <f t="shared" si="45"/>
        <v>10.138433279357752</v>
      </c>
    </row>
    <row r="46" spans="2:26">
      <c r="C46" s="21">
        <f t="shared" ref="C46:W46" si="46">C19</f>
        <v>0</v>
      </c>
      <c r="D46" s="21">
        <f t="shared" si="46"/>
        <v>0</v>
      </c>
      <c r="E46" s="21">
        <f t="shared" si="46"/>
        <v>0</v>
      </c>
      <c r="F46" s="21">
        <f t="shared" si="46"/>
        <v>0</v>
      </c>
      <c r="G46" s="21">
        <f t="shared" si="46"/>
        <v>0</v>
      </c>
      <c r="H46" s="21">
        <f t="shared" si="46"/>
        <v>0</v>
      </c>
      <c r="I46" s="21">
        <f t="shared" si="46"/>
        <v>0</v>
      </c>
      <c r="J46" s="21">
        <f t="shared" si="46"/>
        <v>0</v>
      </c>
      <c r="K46" s="21">
        <f t="shared" si="46"/>
        <v>0</v>
      </c>
      <c r="L46" s="21">
        <f t="shared" si="46"/>
        <v>0</v>
      </c>
      <c r="M46" s="21">
        <f t="shared" si="46"/>
        <v>0</v>
      </c>
      <c r="N46" s="21">
        <f t="shared" si="46"/>
        <v>0</v>
      </c>
      <c r="O46" s="21">
        <f t="shared" si="46"/>
        <v>0</v>
      </c>
      <c r="P46" s="21">
        <f t="shared" si="46"/>
        <v>0</v>
      </c>
      <c r="Q46" s="21">
        <f t="shared" si="46"/>
        <v>0</v>
      </c>
      <c r="R46" s="21">
        <f t="shared" si="46"/>
        <v>0</v>
      </c>
      <c r="S46" s="21">
        <f t="shared" si="46"/>
        <v>0</v>
      </c>
      <c r="T46" s="21">
        <f t="shared" si="46"/>
        <v>0</v>
      </c>
      <c r="U46" s="21">
        <f t="shared" si="46"/>
        <v>0</v>
      </c>
      <c r="V46" s="21">
        <f t="shared" si="46"/>
        <v>0</v>
      </c>
      <c r="W46" s="21">
        <f t="shared" si="46"/>
        <v>0</v>
      </c>
    </row>
    <row r="47" spans="2:26">
      <c r="C47" s="21">
        <f t="shared" ref="C47:W47" si="47">C20</f>
        <v>13</v>
      </c>
      <c r="D47" s="21">
        <f t="shared" si="47"/>
        <v>76</v>
      </c>
      <c r="E47" s="21">
        <f t="shared" si="47"/>
        <v>458.3659490284349</v>
      </c>
      <c r="F47" s="21">
        <f t="shared" si="47"/>
        <v>13</v>
      </c>
      <c r="G47" s="21">
        <f t="shared" si="47"/>
        <v>37</v>
      </c>
      <c r="H47" s="21">
        <f t="shared" si="47"/>
        <v>19</v>
      </c>
      <c r="I47" s="21">
        <f t="shared" si="47"/>
        <v>4</v>
      </c>
      <c r="J47" s="21">
        <f t="shared" si="47"/>
        <v>102</v>
      </c>
      <c r="K47" s="21">
        <f t="shared" si="47"/>
        <v>6</v>
      </c>
      <c r="L47" s="21">
        <f t="shared" si="47"/>
        <v>728.3659490284349</v>
      </c>
      <c r="M47" s="21">
        <f t="shared" si="47"/>
        <v>150</v>
      </c>
      <c r="N47" s="21">
        <f t="shared" si="47"/>
        <v>82.456425618036789</v>
      </c>
      <c r="O47" s="21">
        <f t="shared" si="47"/>
        <v>30</v>
      </c>
      <c r="P47" s="21">
        <f t="shared" si="47"/>
        <v>262.4564256180368</v>
      </c>
      <c r="Q47" s="21">
        <f t="shared" si="47"/>
        <v>0</v>
      </c>
      <c r="R47" s="21">
        <f t="shared" si="47"/>
        <v>21</v>
      </c>
      <c r="S47" s="21">
        <f t="shared" si="47"/>
        <v>0</v>
      </c>
      <c r="T47" s="21">
        <f t="shared" si="47"/>
        <v>0</v>
      </c>
      <c r="U47" s="21">
        <f t="shared" si="47"/>
        <v>0</v>
      </c>
      <c r="V47" s="21">
        <f t="shared" si="47"/>
        <v>0</v>
      </c>
      <c r="W47" s="21">
        <f t="shared" si="47"/>
        <v>0</v>
      </c>
    </row>
    <row r="48" spans="2:26">
      <c r="C48" s="21">
        <f t="shared" ref="C48:W48" si="48">C21</f>
        <v>0</v>
      </c>
      <c r="D48" s="21">
        <f t="shared" si="48"/>
        <v>17618</v>
      </c>
      <c r="E48" s="21">
        <f t="shared" si="48"/>
        <v>0</v>
      </c>
      <c r="F48" s="21">
        <f t="shared" si="48"/>
        <v>5221</v>
      </c>
      <c r="G48" s="21">
        <f t="shared" si="48"/>
        <v>0</v>
      </c>
      <c r="H48" s="21">
        <f t="shared" si="48"/>
        <v>0</v>
      </c>
      <c r="I48" s="21">
        <f t="shared" si="48"/>
        <v>12273</v>
      </c>
      <c r="J48" s="21">
        <f t="shared" si="48"/>
        <v>0</v>
      </c>
      <c r="K48" s="21">
        <f t="shared" si="48"/>
        <v>0</v>
      </c>
      <c r="L48" s="21">
        <f t="shared" si="48"/>
        <v>35112</v>
      </c>
      <c r="M48" s="21">
        <f t="shared" si="48"/>
        <v>0</v>
      </c>
      <c r="N48" s="21">
        <f t="shared" si="48"/>
        <v>0</v>
      </c>
      <c r="O48" s="21">
        <f t="shared" si="48"/>
        <v>0</v>
      </c>
      <c r="P48" s="21">
        <f t="shared" si="48"/>
        <v>0</v>
      </c>
      <c r="Q48" s="21">
        <f t="shared" si="48"/>
        <v>0</v>
      </c>
      <c r="R48" s="21">
        <f t="shared" si="48"/>
        <v>0</v>
      </c>
      <c r="S48" s="21">
        <f t="shared" si="48"/>
        <v>0</v>
      </c>
      <c r="T48" s="21">
        <f t="shared" si="48"/>
        <v>0</v>
      </c>
      <c r="U48" s="21">
        <f t="shared" si="48"/>
        <v>0</v>
      </c>
      <c r="V48" s="21">
        <f t="shared" si="48"/>
        <v>0</v>
      </c>
      <c r="W48" s="21">
        <f t="shared" si="48"/>
        <v>0</v>
      </c>
    </row>
    <row r="49" spans="3:23">
      <c r="C49" s="21">
        <f t="shared" ref="C49:W49" si="49">C22</f>
        <v>363</v>
      </c>
      <c r="D49" s="21">
        <f t="shared" si="49"/>
        <v>1151.2564984249473</v>
      </c>
      <c r="E49" s="21">
        <f t="shared" si="49"/>
        <v>18</v>
      </c>
      <c r="F49" s="21">
        <f t="shared" si="49"/>
        <v>170</v>
      </c>
      <c r="G49" s="21">
        <f t="shared" si="49"/>
        <v>180</v>
      </c>
      <c r="H49" s="21">
        <f t="shared" si="49"/>
        <v>50</v>
      </c>
      <c r="I49" s="21">
        <f t="shared" si="49"/>
        <v>157</v>
      </c>
      <c r="J49" s="21">
        <f t="shared" si="49"/>
        <v>386</v>
      </c>
      <c r="K49" s="21">
        <f t="shared" si="49"/>
        <v>386</v>
      </c>
      <c r="L49" s="21">
        <f t="shared" si="49"/>
        <v>2861.2564984249475</v>
      </c>
      <c r="M49" s="21">
        <f t="shared" si="49"/>
        <v>234.46203307362737</v>
      </c>
      <c r="N49" s="21">
        <f t="shared" si="49"/>
        <v>386</v>
      </c>
      <c r="O49" s="21">
        <f t="shared" si="49"/>
        <v>107</v>
      </c>
      <c r="P49" s="21">
        <f t="shared" si="49"/>
        <v>727.46203307362737</v>
      </c>
      <c r="Q49" s="21">
        <f t="shared" si="49"/>
        <v>29</v>
      </c>
      <c r="R49" s="21">
        <f t="shared" si="49"/>
        <v>0</v>
      </c>
      <c r="S49" s="21">
        <f t="shared" si="49"/>
        <v>0</v>
      </c>
      <c r="T49" s="21">
        <f t="shared" si="49"/>
        <v>0</v>
      </c>
      <c r="U49" s="21">
        <f t="shared" si="49"/>
        <v>0</v>
      </c>
      <c r="V49" s="21">
        <f t="shared" si="49"/>
        <v>0</v>
      </c>
      <c r="W49" s="21">
        <f t="shared" si="49"/>
        <v>0</v>
      </c>
    </row>
    <row r="50" spans="3:23">
      <c r="C50" s="21">
        <f t="shared" ref="C50:W50" si="50">C23</f>
        <v>2</v>
      </c>
      <c r="D50" s="21">
        <f t="shared" si="50"/>
        <v>107</v>
      </c>
      <c r="E50" s="21">
        <f t="shared" si="50"/>
        <v>126</v>
      </c>
      <c r="F50" s="21">
        <f t="shared" si="50"/>
        <v>13</v>
      </c>
      <c r="G50" s="21">
        <f t="shared" si="50"/>
        <v>54</v>
      </c>
      <c r="H50" s="21">
        <f t="shared" si="50"/>
        <v>20</v>
      </c>
      <c r="I50" s="21">
        <f t="shared" si="50"/>
        <v>91</v>
      </c>
      <c r="J50" s="21">
        <f t="shared" si="50"/>
        <v>84</v>
      </c>
      <c r="K50" s="21">
        <f t="shared" si="50"/>
        <v>84</v>
      </c>
      <c r="L50" s="21">
        <f t="shared" si="50"/>
        <v>581</v>
      </c>
      <c r="M50" s="21">
        <f t="shared" si="50"/>
        <v>44</v>
      </c>
      <c r="N50" s="21">
        <f t="shared" si="50"/>
        <v>84</v>
      </c>
      <c r="O50" s="21">
        <f t="shared" si="50"/>
        <v>47</v>
      </c>
      <c r="P50" s="21">
        <f t="shared" si="50"/>
        <v>175</v>
      </c>
      <c r="Q50" s="21">
        <f t="shared" si="50"/>
        <v>0</v>
      </c>
      <c r="R50" s="21">
        <f t="shared" si="50"/>
        <v>10</v>
      </c>
      <c r="S50" s="21">
        <f t="shared" si="50"/>
        <v>0</v>
      </c>
      <c r="T50" s="21">
        <f t="shared" si="50"/>
        <v>0</v>
      </c>
      <c r="U50" s="21">
        <f t="shared" si="50"/>
        <v>0</v>
      </c>
      <c r="V50" s="21">
        <f t="shared" si="50"/>
        <v>0</v>
      </c>
      <c r="W50" s="21">
        <f t="shared" si="50"/>
        <v>0</v>
      </c>
    </row>
    <row r="51" spans="3:23">
      <c r="C51" s="21">
        <f t="shared" ref="C51:W51" si="51">C24</f>
        <v>365</v>
      </c>
      <c r="D51" s="21">
        <f t="shared" si="51"/>
        <v>18876.256498424947</v>
      </c>
      <c r="E51" s="21">
        <f t="shared" si="51"/>
        <v>144</v>
      </c>
      <c r="F51" s="21">
        <f t="shared" si="51"/>
        <v>5404</v>
      </c>
      <c r="G51" s="21">
        <f t="shared" si="51"/>
        <v>234</v>
      </c>
      <c r="H51" s="21">
        <f t="shared" si="51"/>
        <v>70</v>
      </c>
      <c r="I51" s="21">
        <f t="shared" si="51"/>
        <v>12521</v>
      </c>
      <c r="J51" s="21">
        <f t="shared" si="51"/>
        <v>470</v>
      </c>
      <c r="K51" s="21">
        <f t="shared" si="51"/>
        <v>470</v>
      </c>
      <c r="L51" s="21">
        <f t="shared" si="51"/>
        <v>38554.256498424947</v>
      </c>
      <c r="M51" s="21">
        <f t="shared" si="51"/>
        <v>278.46203307362737</v>
      </c>
      <c r="N51" s="21">
        <f t="shared" si="51"/>
        <v>470</v>
      </c>
      <c r="O51" s="21">
        <f t="shared" si="51"/>
        <v>154</v>
      </c>
      <c r="P51" s="21">
        <f t="shared" si="51"/>
        <v>902.46203307362737</v>
      </c>
      <c r="Q51" s="21">
        <f t="shared" si="51"/>
        <v>29</v>
      </c>
      <c r="R51" s="21">
        <f t="shared" si="51"/>
        <v>10</v>
      </c>
      <c r="S51" s="21">
        <f t="shared" si="51"/>
        <v>0</v>
      </c>
      <c r="T51" s="21">
        <f t="shared" si="51"/>
        <v>0</v>
      </c>
      <c r="U51" s="21">
        <f t="shared" si="51"/>
        <v>0</v>
      </c>
      <c r="V51" s="21">
        <f t="shared" si="51"/>
        <v>0</v>
      </c>
      <c r="W51" s="21">
        <f t="shared" si="51"/>
        <v>0</v>
      </c>
    </row>
    <row r="52" spans="3:23">
      <c r="C52" s="21">
        <f>C25</f>
        <v>3336.0496023781861</v>
      </c>
      <c r="D52" s="21">
        <f t="shared" ref="D52:W52" si="52">D25</f>
        <v>20141.7238133504</v>
      </c>
      <c r="E52" s="21">
        <f t="shared" si="52"/>
        <v>4673.562457979313</v>
      </c>
      <c r="F52" s="21">
        <f t="shared" si="52"/>
        <v>6238.8099243172019</v>
      </c>
      <c r="G52" s="21">
        <f t="shared" si="52"/>
        <v>1548.4496526383896</v>
      </c>
      <c r="H52" s="21">
        <f t="shared" si="52"/>
        <v>402.33441734853983</v>
      </c>
      <c r="I52" s="21">
        <f t="shared" si="52"/>
        <v>12716</v>
      </c>
      <c r="J52" s="21">
        <f t="shared" si="52"/>
        <v>2317</v>
      </c>
      <c r="K52" s="21">
        <f t="shared" si="52"/>
        <v>8159</v>
      </c>
      <c r="L52" s="21">
        <f t="shared" si="52"/>
        <v>59532.929868012026</v>
      </c>
      <c r="M52" s="21">
        <f t="shared" si="52"/>
        <v>608.46203307362737</v>
      </c>
      <c r="N52" s="21">
        <f t="shared" si="52"/>
        <v>2217.4124686058985</v>
      </c>
      <c r="O52" s="21">
        <f t="shared" si="52"/>
        <v>2689.4004773303036</v>
      </c>
      <c r="P52" s="21">
        <f t="shared" si="52"/>
        <v>5515.2749790098287</v>
      </c>
      <c r="Q52" s="21">
        <f t="shared" si="52"/>
        <v>1058.6142241481093</v>
      </c>
      <c r="R52" s="21">
        <f t="shared" si="52"/>
        <v>1308.4425931990768</v>
      </c>
      <c r="S52" s="21">
        <f t="shared" si="52"/>
        <v>625.20338556039462</v>
      </c>
      <c r="T52" s="21">
        <f t="shared" si="52"/>
        <v>1039.7526574274673</v>
      </c>
      <c r="U52" s="21">
        <f t="shared" si="52"/>
        <v>84.48694399464793</v>
      </c>
      <c r="V52" s="21">
        <f t="shared" si="52"/>
        <v>88.992914341029149</v>
      </c>
      <c r="W52" s="21">
        <f t="shared" si="52"/>
        <v>10.138433279357752</v>
      </c>
    </row>
    <row r="53" spans="3:23">
      <c r="C53" s="21">
        <f t="shared" ref="C53:W53" si="53">C26</f>
        <v>1282.6477658405865</v>
      </c>
      <c r="D53" s="21">
        <f t="shared" si="53"/>
        <v>375.23856505209159</v>
      </c>
      <c r="E53" s="21">
        <f t="shared" si="53"/>
        <v>476.23445212615354</v>
      </c>
      <c r="F53" s="21">
        <f t="shared" si="53"/>
        <v>153.15859798044559</v>
      </c>
      <c r="G53" s="21">
        <f t="shared" si="53"/>
        <v>1551.5631882366877</v>
      </c>
      <c r="H53" s="21">
        <f t="shared" si="53"/>
        <v>786.88004324736153</v>
      </c>
      <c r="I53" s="21">
        <f t="shared" si="53"/>
        <v>2.2196898258035582</v>
      </c>
      <c r="J53" s="21">
        <f t="shared" si="53"/>
        <v>709.19089934423721</v>
      </c>
      <c r="K53" s="21">
        <f t="shared" si="53"/>
        <v>3292.9098565795794</v>
      </c>
      <c r="L53" s="21">
        <f t="shared" si="53"/>
        <v>8630.0430582329464</v>
      </c>
      <c r="M53" s="21">
        <f t="shared" si="53"/>
        <v>47.723331254776518</v>
      </c>
      <c r="N53" s="21">
        <f t="shared" si="53"/>
        <v>589.32764875084501</v>
      </c>
      <c r="O53" s="21">
        <f t="shared" si="53"/>
        <v>1387.306141127224</v>
      </c>
      <c r="P53" s="21">
        <f t="shared" si="53"/>
        <v>2024.3571211328456</v>
      </c>
      <c r="Q53" s="21">
        <f t="shared" si="53"/>
        <v>1156.862973251313</v>
      </c>
      <c r="R53" s="21">
        <f t="shared" si="53"/>
        <v>767.59717128773332</v>
      </c>
      <c r="S53" s="21">
        <f t="shared" si="53"/>
        <v>598.11346537662394</v>
      </c>
      <c r="T53" s="21">
        <f t="shared" si="53"/>
        <v>0</v>
      </c>
      <c r="U53" s="21">
        <f t="shared" si="53"/>
        <v>0</v>
      </c>
      <c r="V53" s="21">
        <f t="shared" si="53"/>
        <v>286.48213515297164</v>
      </c>
      <c r="W53" s="21">
        <f t="shared" si="53"/>
        <v>0</v>
      </c>
    </row>
    <row r="54" spans="3:23">
      <c r="C54" s="21">
        <f t="shared" ref="C54:W54" si="54">C27</f>
        <v>0</v>
      </c>
      <c r="D54" s="21">
        <f t="shared" si="54"/>
        <v>0</v>
      </c>
      <c r="E54" s="21">
        <f t="shared" si="54"/>
        <v>0</v>
      </c>
      <c r="F54" s="21">
        <f t="shared" si="54"/>
        <v>0</v>
      </c>
      <c r="G54" s="21">
        <f t="shared" si="54"/>
        <v>0</v>
      </c>
      <c r="H54" s="21">
        <f t="shared" si="54"/>
        <v>0</v>
      </c>
      <c r="I54" s="21">
        <f t="shared" si="54"/>
        <v>0</v>
      </c>
      <c r="J54" s="21">
        <f t="shared" si="54"/>
        <v>0</v>
      </c>
      <c r="K54" s="21">
        <f t="shared" si="54"/>
        <v>0</v>
      </c>
      <c r="L54" s="21">
        <f t="shared" si="54"/>
        <v>0</v>
      </c>
      <c r="M54" s="21">
        <f t="shared" si="54"/>
        <v>0</v>
      </c>
      <c r="N54" s="21">
        <f t="shared" si="54"/>
        <v>0</v>
      </c>
      <c r="O54" s="21">
        <f t="shared" si="54"/>
        <v>0</v>
      </c>
      <c r="P54" s="21">
        <f t="shared" si="54"/>
        <v>0</v>
      </c>
      <c r="Q54" s="21">
        <f t="shared" si="54"/>
        <v>0</v>
      </c>
      <c r="R54" s="21">
        <f t="shared" si="54"/>
        <v>0</v>
      </c>
      <c r="S54" s="21">
        <f t="shared" si="54"/>
        <v>0</v>
      </c>
      <c r="T54" s="21">
        <f t="shared" si="54"/>
        <v>0</v>
      </c>
      <c r="U54" s="21">
        <f t="shared" si="54"/>
        <v>0</v>
      </c>
      <c r="V54" s="21">
        <f t="shared" si="54"/>
        <v>0</v>
      </c>
      <c r="W54" s="21">
        <f t="shared" si="54"/>
        <v>0</v>
      </c>
    </row>
    <row r="55" spans="3:23">
      <c r="C55" s="21">
        <f t="shared" ref="C55:W55" si="55">C28</f>
        <v>0</v>
      </c>
      <c r="D55" s="21">
        <f t="shared" si="55"/>
        <v>0</v>
      </c>
      <c r="E55" s="21">
        <f t="shared" si="55"/>
        <v>0</v>
      </c>
      <c r="F55" s="21">
        <f t="shared" si="55"/>
        <v>0</v>
      </c>
      <c r="G55" s="21">
        <f t="shared" si="55"/>
        <v>0</v>
      </c>
      <c r="H55" s="21">
        <f t="shared" si="55"/>
        <v>0</v>
      </c>
      <c r="I55" s="21">
        <f t="shared" si="55"/>
        <v>0</v>
      </c>
      <c r="J55" s="21">
        <f t="shared" si="55"/>
        <v>0</v>
      </c>
      <c r="K55" s="21">
        <f t="shared" si="55"/>
        <v>0</v>
      </c>
      <c r="L55" s="21">
        <f t="shared" si="55"/>
        <v>0</v>
      </c>
      <c r="M55" s="21">
        <f t="shared" si="55"/>
        <v>0</v>
      </c>
      <c r="N55" s="21">
        <f t="shared" si="55"/>
        <v>0</v>
      </c>
      <c r="O55" s="21">
        <f t="shared" si="55"/>
        <v>0</v>
      </c>
      <c r="P55" s="21">
        <f t="shared" si="55"/>
        <v>0</v>
      </c>
      <c r="Q55" s="21">
        <f t="shared" si="55"/>
        <v>0</v>
      </c>
      <c r="R55" s="21">
        <f t="shared" si="55"/>
        <v>0</v>
      </c>
      <c r="S55" s="21">
        <f t="shared" si="55"/>
        <v>0</v>
      </c>
      <c r="T55" s="21">
        <f t="shared" si="55"/>
        <v>0</v>
      </c>
      <c r="U55" s="21">
        <f t="shared" si="55"/>
        <v>0</v>
      </c>
      <c r="V55" s="21">
        <f t="shared" si="55"/>
        <v>0</v>
      </c>
      <c r="W55" s="21">
        <f t="shared" si="55"/>
        <v>0</v>
      </c>
    </row>
    <row r="56" spans="3:23">
      <c r="C56" s="21">
        <f t="shared" ref="C56:W56" si="56">C29</f>
        <v>0</v>
      </c>
      <c r="D56" s="21">
        <f t="shared" si="56"/>
        <v>0</v>
      </c>
      <c r="E56" s="21">
        <f t="shared" si="56"/>
        <v>0</v>
      </c>
      <c r="F56" s="21">
        <f t="shared" si="56"/>
        <v>0</v>
      </c>
      <c r="G56" s="21">
        <f t="shared" si="56"/>
        <v>0</v>
      </c>
      <c r="H56" s="21">
        <f t="shared" si="56"/>
        <v>0</v>
      </c>
      <c r="I56" s="21">
        <f t="shared" si="56"/>
        <v>0</v>
      </c>
      <c r="J56" s="21">
        <f t="shared" si="56"/>
        <v>0</v>
      </c>
      <c r="K56" s="21">
        <f t="shared" si="56"/>
        <v>0</v>
      </c>
      <c r="L56" s="21">
        <f t="shared" si="56"/>
        <v>0</v>
      </c>
      <c r="M56" s="21">
        <f t="shared" si="56"/>
        <v>0</v>
      </c>
      <c r="N56" s="21">
        <f t="shared" si="56"/>
        <v>0</v>
      </c>
      <c r="O56" s="21">
        <f t="shared" si="56"/>
        <v>0</v>
      </c>
      <c r="P56" s="21">
        <f t="shared" si="56"/>
        <v>0</v>
      </c>
      <c r="Q56" s="21">
        <f t="shared" si="56"/>
        <v>0</v>
      </c>
      <c r="R56" s="21">
        <f t="shared" si="56"/>
        <v>0</v>
      </c>
      <c r="S56" s="21">
        <f t="shared" si="56"/>
        <v>0</v>
      </c>
      <c r="T56" s="21">
        <f t="shared" si="56"/>
        <v>0</v>
      </c>
      <c r="U56" s="21">
        <f t="shared" si="56"/>
        <v>0</v>
      </c>
      <c r="V56" s="21">
        <f t="shared" si="56"/>
        <v>0</v>
      </c>
      <c r="W56" s="21">
        <f t="shared" si="56"/>
        <v>0</v>
      </c>
    </row>
  </sheetData>
  <mergeCells count="9">
    <mergeCell ref="A20:B20"/>
    <mergeCell ref="A21:A24"/>
    <mergeCell ref="A25:B25"/>
    <mergeCell ref="A3:B3"/>
    <mergeCell ref="A4:A11"/>
    <mergeCell ref="A13:B13"/>
    <mergeCell ref="A14:B14"/>
    <mergeCell ref="A15:B15"/>
    <mergeCell ref="A16:A18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2:Z56"/>
  <sheetViews>
    <sheetView zoomScale="85" zoomScaleNormal="85" workbookViewId="0">
      <pane xSplit="2" ySplit="3" topLeftCell="C22" activePane="bottomRight" state="frozen"/>
      <selection activeCell="B46" sqref="B46"/>
      <selection pane="topRight" activeCell="B46" sqref="B46"/>
      <selection pane="bottomLeft" activeCell="B46" sqref="B46"/>
      <selection pane="bottomRight" activeCell="C31" sqref="C31:W53"/>
    </sheetView>
  </sheetViews>
  <sheetFormatPr defaultRowHeight="16.899999999999999"/>
  <cols>
    <col min="1" max="1" width="17.375" customWidth="1"/>
    <col min="2" max="2" width="19.25" bestFit="1" customWidth="1"/>
    <col min="25" max="25" width="12.125" customWidth="1"/>
  </cols>
  <sheetData>
    <row r="2" spans="1:25">
      <c r="Y2" t="s">
        <v>77</v>
      </c>
    </row>
    <row r="3" spans="1:25">
      <c r="A3" s="264" t="s">
        <v>266</v>
      </c>
      <c r="B3" s="264"/>
      <c r="C3" s="88" t="s">
        <v>0</v>
      </c>
      <c r="D3" s="88" t="s">
        <v>18</v>
      </c>
      <c r="E3" s="88" t="s">
        <v>19</v>
      </c>
      <c r="F3" s="88" t="s">
        <v>3</v>
      </c>
      <c r="G3" s="88" t="s">
        <v>5</v>
      </c>
      <c r="H3" s="88" t="s">
        <v>20</v>
      </c>
      <c r="I3" s="88" t="s">
        <v>7</v>
      </c>
      <c r="J3" s="88" t="s">
        <v>22</v>
      </c>
      <c r="K3" s="88" t="s">
        <v>23</v>
      </c>
      <c r="L3" s="88" t="s">
        <v>85</v>
      </c>
      <c r="M3" s="88" t="s">
        <v>21</v>
      </c>
      <c r="N3" s="88" t="s">
        <v>24</v>
      </c>
      <c r="O3" s="88" t="s">
        <v>25</v>
      </c>
      <c r="P3" s="88" t="s">
        <v>85</v>
      </c>
      <c r="Q3" s="88" t="s">
        <v>26</v>
      </c>
      <c r="R3" s="88" t="s">
        <v>27</v>
      </c>
      <c r="S3" s="88" t="s">
        <v>28</v>
      </c>
      <c r="T3" s="88" t="s">
        <v>29</v>
      </c>
      <c r="U3" s="88" t="s">
        <v>30</v>
      </c>
      <c r="V3" s="88" t="s">
        <v>31</v>
      </c>
      <c r="W3" s="88" t="s">
        <v>32</v>
      </c>
      <c r="X3" s="88" t="s">
        <v>17</v>
      </c>
      <c r="Y3" s="88" t="s">
        <v>41</v>
      </c>
    </row>
    <row r="4" spans="1:25">
      <c r="A4" s="265" t="s">
        <v>93</v>
      </c>
      <c r="B4" s="146" t="s">
        <v>33</v>
      </c>
      <c r="C4" s="90">
        <f>동탄!K6</f>
        <v>1071.2944498521358</v>
      </c>
      <c r="D4" s="90">
        <f>화성!K6</f>
        <v>413.42277928047719</v>
      </c>
      <c r="E4" s="90">
        <f>파주!K6</f>
        <v>892.18212858348215</v>
      </c>
      <c r="F4" s="90">
        <f>광교!K6</f>
        <v>49.565673810193452</v>
      </c>
      <c r="G4" s="90">
        <f>판교!K6</f>
        <v>344.70673149816355</v>
      </c>
      <c r="H4" s="90">
        <f>삼송!K6</f>
        <v>323.30337235285276</v>
      </c>
      <c r="I4" s="90">
        <f>양산!K6</f>
        <v>183.61829161503482</v>
      </c>
      <c r="J4" s="90">
        <f>대구!K6</f>
        <v>3.3794777597859174</v>
      </c>
      <c r="K4" s="90">
        <f>청주!K6</f>
        <v>33.794777597859174</v>
      </c>
      <c r="L4" s="91">
        <f>SUM(C4:K4)</f>
        <v>3315.2676823499851</v>
      </c>
      <c r="M4" s="90">
        <f>수원!K6</f>
        <v>344.70673149816366</v>
      </c>
      <c r="N4" s="90">
        <f>광주전남!K6</f>
        <v>269.23172819627808</v>
      </c>
      <c r="O4" s="90">
        <f>강남!K6</f>
        <v>181.36530644184421</v>
      </c>
      <c r="P4" s="91">
        <f t="shared" ref="P4:P24" si="0">SUM(M4:O4)</f>
        <v>795.30376613628596</v>
      </c>
      <c r="Q4" s="90">
        <f>중앙!K6</f>
        <v>233.18396542522828</v>
      </c>
      <c r="R4" s="90">
        <f>고양!K6</f>
        <v>119.4082141791024</v>
      </c>
      <c r="S4" s="90">
        <f>용인!K6</f>
        <v>96.878362447196295</v>
      </c>
      <c r="T4" s="90">
        <f>분당!K6</f>
        <v>45.059703463812227</v>
      </c>
      <c r="U4" s="90">
        <f>세종!K6</f>
        <v>36.047762771049783</v>
      </c>
      <c r="V4" s="90">
        <f>김해!K6</f>
        <v>168.97388798929586</v>
      </c>
      <c r="W4" s="90">
        <f>평택!K6</f>
        <v>0</v>
      </c>
      <c r="X4" s="91">
        <f t="shared" ref="X4:X24" si="1">SUM(Q4:W4)</f>
        <v>699.55189627568484</v>
      </c>
      <c r="Y4" s="92">
        <f>L4+P4+X4</f>
        <v>4810.1233447619561</v>
      </c>
    </row>
    <row r="5" spans="1:25">
      <c r="A5" s="265"/>
      <c r="B5" s="146" t="s">
        <v>95</v>
      </c>
      <c r="C5" s="90">
        <f>동탄!K7</f>
        <v>4948.5918135062493</v>
      </c>
      <c r="D5" s="90">
        <f>화성!K7</f>
        <v>1489.7402416410705</v>
      </c>
      <c r="E5" s="90">
        <f>파주!K7</f>
        <v>4529.6266906997243</v>
      </c>
      <c r="F5" s="90">
        <f>광교!K7</f>
        <v>1071.9335330344784</v>
      </c>
      <c r="G5" s="90">
        <f>판교!K7</f>
        <v>959.76726229579788</v>
      </c>
      <c r="H5" s="90">
        <f>삼송!K7</f>
        <v>711.18856469521427</v>
      </c>
      <c r="I5" s="90">
        <f>양산!K7</f>
        <v>913.58548772879294</v>
      </c>
      <c r="J5" s="90">
        <f>대구!K7</f>
        <v>1230.287613524197</v>
      </c>
      <c r="K5" s="90">
        <f>청주!K7</f>
        <v>2781.9869992103008</v>
      </c>
      <c r="L5" s="91">
        <f t="shared" ref="L5:L9" si="2">SUM(C5:K5)</f>
        <v>18636.708206335825</v>
      </c>
      <c r="M5" s="90">
        <f>수원!K7</f>
        <v>959.76726229579788</v>
      </c>
      <c r="N5" s="90">
        <f>광주전남!K7</f>
        <v>1366.4355075401058</v>
      </c>
      <c r="O5" s="90">
        <f>강남!K7</f>
        <v>1266.5306392987723</v>
      </c>
      <c r="P5" s="91">
        <f t="shared" si="0"/>
        <v>3592.7334091346761</v>
      </c>
      <c r="Q5" s="90">
        <f>중앙!K7</f>
        <v>1514.006036384091</v>
      </c>
      <c r="R5" s="90">
        <f>고양!K7</f>
        <v>715.3227924880191</v>
      </c>
      <c r="S5" s="90">
        <f>용인!K7</f>
        <v>531.70450087298434</v>
      </c>
      <c r="T5" s="90">
        <f>분당!K7</f>
        <v>688.28697040973179</v>
      </c>
      <c r="U5" s="90">
        <f>세종!K7</f>
        <v>128.42015487186484</v>
      </c>
      <c r="V5" s="90">
        <f>김해!K7</f>
        <v>346.95971667135416</v>
      </c>
      <c r="W5" s="90">
        <f>평택!K7</f>
        <v>185.87127678822543</v>
      </c>
      <c r="X5" s="91">
        <f t="shared" si="1"/>
        <v>4110.571448486271</v>
      </c>
      <c r="Y5" s="91">
        <f t="shared" ref="Y5:Y24" si="3">L5+P5+X5</f>
        <v>26340.013063956772</v>
      </c>
    </row>
    <row r="6" spans="1:25">
      <c r="A6" s="265"/>
      <c r="B6" s="146" t="s">
        <v>96</v>
      </c>
      <c r="C6" s="90">
        <f>동탄!K8</f>
        <v>9117.3916637936309</v>
      </c>
      <c r="D6" s="90">
        <f>화성!K8</f>
        <v>7043.2822484284889</v>
      </c>
      <c r="E6" s="90">
        <f>파주!K8</f>
        <v>6582.496088344612</v>
      </c>
      <c r="F6" s="90">
        <f>광교!K8</f>
        <v>2705.2606817827605</v>
      </c>
      <c r="G6" s="90">
        <f>판교!K8</f>
        <v>2808.1657795682413</v>
      </c>
      <c r="H6" s="90">
        <f>삼송!K8</f>
        <v>2026.0870363985846</v>
      </c>
      <c r="I6" s="90">
        <f>양산!K8</f>
        <v>2524.605065670471</v>
      </c>
      <c r="J6" s="90">
        <f>대구!K8</f>
        <v>4176.8035801151409</v>
      </c>
      <c r="K6" s="90">
        <f>청주!K8</f>
        <v>3794.9113283334664</v>
      </c>
      <c r="L6" s="91">
        <f>SUM(C6:K6)</f>
        <v>40779.003472435397</v>
      </c>
      <c r="M6" s="90">
        <f>수원!K8</f>
        <v>2808.1657795682422</v>
      </c>
      <c r="N6" s="90">
        <f>광주전남!K8</f>
        <v>1998.6456769891231</v>
      </c>
      <c r="O6" s="90">
        <f>강남!K8</f>
        <v>1402.9394998087266</v>
      </c>
      <c r="P6" s="91">
        <f t="shared" si="0"/>
        <v>6209.7509563660915</v>
      </c>
      <c r="Q6" s="90">
        <f>중앙!K8</f>
        <v>1216.5669338194662</v>
      </c>
      <c r="R6" s="90">
        <f>고양!K8</f>
        <v>799.22959280057034</v>
      </c>
      <c r="S6" s="90">
        <f>용인!K8</f>
        <v>774.07501334189715</v>
      </c>
      <c r="T6" s="90">
        <f>분당!K8</f>
        <v>690.60754513811798</v>
      </c>
      <c r="U6" s="90">
        <f>세종!K8</f>
        <v>312.14546328262617</v>
      </c>
      <c r="V6" s="90">
        <f>김해!K8</f>
        <v>45.735599015769409</v>
      </c>
      <c r="W6" s="90">
        <f>평택!K8</f>
        <v>45.735599015769409</v>
      </c>
      <c r="X6" s="91">
        <f t="shared" si="1"/>
        <v>3884.0957464142166</v>
      </c>
      <c r="Y6" s="91">
        <f t="shared" si="3"/>
        <v>50872.85017521571</v>
      </c>
    </row>
    <row r="7" spans="1:25">
      <c r="A7" s="265"/>
      <c r="B7" s="146" t="s">
        <v>97</v>
      </c>
      <c r="C7" s="90">
        <f>동탄!K9</f>
        <v>3431.4021395400396</v>
      </c>
      <c r="D7" s="90">
        <f>화성!K9</f>
        <v>419.05524221345371</v>
      </c>
      <c r="E7" s="90">
        <f>파주!K9</f>
        <v>728.84070352716276</v>
      </c>
      <c r="F7" s="90">
        <f>광교!K9</f>
        <v>211.78060627991746</v>
      </c>
      <c r="G7" s="90">
        <f>판교!K9</f>
        <v>211.78060627991746</v>
      </c>
      <c r="H7" s="90">
        <f>삼송!K9</f>
        <v>179.1123212686536</v>
      </c>
      <c r="I7" s="90">
        <f>양산!K9</f>
        <v>262.47277267670626</v>
      </c>
      <c r="J7" s="90">
        <f>대구!K9</f>
        <v>299.64702803435131</v>
      </c>
      <c r="K7" s="90">
        <f>청주!K9</f>
        <v>228.67799507884706</v>
      </c>
      <c r="L7" s="91">
        <f t="shared" si="2"/>
        <v>5972.7694148990477</v>
      </c>
      <c r="M7" s="90">
        <f>수원!K9</f>
        <v>211.78060627991746</v>
      </c>
      <c r="N7" s="90">
        <f>광주전남!K9</f>
        <v>234.31045801182358</v>
      </c>
      <c r="O7" s="90">
        <f>강남!K9</f>
        <v>661.25114833144448</v>
      </c>
      <c r="P7" s="91">
        <f t="shared" si="0"/>
        <v>1107.3422126231856</v>
      </c>
      <c r="Q7" s="90">
        <f>중앙!K9</f>
        <v>773.90040699097506</v>
      </c>
      <c r="R7" s="90">
        <f>고양!K9</f>
        <v>606.05301158827444</v>
      </c>
      <c r="S7" s="90">
        <f>용인!K9</f>
        <v>134.05261780484139</v>
      </c>
      <c r="T7" s="90">
        <f>분당!K9</f>
        <v>94.625377274005686</v>
      </c>
      <c r="U7" s="90">
        <f>세종!K9</f>
        <v>68.716047782313652</v>
      </c>
      <c r="V7" s="90">
        <f>김해!K9</f>
        <v>59.704107089551201</v>
      </c>
      <c r="W7" s="90">
        <f>평택!K9</f>
        <v>104.76381055336343</v>
      </c>
      <c r="X7" s="91">
        <f t="shared" si="1"/>
        <v>1841.8153790833246</v>
      </c>
      <c r="Y7" s="91">
        <f t="shared" si="3"/>
        <v>8921.9270066055578</v>
      </c>
    </row>
    <row r="8" spans="1:25">
      <c r="A8" s="265"/>
      <c r="B8" s="146" t="s">
        <v>281</v>
      </c>
      <c r="C8" s="90">
        <f>동탄!K10</f>
        <v>2766.7977464217438</v>
      </c>
      <c r="D8" s="90">
        <f>화성!K10</f>
        <v>958.60672147077275</v>
      </c>
      <c r="E8" s="90">
        <f>파주!K10</f>
        <v>1639.0467134961698</v>
      </c>
      <c r="F8" s="90">
        <f>광교!K10</f>
        <v>1399.1037925513697</v>
      </c>
      <c r="G8" s="90">
        <f>판교!K10</f>
        <v>528.32502311319843</v>
      </c>
      <c r="H8" s="90">
        <f>삼송!K10</f>
        <v>441.58509394535986</v>
      </c>
      <c r="I8" s="90">
        <f>양산!K10</f>
        <v>1008.2108650027986</v>
      </c>
      <c r="J8" s="90">
        <f>대구!K10</f>
        <v>869.65227685157606</v>
      </c>
      <c r="K8" s="90">
        <f>청주!K10</f>
        <v>419.05524221345371</v>
      </c>
      <c r="L8" s="91">
        <f t="shared" si="2"/>
        <v>10030.383475066443</v>
      </c>
      <c r="M8" s="90">
        <f>수원!K10</f>
        <v>528.32502311319843</v>
      </c>
      <c r="N8" s="90">
        <f>광주전남!K10</f>
        <v>802.06272165585767</v>
      </c>
      <c r="O8" s="90">
        <f>강남!K10</f>
        <v>717.57577766120971</v>
      </c>
      <c r="P8" s="91">
        <f t="shared" si="0"/>
        <v>2047.9635224302658</v>
      </c>
      <c r="Q8" s="90">
        <f>중앙!K10</f>
        <v>1185.0702010982616</v>
      </c>
      <c r="R8" s="90">
        <f>고양!K10</f>
        <v>1405.8627480709415</v>
      </c>
      <c r="S8" s="90">
        <f>용인!K10</f>
        <v>251.20784681075318</v>
      </c>
      <c r="T8" s="90">
        <f>분당!K10</f>
        <v>500.16270844831575</v>
      </c>
      <c r="U8" s="90">
        <f>세종!K10</f>
        <v>377.37501650942744</v>
      </c>
      <c r="V8" s="90">
        <f>김해!K10</f>
        <v>297.3940428611607</v>
      </c>
      <c r="W8" s="90">
        <f>평택!K10</f>
        <v>31.541792424668561</v>
      </c>
      <c r="X8" s="91">
        <f t="shared" si="1"/>
        <v>4048.6143562235293</v>
      </c>
      <c r="Y8" s="91">
        <f t="shared" si="3"/>
        <v>16126.961353720239</v>
      </c>
    </row>
    <row r="9" spans="1:25">
      <c r="A9" s="265"/>
      <c r="B9" s="220" t="s">
        <v>279</v>
      </c>
      <c r="C9" s="90">
        <f>동탄!K11</f>
        <v>849.53875171791685</v>
      </c>
      <c r="D9" s="90">
        <f>화성!K11</f>
        <v>656.30584587629096</v>
      </c>
      <c r="E9" s="90">
        <f>파주!K11</f>
        <v>612.85702681131011</v>
      </c>
      <c r="F9" s="90">
        <f>광교!K11</f>
        <v>251.54579458673174</v>
      </c>
      <c r="G9" s="90">
        <f>판교!K11</f>
        <v>261.83630436527983</v>
      </c>
      <c r="H9" s="90">
        <f>삼송!K11</f>
        <v>57.169498769711758</v>
      </c>
      <c r="I9" s="90">
        <f>양산!K11</f>
        <v>234.39494495581823</v>
      </c>
      <c r="J9" s="90">
        <f>대구!K11</f>
        <v>388.75259163403996</v>
      </c>
      <c r="K9" s="90">
        <f>청주!K11</f>
        <v>353.30750239681868</v>
      </c>
      <c r="L9" s="91">
        <f t="shared" si="2"/>
        <v>3665.7082611139181</v>
      </c>
      <c r="M9" s="90">
        <f>수원!K11</f>
        <v>261.83630436527989</v>
      </c>
      <c r="N9" s="90">
        <f>광주전남!K11</f>
        <v>179.51222613689492</v>
      </c>
      <c r="O9" s="90">
        <f>강남!K11</f>
        <v>125.77289729336587</v>
      </c>
      <c r="P9" s="91">
        <f t="shared" si="0"/>
        <v>567.12142779554074</v>
      </c>
      <c r="Q9" s="90">
        <f>중앙!K11</f>
        <v>109.76543763784659</v>
      </c>
      <c r="R9" s="90">
        <f>고양!K11</f>
        <v>72.033568449836821</v>
      </c>
      <c r="S9" s="90">
        <f>용인!K11</f>
        <v>69.74678849904835</v>
      </c>
      <c r="T9" s="90">
        <f>분당!K11</f>
        <v>61.743058671288701</v>
      </c>
      <c r="U9" s="90">
        <f>세종!K11</f>
        <v>28.584749384855879</v>
      </c>
      <c r="V9" s="90">
        <f>김해!K11</f>
        <v>4.5735599015769406</v>
      </c>
      <c r="W9" s="90">
        <f>평택!K11</f>
        <v>4.5735599015769406</v>
      </c>
      <c r="X9" s="91">
        <f t="shared" si="1"/>
        <v>351.02072244603011</v>
      </c>
      <c r="Y9" s="91">
        <f t="shared" si="3"/>
        <v>4583.8504113554891</v>
      </c>
    </row>
    <row r="10" spans="1:25">
      <c r="A10" s="265"/>
      <c r="B10" s="220" t="s">
        <v>280</v>
      </c>
      <c r="C10" s="90">
        <f>동탄!K12</f>
        <v>94.901367957721519</v>
      </c>
      <c r="D10" s="90">
        <f>화성!K12</f>
        <v>73.176958425231049</v>
      </c>
      <c r="E10" s="90">
        <f>파주!K12</f>
        <v>68.603398523654107</v>
      </c>
      <c r="F10" s="90">
        <f>광교!K12</f>
        <v>27.441359409461647</v>
      </c>
      <c r="G10" s="90">
        <f>판교!K12</f>
        <v>28.584749384855879</v>
      </c>
      <c r="H10" s="90">
        <f>삼송!K12</f>
        <v>6.8603398523654118</v>
      </c>
      <c r="I10" s="90">
        <f>양산!K12</f>
        <v>26.297969434067411</v>
      </c>
      <c r="J10" s="90">
        <f>대구!K12</f>
        <v>43.448819064980931</v>
      </c>
      <c r="K10" s="90">
        <f>청주!K12</f>
        <v>38.875259163403996</v>
      </c>
      <c r="L10" s="91">
        <f t="shared" ref="L10" si="4">SUM(C10:K10)</f>
        <v>408.19022121574193</v>
      </c>
      <c r="M10" s="90">
        <f>수원!K12</f>
        <v>28.584749384855879</v>
      </c>
      <c r="N10" s="90">
        <f>광주전남!K12</f>
        <v>19.437629581701998</v>
      </c>
      <c r="O10" s="90">
        <f>강남!K12</f>
        <v>13.720679704730824</v>
      </c>
      <c r="P10" s="91">
        <f t="shared" ref="P10" si="5">SUM(M10:O10)</f>
        <v>61.743058671288708</v>
      </c>
      <c r="Q10" s="90">
        <f>중앙!K12</f>
        <v>12.577289729336588</v>
      </c>
      <c r="R10" s="90">
        <f>고양!K12</f>
        <v>8.0037298277596474</v>
      </c>
      <c r="S10" s="90">
        <f>용인!K12</f>
        <v>8.0037298277596474</v>
      </c>
      <c r="T10" s="90">
        <f>분당!K12</f>
        <v>6.8603398523654118</v>
      </c>
      <c r="U10" s="90">
        <f>세종!K12</f>
        <v>3.4301699261827059</v>
      </c>
      <c r="V10" s="90">
        <f>김해!K12</f>
        <v>1.1433899753942351</v>
      </c>
      <c r="W10" s="90">
        <f>평택!K12</f>
        <v>1.1433899753942351</v>
      </c>
      <c r="X10" s="91">
        <f t="shared" ref="X10" si="6">SUM(Q10:W10)</f>
        <v>41.162039114192474</v>
      </c>
      <c r="Y10" s="91">
        <f t="shared" ref="Y10" si="7">L10+P10+X10</f>
        <v>511.09531900122306</v>
      </c>
    </row>
    <row r="11" spans="1:25">
      <c r="A11" s="265"/>
      <c r="B11" s="93" t="s">
        <v>35</v>
      </c>
      <c r="C11" s="94">
        <f>SUM(C4:C10)</f>
        <v>22279.917932789434</v>
      </c>
      <c r="D11" s="94">
        <f t="shared" ref="D11:M11" si="8">SUM(D4:D10)</f>
        <v>11053.590037335785</v>
      </c>
      <c r="E11" s="94">
        <f t="shared" si="8"/>
        <v>15053.652749986115</v>
      </c>
      <c r="F11" s="94">
        <f t="shared" si="8"/>
        <v>5716.6314414549124</v>
      </c>
      <c r="G11" s="94">
        <f t="shared" si="8"/>
        <v>5143.1664565054543</v>
      </c>
      <c r="H11" s="94">
        <f t="shared" si="8"/>
        <v>3745.3062272827424</v>
      </c>
      <c r="I11" s="94">
        <f t="shared" si="8"/>
        <v>5153.1853970836901</v>
      </c>
      <c r="J11" s="94">
        <f t="shared" si="8"/>
        <v>7011.9713869840716</v>
      </c>
      <c r="K11" s="94">
        <f t="shared" si="8"/>
        <v>7650.6091039941493</v>
      </c>
      <c r="L11" s="94">
        <f>SUM(C11:K11)</f>
        <v>82808.030733416366</v>
      </c>
      <c r="M11" s="94">
        <f t="shared" si="8"/>
        <v>5143.1664565054552</v>
      </c>
      <c r="N11" s="94">
        <f t="shared" ref="N11" si="9">SUM(N4:N10)</f>
        <v>4869.6359481117852</v>
      </c>
      <c r="O11" s="94">
        <f t="shared" ref="O11" si="10">SUM(O4:O10)</f>
        <v>4369.155948540094</v>
      </c>
      <c r="P11" s="94">
        <f t="shared" si="0"/>
        <v>14381.958353157333</v>
      </c>
      <c r="Q11" s="94">
        <f t="shared" ref="Q11" si="11">SUM(Q4:Q10)</f>
        <v>5045.0702710852056</v>
      </c>
      <c r="R11" s="94">
        <f t="shared" ref="R11" si="12">SUM(R4:R10)</f>
        <v>3725.9136574045042</v>
      </c>
      <c r="S11" s="94">
        <f t="shared" ref="S11" si="13">SUM(S4:S10)</f>
        <v>1865.6688596044803</v>
      </c>
      <c r="T11" s="94">
        <f t="shared" ref="T11" si="14">SUM(T4:T10)</f>
        <v>2087.3457032576375</v>
      </c>
      <c r="U11" s="94">
        <f t="shared" ref="U11" si="15">SUM(U4:U10)</f>
        <v>954.71936452832051</v>
      </c>
      <c r="V11" s="94">
        <f t="shared" ref="V11" si="16">SUM(V4:V10)</f>
        <v>924.48430350410229</v>
      </c>
      <c r="W11" s="94">
        <f t="shared" ref="W11" si="17">SUM(W4:W10)</f>
        <v>373.62942865899805</v>
      </c>
      <c r="X11" s="94">
        <f t="shared" si="1"/>
        <v>14976.831588043249</v>
      </c>
      <c r="Y11" s="94">
        <f t="shared" si="3"/>
        <v>112166.82067461695</v>
      </c>
    </row>
    <row r="12" spans="1:25">
      <c r="A12" s="146" t="s">
        <v>98</v>
      </c>
      <c r="B12" s="146" t="s">
        <v>99</v>
      </c>
      <c r="C12" s="95">
        <f>동탄!K13</f>
        <v>494.73855370822076</v>
      </c>
      <c r="D12" s="95">
        <f>화성!K13</f>
        <v>415.6757644536678</v>
      </c>
      <c r="E12" s="95">
        <f>파주!K13</f>
        <v>631.96234107996645</v>
      </c>
      <c r="F12" s="95">
        <f>광교!K13</f>
        <v>263.59926526330156</v>
      </c>
      <c r="G12" s="95">
        <f>판교!K13</f>
        <v>241.06941353139541</v>
      </c>
      <c r="H12" s="95">
        <f>삼송!K13</f>
        <v>257.96680233032498</v>
      </c>
      <c r="I12" s="95">
        <f>양산!K13</f>
        <v>751.37055525906896</v>
      </c>
      <c r="J12" s="95">
        <f>대구!K13</f>
        <v>475.379871543219</v>
      </c>
      <c r="K12" s="95">
        <f>청주!K13</f>
        <v>494.53024551533923</v>
      </c>
      <c r="L12" s="92">
        <f>SUM(C12:K12)</f>
        <v>4026.2928126845045</v>
      </c>
      <c r="M12" s="95">
        <f>수원!K13</f>
        <v>241.06941353139544</v>
      </c>
      <c r="N12" s="95">
        <f>광주전남!K13</f>
        <v>875.28473978455258</v>
      </c>
      <c r="O12" s="95">
        <f>강남!K13</f>
        <v>266.97874302308747</v>
      </c>
      <c r="P12" s="92">
        <f t="shared" si="0"/>
        <v>1383.3328963390354</v>
      </c>
      <c r="Q12" s="95">
        <f>중앙!K13</f>
        <v>268.10523560968278</v>
      </c>
      <c r="R12" s="95">
        <f>고양!K13</f>
        <v>112.64925865953057</v>
      </c>
      <c r="S12" s="95">
        <f>용인!K13</f>
        <v>215.16008403970338</v>
      </c>
      <c r="T12" s="95">
        <f>분당!K13</f>
        <v>73.22201812869487</v>
      </c>
      <c r="U12" s="95">
        <f>세종!K13</f>
        <v>87.866421754433844</v>
      </c>
      <c r="V12" s="95">
        <f>김해!K13</f>
        <v>180.23881385524891</v>
      </c>
      <c r="W12" s="95">
        <f>평택!K13</f>
        <v>57.451121916360592</v>
      </c>
      <c r="X12" s="92">
        <f t="shared" si="1"/>
        <v>994.69295396365487</v>
      </c>
      <c r="Y12" s="92">
        <f t="shared" si="3"/>
        <v>6404.3186629871943</v>
      </c>
    </row>
    <row r="13" spans="1:25">
      <c r="A13" s="255" t="s">
        <v>110</v>
      </c>
      <c r="B13" s="255"/>
      <c r="C13" s="58">
        <f t="shared" ref="C13:H13" si="18">C12+C11</f>
        <v>22774.656486497654</v>
      </c>
      <c r="D13" s="58">
        <f t="shared" si="18"/>
        <v>11469.265801789454</v>
      </c>
      <c r="E13" s="58">
        <f t="shared" si="18"/>
        <v>15685.615091066082</v>
      </c>
      <c r="F13" s="58">
        <f t="shared" si="18"/>
        <v>5980.2307067182137</v>
      </c>
      <c r="G13" s="58">
        <f t="shared" si="18"/>
        <v>5384.2358700368495</v>
      </c>
      <c r="H13" s="58">
        <f t="shared" si="18"/>
        <v>4003.2730296130676</v>
      </c>
      <c r="I13" s="58">
        <f>I12+I11</f>
        <v>5904.5559523427592</v>
      </c>
      <c r="J13" s="58">
        <f>J12+J11</f>
        <v>7487.3512585272911</v>
      </c>
      <c r="K13" s="58">
        <f>K12+K11</f>
        <v>8145.139349509489</v>
      </c>
      <c r="L13" s="58">
        <f>SUM(C13:K13)</f>
        <v>86834.323546100874</v>
      </c>
      <c r="M13" s="58">
        <f>M12+M11</f>
        <v>5384.2358700368504</v>
      </c>
      <c r="N13" s="58">
        <f>N12+N11</f>
        <v>5744.9206878963378</v>
      </c>
      <c r="O13" s="58">
        <f>O12+O11</f>
        <v>4636.1346915631811</v>
      </c>
      <c r="P13" s="58">
        <f t="shared" si="0"/>
        <v>15765.291249496368</v>
      </c>
      <c r="Q13" s="58">
        <f t="shared" ref="Q13:W13" si="19">Q12+Q11</f>
        <v>5313.1755066948881</v>
      </c>
      <c r="R13" s="58">
        <f t="shared" si="19"/>
        <v>3838.5629160640347</v>
      </c>
      <c r="S13" s="58">
        <f t="shared" si="19"/>
        <v>2080.8289436441837</v>
      </c>
      <c r="T13" s="58">
        <f t="shared" si="19"/>
        <v>2160.5677213863323</v>
      </c>
      <c r="U13" s="58">
        <f t="shared" si="19"/>
        <v>1042.5857862827543</v>
      </c>
      <c r="V13" s="58">
        <f t="shared" si="19"/>
        <v>1104.7231173593511</v>
      </c>
      <c r="W13" s="58">
        <f t="shared" si="19"/>
        <v>431.08055057535864</v>
      </c>
      <c r="X13" s="58">
        <f t="shared" si="1"/>
        <v>15971.524542006902</v>
      </c>
      <c r="Y13" s="58">
        <f>L13+P13+X13</f>
        <v>118571.13933760414</v>
      </c>
    </row>
    <row r="14" spans="1:25">
      <c r="A14" s="263" t="s">
        <v>65</v>
      </c>
      <c r="B14" s="263"/>
      <c r="C14" s="95">
        <f>동탄!K15</f>
        <v>0</v>
      </c>
      <c r="D14" s="95">
        <f>화성!K15</f>
        <v>22</v>
      </c>
      <c r="E14" s="95">
        <f>파주!K15</f>
        <v>0</v>
      </c>
      <c r="F14" s="95">
        <f>광교!K15</f>
        <v>28</v>
      </c>
      <c r="G14" s="95">
        <f>판교!K15</f>
        <v>6</v>
      </c>
      <c r="H14" s="95">
        <f>삼송!K15</f>
        <v>0</v>
      </c>
      <c r="I14" s="95">
        <f>양산!K15</f>
        <v>11</v>
      </c>
      <c r="J14" s="95">
        <f>대구!K15</f>
        <v>0</v>
      </c>
      <c r="K14" s="95">
        <f>청주!K15</f>
        <v>0</v>
      </c>
      <c r="L14" s="92">
        <f>SUM(C14:K14)</f>
        <v>67</v>
      </c>
      <c r="M14" s="95">
        <f>수원!K15</f>
        <v>0</v>
      </c>
      <c r="N14" s="95">
        <f>광주전남!K15</f>
        <v>0</v>
      </c>
      <c r="O14" s="95">
        <f>강남!K15</f>
        <v>0</v>
      </c>
      <c r="P14" s="96">
        <f t="shared" si="0"/>
        <v>0</v>
      </c>
      <c r="Q14" s="95">
        <f>중앙!K15</f>
        <v>0</v>
      </c>
      <c r="R14" s="95">
        <f>고양!K15</f>
        <v>0</v>
      </c>
      <c r="S14" s="95">
        <f>용인!K15</f>
        <v>0</v>
      </c>
      <c r="T14" s="95">
        <f>분당!K15</f>
        <v>0</v>
      </c>
      <c r="U14" s="95">
        <f>세종!K15</f>
        <v>0</v>
      </c>
      <c r="V14" s="95">
        <f>김해!K15</f>
        <v>0</v>
      </c>
      <c r="W14" s="95">
        <f>평택!K15</f>
        <v>0</v>
      </c>
      <c r="X14" s="96">
        <f t="shared" si="1"/>
        <v>0</v>
      </c>
      <c r="Y14" s="96">
        <f t="shared" si="3"/>
        <v>67</v>
      </c>
    </row>
    <row r="15" spans="1:25">
      <c r="A15" s="263" t="s">
        <v>66</v>
      </c>
      <c r="B15" s="263"/>
      <c r="C15" s="95">
        <f>동탄!K16</f>
        <v>0</v>
      </c>
      <c r="D15" s="95">
        <f>화성!K16</f>
        <v>15</v>
      </c>
      <c r="E15" s="95">
        <f>파주!K16</f>
        <v>0</v>
      </c>
      <c r="F15" s="95">
        <f>광교!K16</f>
        <v>0</v>
      </c>
      <c r="G15" s="95">
        <f>판교!K16</f>
        <v>0</v>
      </c>
      <c r="H15" s="95">
        <f>삼송!K16</f>
        <v>0</v>
      </c>
      <c r="I15" s="95">
        <f>양산!K16</f>
        <v>0</v>
      </c>
      <c r="J15" s="95">
        <f>대구!K16</f>
        <v>0</v>
      </c>
      <c r="K15" s="95">
        <f>청주!K16</f>
        <v>0</v>
      </c>
      <c r="L15" s="92">
        <f t="shared" ref="L15:L18" si="20">SUM(C15:K15)</f>
        <v>15</v>
      </c>
      <c r="M15" s="95">
        <f>수원!K16</f>
        <v>0</v>
      </c>
      <c r="N15" s="95">
        <f>광주전남!K16</f>
        <v>0</v>
      </c>
      <c r="O15" s="95">
        <f>강남!K16</f>
        <v>0</v>
      </c>
      <c r="P15" s="96">
        <f t="shared" si="0"/>
        <v>0</v>
      </c>
      <c r="Q15" s="95">
        <f>중앙!K16</f>
        <v>0</v>
      </c>
      <c r="R15" s="95">
        <f>고양!K16</f>
        <v>0</v>
      </c>
      <c r="S15" s="95">
        <f>용인!K16</f>
        <v>0</v>
      </c>
      <c r="T15" s="95">
        <f>분당!K16</f>
        <v>0</v>
      </c>
      <c r="U15" s="95">
        <f>세종!K16</f>
        <v>0</v>
      </c>
      <c r="V15" s="95">
        <f>김해!K16</f>
        <v>0</v>
      </c>
      <c r="W15" s="95">
        <f>평택!K16</f>
        <v>0</v>
      </c>
      <c r="X15" s="96">
        <f t="shared" si="1"/>
        <v>0</v>
      </c>
      <c r="Y15" s="96">
        <f t="shared" si="3"/>
        <v>15</v>
      </c>
    </row>
    <row r="16" spans="1:25">
      <c r="A16" s="263" t="s">
        <v>34</v>
      </c>
      <c r="B16" s="145" t="s">
        <v>81</v>
      </c>
      <c r="C16" s="95">
        <f>동탄!K17</f>
        <v>0</v>
      </c>
      <c r="D16" s="95">
        <f>화성!K17</f>
        <v>1965</v>
      </c>
      <c r="E16" s="95">
        <f>파주!K17</f>
        <v>0</v>
      </c>
      <c r="F16" s="95">
        <f>광교!K17</f>
        <v>0</v>
      </c>
      <c r="G16" s="95">
        <f>판교!K17</f>
        <v>0</v>
      </c>
      <c r="H16" s="95">
        <f>삼송!K17</f>
        <v>0</v>
      </c>
      <c r="I16" s="95">
        <f>양산!K17</f>
        <v>0</v>
      </c>
      <c r="J16" s="95">
        <f>대구!K17</f>
        <v>0</v>
      </c>
      <c r="K16" s="95">
        <f>청주!K17</f>
        <v>0</v>
      </c>
      <c r="L16" s="92">
        <f>SUM(C16:K16)</f>
        <v>1965</v>
      </c>
      <c r="M16" s="95">
        <f>수원!K17</f>
        <v>1524</v>
      </c>
      <c r="N16" s="95">
        <f>광주전남!K17</f>
        <v>0</v>
      </c>
      <c r="O16" s="95">
        <f>강남!K17</f>
        <v>0</v>
      </c>
      <c r="P16" s="96">
        <f t="shared" si="0"/>
        <v>1524</v>
      </c>
      <c r="Q16" s="95">
        <f>중앙!K17</f>
        <v>0</v>
      </c>
      <c r="R16" s="95">
        <f>고양!K17</f>
        <v>0</v>
      </c>
      <c r="S16" s="95">
        <f>용인!K17</f>
        <v>0</v>
      </c>
      <c r="T16" s="95">
        <f>분당!K17</f>
        <v>0</v>
      </c>
      <c r="U16" s="95">
        <f>세종!K17</f>
        <v>0</v>
      </c>
      <c r="V16" s="95">
        <f>김해!K17</f>
        <v>0</v>
      </c>
      <c r="W16" s="95">
        <f>평택!K17</f>
        <v>0</v>
      </c>
      <c r="X16" s="96">
        <f t="shared" si="1"/>
        <v>0</v>
      </c>
      <c r="Y16" s="96">
        <f t="shared" si="3"/>
        <v>3489</v>
      </c>
    </row>
    <row r="17" spans="1:25">
      <c r="A17" s="263"/>
      <c r="B17" s="145" t="s">
        <v>64</v>
      </c>
      <c r="C17" s="95">
        <f>동탄!K18</f>
        <v>487.77128999576735</v>
      </c>
      <c r="D17" s="95">
        <f>화성!K18</f>
        <v>1825.5307177645586</v>
      </c>
      <c r="E17" s="95">
        <f>파주!K18</f>
        <v>2873.0704660220645</v>
      </c>
      <c r="F17" s="95">
        <f>광교!K18</f>
        <v>805.71707318195956</v>
      </c>
      <c r="G17" s="95">
        <f>판교!K18</f>
        <v>1290.5213974279652</v>
      </c>
      <c r="H17" s="95">
        <f>삼송!K18</f>
        <v>318.03443360876787</v>
      </c>
      <c r="I17" s="95">
        <f>양산!K18</f>
        <v>180</v>
      </c>
      <c r="J17" s="95">
        <f>대구!K18</f>
        <v>1533.9781139851473</v>
      </c>
      <c r="K17" s="95">
        <f>청주!K18</f>
        <v>706</v>
      </c>
      <c r="L17" s="92">
        <f>SUM(C17:K17)</f>
        <v>10020.623491986231</v>
      </c>
      <c r="M17" s="95">
        <f>수원!K18</f>
        <v>395.7496147537675</v>
      </c>
      <c r="N17" s="95">
        <f>광주전남!K18</f>
        <v>1689.9303836326796</v>
      </c>
      <c r="O17" s="95">
        <f>강남!K18</f>
        <v>2298.1783768684254</v>
      </c>
      <c r="P17" s="96">
        <f t="shared" si="0"/>
        <v>4383.858375254873</v>
      </c>
      <c r="Q17" s="95">
        <f>중앙!K18</f>
        <v>1045.058437510331</v>
      </c>
      <c r="R17" s="95">
        <f>고양!K18</f>
        <v>1296.6042320970625</v>
      </c>
      <c r="S17" s="95">
        <f>용인!K18</f>
        <v>634.58143634380053</v>
      </c>
      <c r="T17" s="95">
        <f>분당!K18</f>
        <v>1055.3489472888791</v>
      </c>
      <c r="U17" s="95">
        <f>세종!K18</f>
        <v>85.754248154567634</v>
      </c>
      <c r="V17" s="95">
        <f>김해!K18</f>
        <v>90.327808056144576</v>
      </c>
      <c r="W17" s="95">
        <f>평택!K18</f>
        <v>10.290509778548117</v>
      </c>
      <c r="X17" s="96">
        <f t="shared" si="1"/>
        <v>4217.9656192293332</v>
      </c>
      <c r="Y17" s="96">
        <f t="shared" si="3"/>
        <v>18622.447486470439</v>
      </c>
    </row>
    <row r="18" spans="1:25">
      <c r="A18" s="263"/>
      <c r="B18" s="93" t="s">
        <v>35</v>
      </c>
      <c r="C18" s="98">
        <f t="shared" ref="C18:H18" si="21">SUM(C16:C17)</f>
        <v>487.77128999576735</v>
      </c>
      <c r="D18" s="98">
        <f t="shared" si="21"/>
        <v>3790.5307177645586</v>
      </c>
      <c r="E18" s="98">
        <f t="shared" si="21"/>
        <v>2873.0704660220645</v>
      </c>
      <c r="F18" s="98">
        <f t="shared" si="21"/>
        <v>805.71707318195956</v>
      </c>
      <c r="G18" s="98">
        <f t="shared" si="21"/>
        <v>1290.5213974279652</v>
      </c>
      <c r="H18" s="98">
        <f t="shared" si="21"/>
        <v>318.03443360876787</v>
      </c>
      <c r="I18" s="98">
        <f>SUM(I16:I17)</f>
        <v>180</v>
      </c>
      <c r="J18" s="98">
        <f>SUM(J16:J17)</f>
        <v>1533.9781139851473</v>
      </c>
      <c r="K18" s="98">
        <f>SUM(K16:K17)</f>
        <v>706</v>
      </c>
      <c r="L18" s="98">
        <f t="shared" si="20"/>
        <v>11985.623491986231</v>
      </c>
      <c r="M18" s="98">
        <f>SUM(M16:M17)</f>
        <v>1919.7496147537674</v>
      </c>
      <c r="N18" s="98">
        <f>SUM(N16:N17)</f>
        <v>1689.9303836326796</v>
      </c>
      <c r="O18" s="98">
        <f>SUM(O16:O17)</f>
        <v>2298.1783768684254</v>
      </c>
      <c r="P18" s="99">
        <f t="shared" si="0"/>
        <v>5907.858375254873</v>
      </c>
      <c r="Q18" s="98">
        <f t="shared" ref="Q18:W18" si="22">SUM(Q16:Q17)</f>
        <v>1045.058437510331</v>
      </c>
      <c r="R18" s="98">
        <f t="shared" si="22"/>
        <v>1296.6042320970625</v>
      </c>
      <c r="S18" s="98">
        <f t="shared" si="22"/>
        <v>634.58143634380053</v>
      </c>
      <c r="T18" s="98">
        <f t="shared" si="22"/>
        <v>1055.3489472888791</v>
      </c>
      <c r="U18" s="98">
        <f t="shared" si="22"/>
        <v>85.754248154567634</v>
      </c>
      <c r="V18" s="98">
        <f t="shared" si="22"/>
        <v>90.327808056144576</v>
      </c>
      <c r="W18" s="98">
        <f t="shared" si="22"/>
        <v>10.290509778548117</v>
      </c>
      <c r="X18" s="99">
        <f t="shared" si="1"/>
        <v>4217.9656192293332</v>
      </c>
      <c r="Y18" s="99">
        <f t="shared" si="3"/>
        <v>22111.447486470439</v>
      </c>
    </row>
    <row r="19" spans="1:25">
      <c r="A19" s="146" t="s">
        <v>102</v>
      </c>
      <c r="B19" s="146" t="s">
        <v>103</v>
      </c>
      <c r="C19" s="100">
        <f>동탄!K19</f>
        <v>5467.2163197131986</v>
      </c>
      <c r="D19" s="100">
        <f>화성!K19</f>
        <v>0</v>
      </c>
      <c r="E19" s="100">
        <f>파주!K19</f>
        <v>10673.283416637107</v>
      </c>
      <c r="F19" s="100">
        <f>광교!K19</f>
        <v>0</v>
      </c>
      <c r="G19" s="100">
        <f>판교!K19</f>
        <v>0</v>
      </c>
      <c r="H19" s="100">
        <f>삼송!K19</f>
        <v>0</v>
      </c>
      <c r="I19" s="100">
        <f>양산!K19</f>
        <v>0</v>
      </c>
      <c r="J19" s="100">
        <f>대구!K19</f>
        <v>0</v>
      </c>
      <c r="K19" s="100">
        <f>청주!K19</f>
        <v>0</v>
      </c>
      <c r="L19" s="92">
        <f>SUM(C19:K19)</f>
        <v>16140.499736350306</v>
      </c>
      <c r="M19" s="100">
        <f>수원!K19</f>
        <v>0</v>
      </c>
      <c r="N19" s="100">
        <f>광주전남!K19</f>
        <v>0</v>
      </c>
      <c r="O19" s="100">
        <f>강남!K19</f>
        <v>0</v>
      </c>
      <c r="P19" s="96">
        <f t="shared" si="0"/>
        <v>0</v>
      </c>
      <c r="Q19" s="100">
        <f>중앙!K19</f>
        <v>0</v>
      </c>
      <c r="R19" s="100">
        <f>고양!K19</f>
        <v>0</v>
      </c>
      <c r="S19" s="100">
        <f>용인!K19</f>
        <v>0</v>
      </c>
      <c r="T19" s="100">
        <f>분당!K19</f>
        <v>0</v>
      </c>
      <c r="U19" s="100">
        <f>세종!K19</f>
        <v>0</v>
      </c>
      <c r="V19" s="100">
        <f>김해!K19</f>
        <v>0</v>
      </c>
      <c r="W19" s="100">
        <f>평택!K19</f>
        <v>0</v>
      </c>
      <c r="X19" s="96">
        <f t="shared" si="1"/>
        <v>0</v>
      </c>
      <c r="Y19" s="96">
        <f t="shared" si="3"/>
        <v>16140.499736350306</v>
      </c>
    </row>
    <row r="20" spans="1:25">
      <c r="A20" s="263" t="s">
        <v>63</v>
      </c>
      <c r="B20" s="263"/>
      <c r="C20" s="95">
        <f>동탄!K20</f>
        <v>62.819542265391846</v>
      </c>
      <c r="D20" s="95">
        <f>화성!K20</f>
        <v>76</v>
      </c>
      <c r="E20" s="95">
        <f>파주!K20</f>
        <v>465.24143826386137</v>
      </c>
      <c r="F20" s="95">
        <f>광교!K20</f>
        <v>13</v>
      </c>
      <c r="G20" s="95">
        <f>판교!K20</f>
        <v>37</v>
      </c>
      <c r="H20" s="95">
        <f>삼송!K20</f>
        <v>19</v>
      </c>
      <c r="I20" s="95">
        <f>양산!K20</f>
        <v>100</v>
      </c>
      <c r="J20" s="95">
        <f>대구!K20</f>
        <v>102</v>
      </c>
      <c r="K20" s="95">
        <f>청주!K20</f>
        <v>6</v>
      </c>
      <c r="L20" s="92">
        <f>SUM(C20:K20)</f>
        <v>881.06098052925324</v>
      </c>
      <c r="M20" s="95">
        <f>수원!K20</f>
        <v>150</v>
      </c>
      <c r="N20" s="95">
        <f>광주전남!K20</f>
        <v>83.693272002307324</v>
      </c>
      <c r="O20" s="95">
        <f>강남!K20</f>
        <v>30</v>
      </c>
      <c r="P20" s="96">
        <f t="shared" si="0"/>
        <v>263.69327200230731</v>
      </c>
      <c r="Q20" s="95">
        <f>중앙!K20</f>
        <v>0</v>
      </c>
      <c r="R20" s="95">
        <f>고양!K20</f>
        <v>21</v>
      </c>
      <c r="S20" s="95">
        <f>용인!K20</f>
        <v>0</v>
      </c>
      <c r="T20" s="95">
        <f>분당!K20</f>
        <v>0</v>
      </c>
      <c r="U20" s="95">
        <f>세종!K20</f>
        <v>0</v>
      </c>
      <c r="V20" s="95">
        <f>김해!K20</f>
        <v>0</v>
      </c>
      <c r="W20" s="95">
        <f>평택!K20</f>
        <v>0</v>
      </c>
      <c r="X20" s="96">
        <f t="shared" si="1"/>
        <v>21</v>
      </c>
      <c r="Y20" s="96">
        <f t="shared" si="3"/>
        <v>1165.7542525315605</v>
      </c>
    </row>
    <row r="21" spans="1:25">
      <c r="A21" s="263" t="s">
        <v>36</v>
      </c>
      <c r="B21" s="145" t="s">
        <v>38</v>
      </c>
      <c r="C21" s="95">
        <f>동탄!K21</f>
        <v>0</v>
      </c>
      <c r="D21" s="95">
        <f>화성!K21</f>
        <v>0</v>
      </c>
      <c r="E21" s="95">
        <f>파주!K21</f>
        <v>10815</v>
      </c>
      <c r="F21" s="95">
        <f>광교!K21</f>
        <v>0</v>
      </c>
      <c r="G21" s="95">
        <f>판교!K21</f>
        <v>0</v>
      </c>
      <c r="H21" s="95">
        <f>삼송!K21</f>
        <v>0</v>
      </c>
      <c r="I21" s="95">
        <f>양산!K21</f>
        <v>0</v>
      </c>
      <c r="J21" s="95">
        <f>대구!K21</f>
        <v>20343</v>
      </c>
      <c r="K21" s="95">
        <f>청주!K21</f>
        <v>0</v>
      </c>
      <c r="L21" s="92">
        <f>SUM(C21:K21)</f>
        <v>31158</v>
      </c>
      <c r="M21" s="95">
        <f>수원!K21</f>
        <v>0</v>
      </c>
      <c r="N21" s="95">
        <f>광주전남!K21</f>
        <v>0</v>
      </c>
      <c r="O21" s="95">
        <f>강남!K21</f>
        <v>0</v>
      </c>
      <c r="P21" s="96">
        <f t="shared" si="0"/>
        <v>0</v>
      </c>
      <c r="Q21" s="95">
        <f>중앙!K21</f>
        <v>0</v>
      </c>
      <c r="R21" s="95">
        <f>고양!K21</f>
        <v>0</v>
      </c>
      <c r="S21" s="95">
        <f>용인!K21</f>
        <v>0</v>
      </c>
      <c r="T21" s="95">
        <f>분당!K21</f>
        <v>0</v>
      </c>
      <c r="U21" s="95">
        <f>세종!K21</f>
        <v>0</v>
      </c>
      <c r="V21" s="95">
        <f>김해!K21</f>
        <v>0</v>
      </c>
      <c r="W21" s="95">
        <f>평택!K21</f>
        <v>0</v>
      </c>
      <c r="X21" s="96">
        <f t="shared" si="1"/>
        <v>0</v>
      </c>
      <c r="Y21" s="96">
        <f t="shared" si="3"/>
        <v>31158</v>
      </c>
    </row>
    <row r="22" spans="1:25">
      <c r="A22" s="263"/>
      <c r="B22" s="145" t="s">
        <v>39</v>
      </c>
      <c r="C22" s="95">
        <f>동탄!K22</f>
        <v>867.5</v>
      </c>
      <c r="D22" s="95">
        <f>화성!K22</f>
        <v>671.93741236138169</v>
      </c>
      <c r="E22" s="95">
        <f>파주!K22</f>
        <v>2116.2441634869137</v>
      </c>
      <c r="F22" s="95">
        <f>광교!K22</f>
        <v>170</v>
      </c>
      <c r="G22" s="95">
        <f>판교!K22</f>
        <v>180</v>
      </c>
      <c r="H22" s="95">
        <f>삼송!K22</f>
        <v>50</v>
      </c>
      <c r="I22" s="95">
        <f>양산!K22</f>
        <v>1479.5466281601402</v>
      </c>
      <c r="J22" s="95">
        <f>대구!K22</f>
        <v>386</v>
      </c>
      <c r="K22" s="95">
        <f>청주!K22</f>
        <v>386</v>
      </c>
      <c r="L22" s="92">
        <f>SUM(C22:K22)</f>
        <v>6307.2282040084356</v>
      </c>
      <c r="M22" s="95">
        <f>수원!K22</f>
        <v>268.08153822693714</v>
      </c>
      <c r="N22" s="95">
        <f>광주전남!K22</f>
        <v>386</v>
      </c>
      <c r="O22" s="95">
        <f>강남!K22</f>
        <v>107</v>
      </c>
      <c r="P22" s="96">
        <f t="shared" si="0"/>
        <v>761.08153822693714</v>
      </c>
      <c r="Q22" s="95">
        <f>중앙!K22</f>
        <v>29</v>
      </c>
      <c r="R22" s="95">
        <f>고양!K22</f>
        <v>0</v>
      </c>
      <c r="S22" s="95">
        <f>용인!K22</f>
        <v>0</v>
      </c>
      <c r="T22" s="95">
        <f>분당!K22</f>
        <v>0</v>
      </c>
      <c r="U22" s="95">
        <f>세종!K22</f>
        <v>0</v>
      </c>
      <c r="V22" s="95">
        <f>김해!K22</f>
        <v>0</v>
      </c>
      <c r="W22" s="95">
        <f>평택!K22</f>
        <v>0</v>
      </c>
      <c r="X22" s="96">
        <f t="shared" si="1"/>
        <v>29</v>
      </c>
      <c r="Y22" s="96">
        <f t="shared" si="3"/>
        <v>7097.3097422353731</v>
      </c>
    </row>
    <row r="23" spans="1:25">
      <c r="A23" s="263"/>
      <c r="B23" s="145" t="s">
        <v>37</v>
      </c>
      <c r="C23" s="95">
        <f>동탄!K23</f>
        <v>2</v>
      </c>
      <c r="D23" s="95">
        <f>화성!K23</f>
        <v>79</v>
      </c>
      <c r="E23" s="95">
        <f>파주!K23</f>
        <v>155</v>
      </c>
      <c r="F23" s="95">
        <f>광교!K23</f>
        <v>13</v>
      </c>
      <c r="G23" s="95">
        <f>판교!K23</f>
        <v>54</v>
      </c>
      <c r="H23" s="95">
        <f>삼송!K23</f>
        <v>20</v>
      </c>
      <c r="I23" s="95">
        <f>양산!K23</f>
        <v>91</v>
      </c>
      <c r="J23" s="95">
        <f>대구!K23</f>
        <v>83.5</v>
      </c>
      <c r="K23" s="95">
        <f>청주!K23</f>
        <v>84</v>
      </c>
      <c r="L23" s="92">
        <f>SUM(C23:K23)</f>
        <v>581.5</v>
      </c>
      <c r="M23" s="95">
        <f>수원!K23</f>
        <v>44</v>
      </c>
      <c r="N23" s="95">
        <f>광주전남!K23</f>
        <v>84</v>
      </c>
      <c r="O23" s="95">
        <f>강남!K23</f>
        <v>47</v>
      </c>
      <c r="P23" s="96">
        <f t="shared" si="0"/>
        <v>175</v>
      </c>
      <c r="Q23" s="95">
        <f>중앙!K23</f>
        <v>0</v>
      </c>
      <c r="R23" s="95">
        <f>고양!K23</f>
        <v>10</v>
      </c>
      <c r="S23" s="95">
        <f>용인!K23</f>
        <v>0</v>
      </c>
      <c r="T23" s="95">
        <f>분당!K23</f>
        <v>0</v>
      </c>
      <c r="U23" s="95">
        <f>세종!K23</f>
        <v>0</v>
      </c>
      <c r="V23" s="95">
        <f>김해!K23</f>
        <v>0</v>
      </c>
      <c r="W23" s="95">
        <f>평택!K23</f>
        <v>0</v>
      </c>
      <c r="X23" s="96">
        <f t="shared" si="1"/>
        <v>10</v>
      </c>
      <c r="Y23" s="96">
        <f t="shared" si="3"/>
        <v>766.5</v>
      </c>
    </row>
    <row r="24" spans="1:25">
      <c r="A24" s="263"/>
      <c r="B24" s="93" t="s">
        <v>35</v>
      </c>
      <c r="C24" s="98">
        <f t="shared" ref="C24:H24" si="23">SUM(C21:C23)</f>
        <v>869.5</v>
      </c>
      <c r="D24" s="98">
        <f t="shared" si="23"/>
        <v>750.93741236138169</v>
      </c>
      <c r="E24" s="98">
        <f t="shared" si="23"/>
        <v>13086.244163486914</v>
      </c>
      <c r="F24" s="98">
        <f t="shared" si="23"/>
        <v>183</v>
      </c>
      <c r="G24" s="98">
        <f t="shared" si="23"/>
        <v>234</v>
      </c>
      <c r="H24" s="98">
        <f t="shared" si="23"/>
        <v>70</v>
      </c>
      <c r="I24" s="98">
        <f>SUM(I21:I23)</f>
        <v>1570.5466281601402</v>
      </c>
      <c r="J24" s="98">
        <f>SUM(J21:J23)</f>
        <v>20812.5</v>
      </c>
      <c r="K24" s="98">
        <f>SUM(K21:K23)</f>
        <v>470</v>
      </c>
      <c r="L24" s="98">
        <f t="shared" ref="L24" si="24">SUM(C24:K24)</f>
        <v>38046.728204008439</v>
      </c>
      <c r="M24" s="98">
        <f>SUM(M21:M23)</f>
        <v>312.08153822693714</v>
      </c>
      <c r="N24" s="98">
        <f>SUM(N21:N23)</f>
        <v>470</v>
      </c>
      <c r="O24" s="98">
        <f>SUM(O21:O23)</f>
        <v>154</v>
      </c>
      <c r="P24" s="99">
        <f t="shared" si="0"/>
        <v>936.08153822693714</v>
      </c>
      <c r="Q24" s="98">
        <f t="shared" ref="Q24:W24" si="25">SUM(Q21:Q23)</f>
        <v>29</v>
      </c>
      <c r="R24" s="98">
        <f t="shared" si="25"/>
        <v>10</v>
      </c>
      <c r="S24" s="98">
        <f t="shared" si="25"/>
        <v>0</v>
      </c>
      <c r="T24" s="98">
        <f t="shared" si="25"/>
        <v>0</v>
      </c>
      <c r="U24" s="98">
        <f t="shared" si="25"/>
        <v>0</v>
      </c>
      <c r="V24" s="98">
        <f t="shared" si="25"/>
        <v>0</v>
      </c>
      <c r="W24" s="98">
        <f t="shared" si="25"/>
        <v>0</v>
      </c>
      <c r="X24" s="99">
        <f t="shared" si="1"/>
        <v>39</v>
      </c>
      <c r="Y24" s="99">
        <f t="shared" si="3"/>
        <v>39021.809742235375</v>
      </c>
    </row>
    <row r="25" spans="1:25">
      <c r="A25" s="255" t="s">
        <v>115</v>
      </c>
      <c r="B25" s="255"/>
      <c r="C25" s="56">
        <f>C14+C15+C19+C18+C20+C24</f>
        <v>6887.3071519743571</v>
      </c>
      <c r="D25" s="56">
        <f t="shared" ref="D25:Y25" si="26">D14+D15+D19+D18+D20+D24</f>
        <v>4654.4681301259407</v>
      </c>
      <c r="E25" s="56">
        <f t="shared" si="26"/>
        <v>27097.839484409946</v>
      </c>
      <c r="F25" s="56">
        <f t="shared" si="26"/>
        <v>1029.7170731819597</v>
      </c>
      <c r="G25" s="56">
        <f t="shared" si="26"/>
        <v>1567.5213974279652</v>
      </c>
      <c r="H25" s="56">
        <f t="shared" si="26"/>
        <v>407.03443360876787</v>
      </c>
      <c r="I25" s="56">
        <f t="shared" si="26"/>
        <v>1861.5466281601402</v>
      </c>
      <c r="J25" s="56">
        <f t="shared" si="26"/>
        <v>22448.478113985148</v>
      </c>
      <c r="K25" s="56">
        <f t="shared" si="26"/>
        <v>1182</v>
      </c>
      <c r="L25" s="56">
        <f t="shared" si="26"/>
        <v>67135.912412874226</v>
      </c>
      <c r="M25" s="56">
        <f t="shared" si="26"/>
        <v>2381.8311529807047</v>
      </c>
      <c r="N25" s="56">
        <f t="shared" si="26"/>
        <v>2243.6236556349868</v>
      </c>
      <c r="O25" s="56">
        <f t="shared" si="26"/>
        <v>2482.1783768684254</v>
      </c>
      <c r="P25" s="56">
        <f t="shared" si="26"/>
        <v>7107.6331854841173</v>
      </c>
      <c r="Q25" s="56">
        <f t="shared" si="26"/>
        <v>1074.058437510331</v>
      </c>
      <c r="R25" s="56">
        <f t="shared" si="26"/>
        <v>1327.6042320970625</v>
      </c>
      <c r="S25" s="56">
        <f t="shared" si="26"/>
        <v>634.58143634380053</v>
      </c>
      <c r="T25" s="56">
        <f t="shared" si="26"/>
        <v>1055.3489472888791</v>
      </c>
      <c r="U25" s="56">
        <f t="shared" si="26"/>
        <v>85.754248154567634</v>
      </c>
      <c r="V25" s="56">
        <f t="shared" si="26"/>
        <v>90.327808056144576</v>
      </c>
      <c r="W25" s="56">
        <f t="shared" si="26"/>
        <v>10.290509778548117</v>
      </c>
      <c r="X25" s="56">
        <f t="shared" si="26"/>
        <v>4277.9656192293332</v>
      </c>
      <c r="Y25" s="56">
        <f t="shared" si="26"/>
        <v>78521.511217587686</v>
      </c>
    </row>
    <row r="26" spans="1:25">
      <c r="A26" s="224" t="s">
        <v>282</v>
      </c>
      <c r="B26" s="224" t="s">
        <v>354</v>
      </c>
      <c r="C26" s="95">
        <f>동탄!K25</f>
        <v>1301.8874823281951</v>
      </c>
      <c r="D26" s="95">
        <f>화성!K25</f>
        <v>380.86714352787294</v>
      </c>
      <c r="E26" s="95">
        <f>파주!K25</f>
        <v>483.37796890804577</v>
      </c>
      <c r="F26" s="95">
        <f>광교!K25</f>
        <v>155.45597695015226</v>
      </c>
      <c r="G26" s="95">
        <f>판교!K25</f>
        <v>1574.8366360602379</v>
      </c>
      <c r="H26" s="95">
        <f>삼송!K25</f>
        <v>798.68324389607187</v>
      </c>
      <c r="I26" s="95">
        <f>양산!K25</f>
        <v>2.2529851731906114</v>
      </c>
      <c r="J26" s="95">
        <f>대구!K25</f>
        <v>719.82876283440066</v>
      </c>
      <c r="K26" s="95">
        <f>청주!K25</f>
        <v>3342.3035044282728</v>
      </c>
      <c r="L26" s="92">
        <f>SUM(C26:K26)</f>
        <v>8759.4937041064404</v>
      </c>
      <c r="M26" s="95">
        <f>수원!K25</f>
        <v>48.439181223598162</v>
      </c>
      <c r="N26" s="95">
        <f>광주전남!K25</f>
        <v>598.16756348210765</v>
      </c>
      <c r="O26" s="95">
        <f>강남!K25</f>
        <v>1408.1157332441323</v>
      </c>
      <c r="P26" s="96">
        <f t="shared" ref="P26" si="27">SUM(M26:O26)</f>
        <v>2054.7224779498383</v>
      </c>
      <c r="Q26" s="95">
        <f>중앙!K25</f>
        <v>1174.2159178500826</v>
      </c>
      <c r="R26" s="95">
        <f>고양!K25</f>
        <v>779.11112885704927</v>
      </c>
      <c r="S26" s="95">
        <f>용인!K25</f>
        <v>607.08516735727324</v>
      </c>
      <c r="T26" s="95">
        <f>분당!K25</f>
        <v>0</v>
      </c>
      <c r="U26" s="95">
        <f>세종!K25</f>
        <v>0</v>
      </c>
      <c r="V26" s="95">
        <f>김해!K25</f>
        <v>290.77936718026621</v>
      </c>
      <c r="W26" s="95">
        <f>평택!K25</f>
        <v>0</v>
      </c>
      <c r="X26" s="96">
        <f t="shared" ref="X26" si="28">SUM(Q26:W26)</f>
        <v>2851.1915812446714</v>
      </c>
      <c r="Y26" s="96">
        <f t="shared" ref="Y26" si="29">L26+P26+X26</f>
        <v>13665.407763300951</v>
      </c>
    </row>
    <row r="31" spans="1:25">
      <c r="B31" s="247" t="s">
        <v>33</v>
      </c>
      <c r="C31" s="21">
        <f>INT(C4*0.9)</f>
        <v>964</v>
      </c>
      <c r="D31" s="21">
        <f t="shared" ref="D31:O32" si="30">INT(D4*0.9)</f>
        <v>372</v>
      </c>
      <c r="E31" s="21">
        <f>INT(E4*0.9)</f>
        <v>802</v>
      </c>
      <c r="F31" s="21">
        <f t="shared" si="30"/>
        <v>44</v>
      </c>
      <c r="G31" s="21">
        <f t="shared" si="30"/>
        <v>310</v>
      </c>
      <c r="H31" s="21">
        <f t="shared" si="30"/>
        <v>290</v>
      </c>
      <c r="I31" s="21">
        <f t="shared" si="30"/>
        <v>165</v>
      </c>
      <c r="J31" s="21">
        <f t="shared" si="30"/>
        <v>3</v>
      </c>
      <c r="K31" s="21">
        <f t="shared" si="30"/>
        <v>30</v>
      </c>
      <c r="L31" s="21"/>
      <c r="M31" s="21">
        <f t="shared" si="30"/>
        <v>310</v>
      </c>
      <c r="N31" s="21">
        <f t="shared" si="30"/>
        <v>242</v>
      </c>
      <c r="O31" s="21">
        <f t="shared" si="30"/>
        <v>163</v>
      </c>
      <c r="P31" s="21"/>
      <c r="Q31" s="21">
        <f t="shared" ref="Q31:W32" si="31">INT(Q4*0.9)</f>
        <v>209</v>
      </c>
      <c r="R31" s="21">
        <f t="shared" si="31"/>
        <v>107</v>
      </c>
      <c r="S31" s="21">
        <f t="shared" si="31"/>
        <v>87</v>
      </c>
      <c r="T31" s="21">
        <f t="shared" si="31"/>
        <v>40</v>
      </c>
      <c r="U31" s="21">
        <f t="shared" si="31"/>
        <v>32</v>
      </c>
      <c r="V31" s="21">
        <f t="shared" si="31"/>
        <v>152</v>
      </c>
      <c r="W31" s="21">
        <f t="shared" si="31"/>
        <v>0</v>
      </c>
      <c r="Y31" s="21">
        <f>SUM(C31:X31)</f>
        <v>4322</v>
      </c>
    </row>
    <row r="32" spans="1:25">
      <c r="B32" s="247" t="s">
        <v>95</v>
      </c>
      <c r="C32" s="21">
        <f t="shared" ref="C32:K32" si="32">INT(C5*0.9)</f>
        <v>4453</v>
      </c>
      <c r="D32" s="21">
        <f t="shared" si="32"/>
        <v>1340</v>
      </c>
      <c r="E32" s="21">
        <f t="shared" si="32"/>
        <v>4076</v>
      </c>
      <c r="F32" s="21">
        <f t="shared" si="32"/>
        <v>964</v>
      </c>
      <c r="G32" s="21">
        <f t="shared" si="32"/>
        <v>863</v>
      </c>
      <c r="H32" s="21">
        <f t="shared" si="32"/>
        <v>640</v>
      </c>
      <c r="I32" s="21">
        <f t="shared" si="32"/>
        <v>822</v>
      </c>
      <c r="J32" s="21">
        <f t="shared" si="32"/>
        <v>1107</v>
      </c>
      <c r="K32" s="21">
        <f t="shared" si="32"/>
        <v>2503</v>
      </c>
      <c r="L32" s="21"/>
      <c r="M32" s="21">
        <f t="shared" si="30"/>
        <v>863</v>
      </c>
      <c r="N32" s="21">
        <f t="shared" si="30"/>
        <v>1229</v>
      </c>
      <c r="O32" s="21">
        <f t="shared" si="30"/>
        <v>1139</v>
      </c>
      <c r="P32" s="21"/>
      <c r="Q32" s="21">
        <f t="shared" si="31"/>
        <v>1362</v>
      </c>
      <c r="R32" s="21">
        <f t="shared" si="31"/>
        <v>643</v>
      </c>
      <c r="S32" s="21">
        <f t="shared" si="31"/>
        <v>478</v>
      </c>
      <c r="T32" s="21">
        <f t="shared" si="31"/>
        <v>619</v>
      </c>
      <c r="U32" s="21">
        <f t="shared" si="31"/>
        <v>115</v>
      </c>
      <c r="V32" s="21">
        <f t="shared" si="31"/>
        <v>312</v>
      </c>
      <c r="W32" s="21">
        <f t="shared" si="31"/>
        <v>167</v>
      </c>
      <c r="Y32" s="21">
        <f t="shared" ref="Y32:Y39" si="33">SUM(C32:X32)</f>
        <v>23695</v>
      </c>
    </row>
    <row r="33" spans="2:26">
      <c r="B33" s="247" t="s">
        <v>96</v>
      </c>
      <c r="C33" s="21">
        <f>C6</f>
        <v>9117.3916637936309</v>
      </c>
      <c r="D33" s="21">
        <f t="shared" ref="D33:Y33" si="34">D6</f>
        <v>7043.2822484284889</v>
      </c>
      <c r="E33" s="21">
        <f t="shared" si="34"/>
        <v>6582.496088344612</v>
      </c>
      <c r="F33" s="21">
        <f t="shared" si="34"/>
        <v>2705.2606817827605</v>
      </c>
      <c r="G33" s="21">
        <f t="shared" si="34"/>
        <v>2808.1657795682413</v>
      </c>
      <c r="H33" s="21">
        <f t="shared" si="34"/>
        <v>2026.0870363985846</v>
      </c>
      <c r="I33" s="21">
        <f t="shared" si="34"/>
        <v>2524.605065670471</v>
      </c>
      <c r="J33" s="21">
        <f t="shared" si="34"/>
        <v>4176.8035801151409</v>
      </c>
      <c r="K33" s="21">
        <f t="shared" si="34"/>
        <v>3794.9113283334664</v>
      </c>
      <c r="L33" s="21"/>
      <c r="M33" s="21">
        <f t="shared" si="34"/>
        <v>2808.1657795682422</v>
      </c>
      <c r="N33" s="21">
        <f t="shared" si="34"/>
        <v>1998.6456769891231</v>
      </c>
      <c r="O33" s="21">
        <f t="shared" si="34"/>
        <v>1402.9394998087266</v>
      </c>
      <c r="P33" s="21"/>
      <c r="Q33" s="21">
        <f t="shared" si="34"/>
        <v>1216.5669338194662</v>
      </c>
      <c r="R33" s="21">
        <f t="shared" si="34"/>
        <v>799.22959280057034</v>
      </c>
      <c r="S33" s="21">
        <f t="shared" si="34"/>
        <v>774.07501334189715</v>
      </c>
      <c r="T33" s="21">
        <f t="shared" si="34"/>
        <v>690.60754513811798</v>
      </c>
      <c r="U33" s="21">
        <f t="shared" si="34"/>
        <v>312.14546328262617</v>
      </c>
      <c r="V33" s="21">
        <f t="shared" si="34"/>
        <v>45.735599015769409</v>
      </c>
      <c r="W33" s="21">
        <f t="shared" si="34"/>
        <v>45.735599015769409</v>
      </c>
      <c r="X33" s="21"/>
      <c r="Y33" s="21">
        <f t="shared" si="34"/>
        <v>50872.85017521571</v>
      </c>
    </row>
    <row r="34" spans="2:26">
      <c r="B34" s="247" t="s">
        <v>97</v>
      </c>
      <c r="C34" s="21">
        <f t="shared" ref="C34:K37" si="35">INT(C7*0.9)</f>
        <v>3088</v>
      </c>
      <c r="D34" s="21">
        <f t="shared" si="35"/>
        <v>377</v>
      </c>
      <c r="E34" s="21">
        <f t="shared" si="35"/>
        <v>655</v>
      </c>
      <c r="F34" s="21">
        <f t="shared" si="35"/>
        <v>190</v>
      </c>
      <c r="G34" s="21">
        <f t="shared" si="35"/>
        <v>190</v>
      </c>
      <c r="H34" s="21">
        <f t="shared" si="35"/>
        <v>161</v>
      </c>
      <c r="I34" s="21">
        <f t="shared" si="35"/>
        <v>236</v>
      </c>
      <c r="J34" s="21">
        <f t="shared" si="35"/>
        <v>269</v>
      </c>
      <c r="K34" s="21">
        <f t="shared" si="35"/>
        <v>205</v>
      </c>
      <c r="L34" s="21"/>
      <c r="M34" s="21">
        <f t="shared" ref="M34:O37" si="36">INT(M7*0.9)</f>
        <v>190</v>
      </c>
      <c r="N34" s="21">
        <f t="shared" si="36"/>
        <v>210</v>
      </c>
      <c r="O34" s="21">
        <f t="shared" si="36"/>
        <v>595</v>
      </c>
      <c r="P34" s="21"/>
      <c r="Q34" s="21">
        <f t="shared" ref="Q34:W37" si="37">INT(Q7*0.9)</f>
        <v>696</v>
      </c>
      <c r="R34" s="21">
        <f t="shared" si="37"/>
        <v>545</v>
      </c>
      <c r="S34" s="21">
        <f t="shared" si="37"/>
        <v>120</v>
      </c>
      <c r="T34" s="21">
        <f t="shared" si="37"/>
        <v>85</v>
      </c>
      <c r="U34" s="21">
        <f t="shared" si="37"/>
        <v>61</v>
      </c>
      <c r="V34" s="21">
        <f t="shared" si="37"/>
        <v>53</v>
      </c>
      <c r="W34" s="21">
        <f t="shared" si="37"/>
        <v>94</v>
      </c>
      <c r="Y34" s="21">
        <f t="shared" si="33"/>
        <v>8020</v>
      </c>
    </row>
    <row r="35" spans="2:26">
      <c r="B35" s="247" t="s">
        <v>281</v>
      </c>
      <c r="C35" s="21">
        <f t="shared" si="35"/>
        <v>2490</v>
      </c>
      <c r="D35" s="21">
        <f t="shared" si="35"/>
        <v>862</v>
      </c>
      <c r="E35" s="21">
        <f t="shared" si="35"/>
        <v>1475</v>
      </c>
      <c r="F35" s="21">
        <f t="shared" si="35"/>
        <v>1259</v>
      </c>
      <c r="G35" s="21">
        <f t="shared" si="35"/>
        <v>475</v>
      </c>
      <c r="H35" s="21">
        <f t="shared" si="35"/>
        <v>397</v>
      </c>
      <c r="I35" s="21">
        <f t="shared" si="35"/>
        <v>907</v>
      </c>
      <c r="J35" s="21">
        <f t="shared" si="35"/>
        <v>782</v>
      </c>
      <c r="K35" s="21">
        <f t="shared" si="35"/>
        <v>377</v>
      </c>
      <c r="L35" s="21"/>
      <c r="M35" s="21">
        <f t="shared" si="36"/>
        <v>475</v>
      </c>
      <c r="N35" s="21">
        <f t="shared" si="36"/>
        <v>721</v>
      </c>
      <c r="O35" s="21">
        <f t="shared" si="36"/>
        <v>645</v>
      </c>
      <c r="P35" s="21"/>
      <c r="Q35" s="21">
        <f t="shared" si="37"/>
        <v>1066</v>
      </c>
      <c r="R35" s="21">
        <f t="shared" si="37"/>
        <v>1265</v>
      </c>
      <c r="S35" s="21">
        <f t="shared" si="37"/>
        <v>226</v>
      </c>
      <c r="T35" s="21">
        <f t="shared" si="37"/>
        <v>450</v>
      </c>
      <c r="U35" s="21">
        <f t="shared" si="37"/>
        <v>339</v>
      </c>
      <c r="V35" s="21">
        <f t="shared" si="37"/>
        <v>267</v>
      </c>
      <c r="W35" s="21">
        <f t="shared" si="37"/>
        <v>28</v>
      </c>
      <c r="Y35" s="21">
        <f t="shared" si="33"/>
        <v>14506</v>
      </c>
    </row>
    <row r="36" spans="2:26">
      <c r="B36" s="247" t="s">
        <v>279</v>
      </c>
      <c r="C36" s="21">
        <f t="shared" si="35"/>
        <v>764</v>
      </c>
      <c r="D36" s="21">
        <f t="shared" si="35"/>
        <v>590</v>
      </c>
      <c r="E36" s="21">
        <f t="shared" si="35"/>
        <v>551</v>
      </c>
      <c r="F36" s="21">
        <f t="shared" si="35"/>
        <v>226</v>
      </c>
      <c r="G36" s="21">
        <f t="shared" si="35"/>
        <v>235</v>
      </c>
      <c r="H36" s="21">
        <f t="shared" si="35"/>
        <v>51</v>
      </c>
      <c r="I36" s="21">
        <f t="shared" si="35"/>
        <v>210</v>
      </c>
      <c r="J36" s="21">
        <f t="shared" si="35"/>
        <v>349</v>
      </c>
      <c r="K36" s="21">
        <f t="shared" si="35"/>
        <v>317</v>
      </c>
      <c r="L36" s="21"/>
      <c r="M36" s="21">
        <f t="shared" si="36"/>
        <v>235</v>
      </c>
      <c r="N36" s="21">
        <f t="shared" si="36"/>
        <v>161</v>
      </c>
      <c r="O36" s="21">
        <f t="shared" si="36"/>
        <v>113</v>
      </c>
      <c r="P36" s="21"/>
      <c r="Q36" s="21">
        <f t="shared" si="37"/>
        <v>98</v>
      </c>
      <c r="R36" s="21">
        <f t="shared" si="37"/>
        <v>64</v>
      </c>
      <c r="S36" s="21">
        <f t="shared" si="37"/>
        <v>62</v>
      </c>
      <c r="T36" s="21">
        <f t="shared" si="37"/>
        <v>55</v>
      </c>
      <c r="U36" s="21">
        <f t="shared" si="37"/>
        <v>25</v>
      </c>
      <c r="V36" s="21">
        <f t="shared" si="37"/>
        <v>4</v>
      </c>
      <c r="W36" s="21">
        <f t="shared" si="37"/>
        <v>4</v>
      </c>
      <c r="Y36" s="21">
        <f t="shared" si="33"/>
        <v>4114</v>
      </c>
    </row>
    <row r="37" spans="2:26">
      <c r="B37" s="247" t="s">
        <v>280</v>
      </c>
      <c r="C37" s="21">
        <f t="shared" si="35"/>
        <v>85</v>
      </c>
      <c r="D37" s="21">
        <f t="shared" si="35"/>
        <v>65</v>
      </c>
      <c r="E37" s="21">
        <f t="shared" si="35"/>
        <v>61</v>
      </c>
      <c r="F37" s="21">
        <f t="shared" si="35"/>
        <v>24</v>
      </c>
      <c r="G37" s="21">
        <f t="shared" si="35"/>
        <v>25</v>
      </c>
      <c r="H37" s="21">
        <f t="shared" si="35"/>
        <v>6</v>
      </c>
      <c r="I37" s="21">
        <f t="shared" si="35"/>
        <v>23</v>
      </c>
      <c r="J37" s="21">
        <f t="shared" si="35"/>
        <v>39</v>
      </c>
      <c r="K37" s="21">
        <f t="shared" si="35"/>
        <v>34</v>
      </c>
      <c r="L37" s="21"/>
      <c r="M37" s="21">
        <f t="shared" si="36"/>
        <v>25</v>
      </c>
      <c r="N37" s="21">
        <f t="shared" si="36"/>
        <v>17</v>
      </c>
      <c r="O37" s="21">
        <f t="shared" si="36"/>
        <v>12</v>
      </c>
      <c r="P37" s="21"/>
      <c r="Q37" s="21">
        <f t="shared" si="37"/>
        <v>11</v>
      </c>
      <c r="R37" s="21">
        <f t="shared" si="37"/>
        <v>7</v>
      </c>
      <c r="S37" s="21">
        <f t="shared" si="37"/>
        <v>7</v>
      </c>
      <c r="T37" s="21">
        <f t="shared" si="37"/>
        <v>6</v>
      </c>
      <c r="U37" s="21">
        <f t="shared" si="37"/>
        <v>3</v>
      </c>
      <c r="V37" s="21">
        <f t="shared" si="37"/>
        <v>1</v>
      </c>
      <c r="W37" s="21">
        <f t="shared" si="37"/>
        <v>1</v>
      </c>
      <c r="Y37" s="21">
        <f t="shared" si="33"/>
        <v>452</v>
      </c>
    </row>
    <row r="38" spans="2:26">
      <c r="C38" s="21"/>
      <c r="D38" s="21"/>
      <c r="E38" s="21"/>
      <c r="F38" s="21"/>
      <c r="G38" s="21"/>
      <c r="H38" s="21"/>
      <c r="I38" s="21"/>
      <c r="J38" s="21"/>
      <c r="K38" s="21"/>
      <c r="L38" s="246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Y38" s="21"/>
    </row>
    <row r="39" spans="2:26">
      <c r="B39" s="247" t="s">
        <v>99</v>
      </c>
      <c r="C39" s="21">
        <f t="shared" ref="C39:K39" si="38">INT(C12*0.9)</f>
        <v>445</v>
      </c>
      <c r="D39" s="21">
        <f t="shared" si="38"/>
        <v>374</v>
      </c>
      <c r="E39" s="21">
        <f t="shared" si="38"/>
        <v>568</v>
      </c>
      <c r="F39" s="21">
        <f t="shared" si="38"/>
        <v>237</v>
      </c>
      <c r="G39" s="21">
        <f t="shared" si="38"/>
        <v>216</v>
      </c>
      <c r="H39" s="21">
        <f t="shared" si="38"/>
        <v>232</v>
      </c>
      <c r="I39" s="21">
        <f t="shared" si="38"/>
        <v>676</v>
      </c>
      <c r="J39" s="21">
        <f t="shared" si="38"/>
        <v>427</v>
      </c>
      <c r="K39" s="21">
        <f t="shared" si="38"/>
        <v>445</v>
      </c>
      <c r="L39" s="21"/>
      <c r="M39" s="21">
        <f t="shared" ref="M39:O39" si="39">INT(M12*0.9)</f>
        <v>216</v>
      </c>
      <c r="N39" s="21">
        <f t="shared" si="39"/>
        <v>787</v>
      </c>
      <c r="O39" s="21">
        <f t="shared" si="39"/>
        <v>240</v>
      </c>
      <c r="P39" s="21"/>
      <c r="Q39" s="21">
        <f t="shared" ref="Q39:W39" si="40">INT(Q12*0.9)</f>
        <v>241</v>
      </c>
      <c r="R39" s="21">
        <f t="shared" si="40"/>
        <v>101</v>
      </c>
      <c r="S39" s="21">
        <f t="shared" si="40"/>
        <v>193</v>
      </c>
      <c r="T39" s="21">
        <f t="shared" si="40"/>
        <v>65</v>
      </c>
      <c r="U39" s="21">
        <f t="shared" si="40"/>
        <v>79</v>
      </c>
      <c r="V39" s="21">
        <f t="shared" si="40"/>
        <v>162</v>
      </c>
      <c r="W39" s="21">
        <f t="shared" si="40"/>
        <v>51</v>
      </c>
      <c r="Y39" s="21">
        <f t="shared" si="33"/>
        <v>5755</v>
      </c>
    </row>
    <row r="40" spans="2:26"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Y40" s="21">
        <f>SUM(Y31:Y39)</f>
        <v>111736.85017521572</v>
      </c>
      <c r="Z40" s="21">
        <f>Y13-Y40</f>
        <v>6834.2891623884207</v>
      </c>
    </row>
    <row r="41" spans="2:26">
      <c r="C41" s="21">
        <f>C14</f>
        <v>0</v>
      </c>
      <c r="D41" s="21">
        <f t="shared" ref="D41:W41" si="41">D14</f>
        <v>22</v>
      </c>
      <c r="E41" s="21">
        <f t="shared" si="41"/>
        <v>0</v>
      </c>
      <c r="F41" s="21">
        <f t="shared" si="41"/>
        <v>28</v>
      </c>
      <c r="G41" s="21">
        <f t="shared" si="41"/>
        <v>6</v>
      </c>
      <c r="H41" s="21">
        <f t="shared" si="41"/>
        <v>0</v>
      </c>
      <c r="I41" s="21">
        <f t="shared" si="41"/>
        <v>11</v>
      </c>
      <c r="J41" s="21">
        <f t="shared" si="41"/>
        <v>0</v>
      </c>
      <c r="K41" s="21">
        <f t="shared" si="41"/>
        <v>0</v>
      </c>
      <c r="L41" s="21">
        <f t="shared" si="41"/>
        <v>67</v>
      </c>
      <c r="M41" s="21">
        <f t="shared" si="41"/>
        <v>0</v>
      </c>
      <c r="N41" s="21">
        <f t="shared" si="41"/>
        <v>0</v>
      </c>
      <c r="O41" s="21">
        <f t="shared" si="41"/>
        <v>0</v>
      </c>
      <c r="P41" s="21">
        <f t="shared" si="41"/>
        <v>0</v>
      </c>
      <c r="Q41" s="21">
        <f t="shared" si="41"/>
        <v>0</v>
      </c>
      <c r="R41" s="21">
        <f t="shared" si="41"/>
        <v>0</v>
      </c>
      <c r="S41" s="21">
        <f t="shared" si="41"/>
        <v>0</v>
      </c>
      <c r="T41" s="21">
        <f t="shared" si="41"/>
        <v>0</v>
      </c>
      <c r="U41" s="21">
        <f t="shared" si="41"/>
        <v>0</v>
      </c>
      <c r="V41" s="21">
        <f t="shared" si="41"/>
        <v>0</v>
      </c>
      <c r="W41" s="21">
        <f t="shared" si="41"/>
        <v>0</v>
      </c>
    </row>
    <row r="42" spans="2:26">
      <c r="C42" s="21">
        <f t="shared" ref="C42:W42" si="42">C15</f>
        <v>0</v>
      </c>
      <c r="D42" s="21">
        <f t="shared" si="42"/>
        <v>15</v>
      </c>
      <c r="E42" s="21">
        <f t="shared" si="42"/>
        <v>0</v>
      </c>
      <c r="F42" s="21">
        <f t="shared" si="42"/>
        <v>0</v>
      </c>
      <c r="G42" s="21">
        <f t="shared" si="42"/>
        <v>0</v>
      </c>
      <c r="H42" s="21">
        <f t="shared" si="42"/>
        <v>0</v>
      </c>
      <c r="I42" s="21">
        <f t="shared" si="42"/>
        <v>0</v>
      </c>
      <c r="J42" s="21">
        <f t="shared" si="42"/>
        <v>0</v>
      </c>
      <c r="K42" s="21">
        <f t="shared" si="42"/>
        <v>0</v>
      </c>
      <c r="L42" s="21">
        <f t="shared" si="42"/>
        <v>15</v>
      </c>
      <c r="M42" s="21">
        <f t="shared" si="42"/>
        <v>0</v>
      </c>
      <c r="N42" s="21">
        <f t="shared" si="42"/>
        <v>0</v>
      </c>
      <c r="O42" s="21">
        <f t="shared" si="42"/>
        <v>0</v>
      </c>
      <c r="P42" s="21">
        <f t="shared" si="42"/>
        <v>0</v>
      </c>
      <c r="Q42" s="21">
        <f t="shared" si="42"/>
        <v>0</v>
      </c>
      <c r="R42" s="21">
        <f t="shared" si="42"/>
        <v>0</v>
      </c>
      <c r="S42" s="21">
        <f t="shared" si="42"/>
        <v>0</v>
      </c>
      <c r="T42" s="21">
        <f t="shared" si="42"/>
        <v>0</v>
      </c>
      <c r="U42" s="21">
        <f t="shared" si="42"/>
        <v>0</v>
      </c>
      <c r="V42" s="21">
        <f t="shared" si="42"/>
        <v>0</v>
      </c>
      <c r="W42" s="21">
        <f t="shared" si="42"/>
        <v>0</v>
      </c>
    </row>
    <row r="43" spans="2:26">
      <c r="C43" s="21">
        <f t="shared" ref="C43:W43" si="43">C16</f>
        <v>0</v>
      </c>
      <c r="D43" s="21">
        <f t="shared" si="43"/>
        <v>1965</v>
      </c>
      <c r="E43" s="21">
        <f t="shared" si="43"/>
        <v>0</v>
      </c>
      <c r="F43" s="21">
        <f t="shared" si="43"/>
        <v>0</v>
      </c>
      <c r="G43" s="21">
        <f t="shared" si="43"/>
        <v>0</v>
      </c>
      <c r="H43" s="21">
        <f t="shared" si="43"/>
        <v>0</v>
      </c>
      <c r="I43" s="21">
        <f t="shared" si="43"/>
        <v>0</v>
      </c>
      <c r="J43" s="21">
        <f t="shared" si="43"/>
        <v>0</v>
      </c>
      <c r="K43" s="21">
        <f t="shared" si="43"/>
        <v>0</v>
      </c>
      <c r="L43" s="21">
        <f t="shared" si="43"/>
        <v>1965</v>
      </c>
      <c r="M43" s="21">
        <f t="shared" si="43"/>
        <v>1524</v>
      </c>
      <c r="N43" s="21">
        <f t="shared" si="43"/>
        <v>0</v>
      </c>
      <c r="O43" s="21">
        <f t="shared" si="43"/>
        <v>0</v>
      </c>
      <c r="P43" s="21">
        <f t="shared" si="43"/>
        <v>1524</v>
      </c>
      <c r="Q43" s="21">
        <f t="shared" si="43"/>
        <v>0</v>
      </c>
      <c r="R43" s="21">
        <f t="shared" si="43"/>
        <v>0</v>
      </c>
      <c r="S43" s="21">
        <f t="shared" si="43"/>
        <v>0</v>
      </c>
      <c r="T43" s="21">
        <f t="shared" si="43"/>
        <v>0</v>
      </c>
      <c r="U43" s="21">
        <f t="shared" si="43"/>
        <v>0</v>
      </c>
      <c r="V43" s="21">
        <f t="shared" si="43"/>
        <v>0</v>
      </c>
      <c r="W43" s="21">
        <f t="shared" si="43"/>
        <v>0</v>
      </c>
    </row>
    <row r="44" spans="2:26">
      <c r="C44" s="21">
        <f t="shared" ref="C44:W44" si="44">C17</f>
        <v>487.77128999576735</v>
      </c>
      <c r="D44" s="21">
        <f t="shared" si="44"/>
        <v>1825.5307177645586</v>
      </c>
      <c r="E44" s="21">
        <f t="shared" si="44"/>
        <v>2873.0704660220645</v>
      </c>
      <c r="F44" s="21">
        <f t="shared" si="44"/>
        <v>805.71707318195956</v>
      </c>
      <c r="G44" s="21">
        <f t="shared" si="44"/>
        <v>1290.5213974279652</v>
      </c>
      <c r="H44" s="21">
        <f t="shared" si="44"/>
        <v>318.03443360876787</v>
      </c>
      <c r="I44" s="21">
        <f t="shared" si="44"/>
        <v>180</v>
      </c>
      <c r="J44" s="21">
        <f t="shared" si="44"/>
        <v>1533.9781139851473</v>
      </c>
      <c r="K44" s="21">
        <f t="shared" si="44"/>
        <v>706</v>
      </c>
      <c r="L44" s="21">
        <f t="shared" si="44"/>
        <v>10020.623491986231</v>
      </c>
      <c r="M44" s="21">
        <f t="shared" si="44"/>
        <v>395.7496147537675</v>
      </c>
      <c r="N44" s="21">
        <f t="shared" si="44"/>
        <v>1689.9303836326796</v>
      </c>
      <c r="O44" s="21">
        <f t="shared" si="44"/>
        <v>2298.1783768684254</v>
      </c>
      <c r="P44" s="21">
        <f t="shared" si="44"/>
        <v>4383.858375254873</v>
      </c>
      <c r="Q44" s="21">
        <f t="shared" si="44"/>
        <v>1045.058437510331</v>
      </c>
      <c r="R44" s="21">
        <f t="shared" si="44"/>
        <v>1296.6042320970625</v>
      </c>
      <c r="S44" s="21">
        <f t="shared" si="44"/>
        <v>634.58143634380053</v>
      </c>
      <c r="T44" s="21">
        <f t="shared" si="44"/>
        <v>1055.3489472888791</v>
      </c>
      <c r="U44" s="21">
        <f t="shared" si="44"/>
        <v>85.754248154567634</v>
      </c>
      <c r="V44" s="21">
        <f t="shared" si="44"/>
        <v>90.327808056144576</v>
      </c>
      <c r="W44" s="21">
        <f t="shared" si="44"/>
        <v>10.290509778548117</v>
      </c>
    </row>
    <row r="45" spans="2:26">
      <c r="C45" s="21">
        <f t="shared" ref="C45:W45" si="45">C18</f>
        <v>487.77128999576735</v>
      </c>
      <c r="D45" s="21">
        <f t="shared" si="45"/>
        <v>3790.5307177645586</v>
      </c>
      <c r="E45" s="21">
        <f t="shared" si="45"/>
        <v>2873.0704660220645</v>
      </c>
      <c r="F45" s="21">
        <f t="shared" si="45"/>
        <v>805.71707318195956</v>
      </c>
      <c r="G45" s="21">
        <f t="shared" si="45"/>
        <v>1290.5213974279652</v>
      </c>
      <c r="H45" s="21">
        <f t="shared" si="45"/>
        <v>318.03443360876787</v>
      </c>
      <c r="I45" s="21">
        <f t="shared" si="45"/>
        <v>180</v>
      </c>
      <c r="J45" s="21">
        <f t="shared" si="45"/>
        <v>1533.9781139851473</v>
      </c>
      <c r="K45" s="21">
        <f t="shared" si="45"/>
        <v>706</v>
      </c>
      <c r="L45" s="21">
        <f t="shared" si="45"/>
        <v>11985.623491986231</v>
      </c>
      <c r="M45" s="21">
        <f t="shared" si="45"/>
        <v>1919.7496147537674</v>
      </c>
      <c r="N45" s="21">
        <f t="shared" si="45"/>
        <v>1689.9303836326796</v>
      </c>
      <c r="O45" s="21">
        <f t="shared" si="45"/>
        <v>2298.1783768684254</v>
      </c>
      <c r="P45" s="21">
        <f t="shared" si="45"/>
        <v>5907.858375254873</v>
      </c>
      <c r="Q45" s="21">
        <f t="shared" si="45"/>
        <v>1045.058437510331</v>
      </c>
      <c r="R45" s="21">
        <f t="shared" si="45"/>
        <v>1296.6042320970625</v>
      </c>
      <c r="S45" s="21">
        <f t="shared" si="45"/>
        <v>634.58143634380053</v>
      </c>
      <c r="T45" s="21">
        <f t="shared" si="45"/>
        <v>1055.3489472888791</v>
      </c>
      <c r="U45" s="21">
        <f t="shared" si="45"/>
        <v>85.754248154567634</v>
      </c>
      <c r="V45" s="21">
        <f t="shared" si="45"/>
        <v>90.327808056144576</v>
      </c>
      <c r="W45" s="21">
        <f t="shared" si="45"/>
        <v>10.290509778548117</v>
      </c>
    </row>
    <row r="46" spans="2:26">
      <c r="C46" s="21">
        <f t="shared" ref="C46:W46" si="46">C19</f>
        <v>5467.2163197131986</v>
      </c>
      <c r="D46" s="21">
        <f t="shared" si="46"/>
        <v>0</v>
      </c>
      <c r="E46" s="21">
        <f t="shared" si="46"/>
        <v>10673.283416637107</v>
      </c>
      <c r="F46" s="21">
        <f t="shared" si="46"/>
        <v>0</v>
      </c>
      <c r="G46" s="21">
        <f t="shared" si="46"/>
        <v>0</v>
      </c>
      <c r="H46" s="21">
        <f t="shared" si="46"/>
        <v>0</v>
      </c>
      <c r="I46" s="21">
        <f t="shared" si="46"/>
        <v>0</v>
      </c>
      <c r="J46" s="21">
        <f t="shared" si="46"/>
        <v>0</v>
      </c>
      <c r="K46" s="21">
        <f t="shared" si="46"/>
        <v>0</v>
      </c>
      <c r="L46" s="21">
        <f t="shared" si="46"/>
        <v>16140.499736350306</v>
      </c>
      <c r="M46" s="21">
        <f t="shared" si="46"/>
        <v>0</v>
      </c>
      <c r="N46" s="21">
        <f t="shared" si="46"/>
        <v>0</v>
      </c>
      <c r="O46" s="21">
        <f t="shared" si="46"/>
        <v>0</v>
      </c>
      <c r="P46" s="21">
        <f t="shared" si="46"/>
        <v>0</v>
      </c>
      <c r="Q46" s="21">
        <f t="shared" si="46"/>
        <v>0</v>
      </c>
      <c r="R46" s="21">
        <f t="shared" si="46"/>
        <v>0</v>
      </c>
      <c r="S46" s="21">
        <f t="shared" si="46"/>
        <v>0</v>
      </c>
      <c r="T46" s="21">
        <f t="shared" si="46"/>
        <v>0</v>
      </c>
      <c r="U46" s="21">
        <f t="shared" si="46"/>
        <v>0</v>
      </c>
      <c r="V46" s="21">
        <f t="shared" si="46"/>
        <v>0</v>
      </c>
      <c r="W46" s="21">
        <f t="shared" si="46"/>
        <v>0</v>
      </c>
    </row>
    <row r="47" spans="2:26">
      <c r="C47" s="21">
        <f t="shared" ref="C47:W47" si="47">C20</f>
        <v>62.819542265391846</v>
      </c>
      <c r="D47" s="21">
        <f t="shared" si="47"/>
        <v>76</v>
      </c>
      <c r="E47" s="21">
        <f t="shared" si="47"/>
        <v>465.24143826386137</v>
      </c>
      <c r="F47" s="21">
        <f t="shared" si="47"/>
        <v>13</v>
      </c>
      <c r="G47" s="21">
        <f t="shared" si="47"/>
        <v>37</v>
      </c>
      <c r="H47" s="21">
        <f t="shared" si="47"/>
        <v>19</v>
      </c>
      <c r="I47" s="21">
        <f t="shared" si="47"/>
        <v>100</v>
      </c>
      <c r="J47" s="21">
        <f t="shared" si="47"/>
        <v>102</v>
      </c>
      <c r="K47" s="21">
        <f t="shared" si="47"/>
        <v>6</v>
      </c>
      <c r="L47" s="21">
        <f t="shared" si="47"/>
        <v>881.06098052925324</v>
      </c>
      <c r="M47" s="21">
        <f t="shared" si="47"/>
        <v>150</v>
      </c>
      <c r="N47" s="21">
        <f t="shared" si="47"/>
        <v>83.693272002307324</v>
      </c>
      <c r="O47" s="21">
        <f t="shared" si="47"/>
        <v>30</v>
      </c>
      <c r="P47" s="21">
        <f t="shared" si="47"/>
        <v>263.69327200230731</v>
      </c>
      <c r="Q47" s="21">
        <f t="shared" si="47"/>
        <v>0</v>
      </c>
      <c r="R47" s="21">
        <f t="shared" si="47"/>
        <v>21</v>
      </c>
      <c r="S47" s="21">
        <f t="shared" si="47"/>
        <v>0</v>
      </c>
      <c r="T47" s="21">
        <f t="shared" si="47"/>
        <v>0</v>
      </c>
      <c r="U47" s="21">
        <f t="shared" si="47"/>
        <v>0</v>
      </c>
      <c r="V47" s="21">
        <f t="shared" si="47"/>
        <v>0</v>
      </c>
      <c r="W47" s="21">
        <f t="shared" si="47"/>
        <v>0</v>
      </c>
    </row>
    <row r="48" spans="2:26">
      <c r="C48" s="21">
        <f t="shared" ref="C48:W48" si="48">C21</f>
        <v>0</v>
      </c>
      <c r="D48" s="21">
        <f t="shared" si="48"/>
        <v>0</v>
      </c>
      <c r="E48" s="21">
        <f t="shared" si="48"/>
        <v>10815</v>
      </c>
      <c r="F48" s="21">
        <f t="shared" si="48"/>
        <v>0</v>
      </c>
      <c r="G48" s="21">
        <f t="shared" si="48"/>
        <v>0</v>
      </c>
      <c r="H48" s="21">
        <f t="shared" si="48"/>
        <v>0</v>
      </c>
      <c r="I48" s="21">
        <f t="shared" si="48"/>
        <v>0</v>
      </c>
      <c r="J48" s="21">
        <f t="shared" si="48"/>
        <v>20343</v>
      </c>
      <c r="K48" s="21">
        <f t="shared" si="48"/>
        <v>0</v>
      </c>
      <c r="L48" s="21">
        <f t="shared" si="48"/>
        <v>31158</v>
      </c>
      <c r="M48" s="21">
        <f t="shared" si="48"/>
        <v>0</v>
      </c>
      <c r="N48" s="21">
        <f t="shared" si="48"/>
        <v>0</v>
      </c>
      <c r="O48" s="21">
        <f t="shared" si="48"/>
        <v>0</v>
      </c>
      <c r="P48" s="21">
        <f t="shared" si="48"/>
        <v>0</v>
      </c>
      <c r="Q48" s="21">
        <f t="shared" si="48"/>
        <v>0</v>
      </c>
      <c r="R48" s="21">
        <f t="shared" si="48"/>
        <v>0</v>
      </c>
      <c r="S48" s="21">
        <f t="shared" si="48"/>
        <v>0</v>
      </c>
      <c r="T48" s="21">
        <f t="shared" si="48"/>
        <v>0</v>
      </c>
      <c r="U48" s="21">
        <f t="shared" si="48"/>
        <v>0</v>
      </c>
      <c r="V48" s="21">
        <f t="shared" si="48"/>
        <v>0</v>
      </c>
      <c r="W48" s="21">
        <f t="shared" si="48"/>
        <v>0</v>
      </c>
    </row>
    <row r="49" spans="3:23">
      <c r="C49" s="21">
        <f t="shared" ref="C49:W49" si="49">C22</f>
        <v>867.5</v>
      </c>
      <c r="D49" s="21">
        <f t="shared" si="49"/>
        <v>671.93741236138169</v>
      </c>
      <c r="E49" s="21">
        <f t="shared" si="49"/>
        <v>2116.2441634869137</v>
      </c>
      <c r="F49" s="21">
        <f t="shared" si="49"/>
        <v>170</v>
      </c>
      <c r="G49" s="21">
        <f t="shared" si="49"/>
        <v>180</v>
      </c>
      <c r="H49" s="21">
        <f t="shared" si="49"/>
        <v>50</v>
      </c>
      <c r="I49" s="21">
        <f t="shared" si="49"/>
        <v>1479.5466281601402</v>
      </c>
      <c r="J49" s="21">
        <f t="shared" si="49"/>
        <v>386</v>
      </c>
      <c r="K49" s="21">
        <f t="shared" si="49"/>
        <v>386</v>
      </c>
      <c r="L49" s="21">
        <f t="shared" si="49"/>
        <v>6307.2282040084356</v>
      </c>
      <c r="M49" s="21">
        <f t="shared" si="49"/>
        <v>268.08153822693714</v>
      </c>
      <c r="N49" s="21">
        <f t="shared" si="49"/>
        <v>386</v>
      </c>
      <c r="O49" s="21">
        <f t="shared" si="49"/>
        <v>107</v>
      </c>
      <c r="P49" s="21">
        <f t="shared" si="49"/>
        <v>761.08153822693714</v>
      </c>
      <c r="Q49" s="21">
        <f t="shared" si="49"/>
        <v>29</v>
      </c>
      <c r="R49" s="21">
        <f t="shared" si="49"/>
        <v>0</v>
      </c>
      <c r="S49" s="21">
        <f t="shared" si="49"/>
        <v>0</v>
      </c>
      <c r="T49" s="21">
        <f t="shared" si="49"/>
        <v>0</v>
      </c>
      <c r="U49" s="21">
        <f t="shared" si="49"/>
        <v>0</v>
      </c>
      <c r="V49" s="21">
        <f t="shared" si="49"/>
        <v>0</v>
      </c>
      <c r="W49" s="21">
        <f t="shared" si="49"/>
        <v>0</v>
      </c>
    </row>
    <row r="50" spans="3:23">
      <c r="C50" s="21">
        <f t="shared" ref="C50:W50" si="50">C23</f>
        <v>2</v>
      </c>
      <c r="D50" s="21">
        <f t="shared" si="50"/>
        <v>79</v>
      </c>
      <c r="E50" s="21">
        <f t="shared" si="50"/>
        <v>155</v>
      </c>
      <c r="F50" s="21">
        <f t="shared" si="50"/>
        <v>13</v>
      </c>
      <c r="G50" s="21">
        <f t="shared" si="50"/>
        <v>54</v>
      </c>
      <c r="H50" s="21">
        <f t="shared" si="50"/>
        <v>20</v>
      </c>
      <c r="I50" s="21">
        <f t="shared" si="50"/>
        <v>91</v>
      </c>
      <c r="J50" s="21">
        <f t="shared" si="50"/>
        <v>83.5</v>
      </c>
      <c r="K50" s="21">
        <f t="shared" si="50"/>
        <v>84</v>
      </c>
      <c r="L50" s="21">
        <f t="shared" si="50"/>
        <v>581.5</v>
      </c>
      <c r="M50" s="21">
        <f t="shared" si="50"/>
        <v>44</v>
      </c>
      <c r="N50" s="21">
        <f t="shared" si="50"/>
        <v>84</v>
      </c>
      <c r="O50" s="21">
        <f t="shared" si="50"/>
        <v>47</v>
      </c>
      <c r="P50" s="21">
        <f t="shared" si="50"/>
        <v>175</v>
      </c>
      <c r="Q50" s="21">
        <f t="shared" si="50"/>
        <v>0</v>
      </c>
      <c r="R50" s="21">
        <f t="shared" si="50"/>
        <v>10</v>
      </c>
      <c r="S50" s="21">
        <f t="shared" si="50"/>
        <v>0</v>
      </c>
      <c r="T50" s="21">
        <f t="shared" si="50"/>
        <v>0</v>
      </c>
      <c r="U50" s="21">
        <f t="shared" si="50"/>
        <v>0</v>
      </c>
      <c r="V50" s="21">
        <f t="shared" si="50"/>
        <v>0</v>
      </c>
      <c r="W50" s="21">
        <f t="shared" si="50"/>
        <v>0</v>
      </c>
    </row>
    <row r="51" spans="3:23">
      <c r="C51" s="21">
        <f t="shared" ref="C51:W51" si="51">C24</f>
        <v>869.5</v>
      </c>
      <c r="D51" s="21">
        <f t="shared" si="51"/>
        <v>750.93741236138169</v>
      </c>
      <c r="E51" s="21">
        <f t="shared" si="51"/>
        <v>13086.244163486914</v>
      </c>
      <c r="F51" s="21">
        <f t="shared" si="51"/>
        <v>183</v>
      </c>
      <c r="G51" s="21">
        <f t="shared" si="51"/>
        <v>234</v>
      </c>
      <c r="H51" s="21">
        <f t="shared" si="51"/>
        <v>70</v>
      </c>
      <c r="I51" s="21">
        <f t="shared" si="51"/>
        <v>1570.5466281601402</v>
      </c>
      <c r="J51" s="21">
        <f t="shared" si="51"/>
        <v>20812.5</v>
      </c>
      <c r="K51" s="21">
        <f t="shared" si="51"/>
        <v>470</v>
      </c>
      <c r="L51" s="21">
        <f t="shared" si="51"/>
        <v>38046.728204008439</v>
      </c>
      <c r="M51" s="21">
        <f t="shared" si="51"/>
        <v>312.08153822693714</v>
      </c>
      <c r="N51" s="21">
        <f t="shared" si="51"/>
        <v>470</v>
      </c>
      <c r="O51" s="21">
        <f t="shared" si="51"/>
        <v>154</v>
      </c>
      <c r="P51" s="21">
        <f t="shared" si="51"/>
        <v>936.08153822693714</v>
      </c>
      <c r="Q51" s="21">
        <f t="shared" si="51"/>
        <v>29</v>
      </c>
      <c r="R51" s="21">
        <f t="shared" si="51"/>
        <v>10</v>
      </c>
      <c r="S51" s="21">
        <f t="shared" si="51"/>
        <v>0</v>
      </c>
      <c r="T51" s="21">
        <f t="shared" si="51"/>
        <v>0</v>
      </c>
      <c r="U51" s="21">
        <f t="shared" si="51"/>
        <v>0</v>
      </c>
      <c r="V51" s="21">
        <f t="shared" si="51"/>
        <v>0</v>
      </c>
      <c r="W51" s="21">
        <f t="shared" si="51"/>
        <v>0</v>
      </c>
    </row>
    <row r="52" spans="3:23">
      <c r="C52" s="21">
        <f>C25</f>
        <v>6887.3071519743571</v>
      </c>
      <c r="D52" s="21">
        <f t="shared" ref="D52:W52" si="52">D25</f>
        <v>4654.4681301259407</v>
      </c>
      <c r="E52" s="21">
        <f t="shared" si="52"/>
        <v>27097.839484409946</v>
      </c>
      <c r="F52" s="21">
        <f t="shared" si="52"/>
        <v>1029.7170731819597</v>
      </c>
      <c r="G52" s="21">
        <f t="shared" si="52"/>
        <v>1567.5213974279652</v>
      </c>
      <c r="H52" s="21">
        <f t="shared" si="52"/>
        <v>407.03443360876787</v>
      </c>
      <c r="I52" s="21">
        <f t="shared" si="52"/>
        <v>1861.5466281601402</v>
      </c>
      <c r="J52" s="21">
        <f t="shared" si="52"/>
        <v>22448.478113985148</v>
      </c>
      <c r="K52" s="21">
        <f t="shared" si="52"/>
        <v>1182</v>
      </c>
      <c r="L52" s="21">
        <f t="shared" si="52"/>
        <v>67135.912412874226</v>
      </c>
      <c r="M52" s="21">
        <f t="shared" si="52"/>
        <v>2381.8311529807047</v>
      </c>
      <c r="N52" s="21">
        <f t="shared" si="52"/>
        <v>2243.6236556349868</v>
      </c>
      <c r="O52" s="21">
        <f t="shared" si="52"/>
        <v>2482.1783768684254</v>
      </c>
      <c r="P52" s="21">
        <f t="shared" si="52"/>
        <v>7107.6331854841173</v>
      </c>
      <c r="Q52" s="21">
        <f t="shared" si="52"/>
        <v>1074.058437510331</v>
      </c>
      <c r="R52" s="21">
        <f t="shared" si="52"/>
        <v>1327.6042320970625</v>
      </c>
      <c r="S52" s="21">
        <f t="shared" si="52"/>
        <v>634.58143634380053</v>
      </c>
      <c r="T52" s="21">
        <f t="shared" si="52"/>
        <v>1055.3489472888791</v>
      </c>
      <c r="U52" s="21">
        <f t="shared" si="52"/>
        <v>85.754248154567634</v>
      </c>
      <c r="V52" s="21">
        <f t="shared" si="52"/>
        <v>90.327808056144576</v>
      </c>
      <c r="W52" s="21">
        <f t="shared" si="52"/>
        <v>10.290509778548117</v>
      </c>
    </row>
    <row r="53" spans="3:23">
      <c r="C53" s="21">
        <f t="shared" ref="C53:W53" si="53">C26</f>
        <v>1301.8874823281951</v>
      </c>
      <c r="D53" s="21">
        <f t="shared" si="53"/>
        <v>380.86714352787294</v>
      </c>
      <c r="E53" s="21">
        <f t="shared" si="53"/>
        <v>483.37796890804577</v>
      </c>
      <c r="F53" s="21">
        <f t="shared" si="53"/>
        <v>155.45597695015226</v>
      </c>
      <c r="G53" s="21">
        <f t="shared" si="53"/>
        <v>1574.8366360602379</v>
      </c>
      <c r="H53" s="21">
        <f t="shared" si="53"/>
        <v>798.68324389607187</v>
      </c>
      <c r="I53" s="21">
        <f t="shared" si="53"/>
        <v>2.2529851731906114</v>
      </c>
      <c r="J53" s="21">
        <f t="shared" si="53"/>
        <v>719.82876283440066</v>
      </c>
      <c r="K53" s="21">
        <f t="shared" si="53"/>
        <v>3342.3035044282728</v>
      </c>
      <c r="L53" s="21">
        <f t="shared" si="53"/>
        <v>8759.4937041064404</v>
      </c>
      <c r="M53" s="21">
        <f t="shared" si="53"/>
        <v>48.439181223598162</v>
      </c>
      <c r="N53" s="21">
        <f t="shared" si="53"/>
        <v>598.16756348210765</v>
      </c>
      <c r="O53" s="21">
        <f t="shared" si="53"/>
        <v>1408.1157332441323</v>
      </c>
      <c r="P53" s="21">
        <f t="shared" si="53"/>
        <v>2054.7224779498383</v>
      </c>
      <c r="Q53" s="21">
        <f t="shared" si="53"/>
        <v>1174.2159178500826</v>
      </c>
      <c r="R53" s="21">
        <f t="shared" si="53"/>
        <v>779.11112885704927</v>
      </c>
      <c r="S53" s="21">
        <f t="shared" si="53"/>
        <v>607.08516735727324</v>
      </c>
      <c r="T53" s="21">
        <f t="shared" si="53"/>
        <v>0</v>
      </c>
      <c r="U53" s="21">
        <f t="shared" si="53"/>
        <v>0</v>
      </c>
      <c r="V53" s="21">
        <f t="shared" si="53"/>
        <v>290.77936718026621</v>
      </c>
      <c r="W53" s="21">
        <f t="shared" si="53"/>
        <v>0</v>
      </c>
    </row>
    <row r="54" spans="3:23">
      <c r="C54" s="21">
        <f t="shared" ref="C54:W54" si="54">C27</f>
        <v>0</v>
      </c>
      <c r="D54" s="21">
        <f t="shared" si="54"/>
        <v>0</v>
      </c>
      <c r="E54" s="21">
        <f t="shared" si="54"/>
        <v>0</v>
      </c>
      <c r="F54" s="21">
        <f t="shared" si="54"/>
        <v>0</v>
      </c>
      <c r="G54" s="21">
        <f t="shared" si="54"/>
        <v>0</v>
      </c>
      <c r="H54" s="21">
        <f t="shared" si="54"/>
        <v>0</v>
      </c>
      <c r="I54" s="21">
        <f t="shared" si="54"/>
        <v>0</v>
      </c>
      <c r="J54" s="21">
        <f t="shared" si="54"/>
        <v>0</v>
      </c>
      <c r="K54" s="21">
        <f t="shared" si="54"/>
        <v>0</v>
      </c>
      <c r="L54" s="21">
        <f t="shared" si="54"/>
        <v>0</v>
      </c>
      <c r="M54" s="21">
        <f t="shared" si="54"/>
        <v>0</v>
      </c>
      <c r="N54" s="21">
        <f t="shared" si="54"/>
        <v>0</v>
      </c>
      <c r="O54" s="21">
        <f t="shared" si="54"/>
        <v>0</v>
      </c>
      <c r="P54" s="21">
        <f t="shared" si="54"/>
        <v>0</v>
      </c>
      <c r="Q54" s="21">
        <f t="shared" si="54"/>
        <v>0</v>
      </c>
      <c r="R54" s="21">
        <f t="shared" si="54"/>
        <v>0</v>
      </c>
      <c r="S54" s="21">
        <f t="shared" si="54"/>
        <v>0</v>
      </c>
      <c r="T54" s="21">
        <f t="shared" si="54"/>
        <v>0</v>
      </c>
      <c r="U54" s="21">
        <f t="shared" si="54"/>
        <v>0</v>
      </c>
      <c r="V54" s="21">
        <f t="shared" si="54"/>
        <v>0</v>
      </c>
      <c r="W54" s="21">
        <f t="shared" si="54"/>
        <v>0</v>
      </c>
    </row>
    <row r="55" spans="3:23">
      <c r="C55" s="21">
        <f t="shared" ref="C55:W55" si="55">C28</f>
        <v>0</v>
      </c>
      <c r="D55" s="21">
        <f t="shared" si="55"/>
        <v>0</v>
      </c>
      <c r="E55" s="21">
        <f t="shared" si="55"/>
        <v>0</v>
      </c>
      <c r="F55" s="21">
        <f t="shared" si="55"/>
        <v>0</v>
      </c>
      <c r="G55" s="21">
        <f t="shared" si="55"/>
        <v>0</v>
      </c>
      <c r="H55" s="21">
        <f t="shared" si="55"/>
        <v>0</v>
      </c>
      <c r="I55" s="21">
        <f t="shared" si="55"/>
        <v>0</v>
      </c>
      <c r="J55" s="21">
        <f t="shared" si="55"/>
        <v>0</v>
      </c>
      <c r="K55" s="21">
        <f t="shared" si="55"/>
        <v>0</v>
      </c>
      <c r="L55" s="21">
        <f t="shared" si="55"/>
        <v>0</v>
      </c>
      <c r="M55" s="21">
        <f t="shared" si="55"/>
        <v>0</v>
      </c>
      <c r="N55" s="21">
        <f t="shared" si="55"/>
        <v>0</v>
      </c>
      <c r="O55" s="21">
        <f t="shared" si="55"/>
        <v>0</v>
      </c>
      <c r="P55" s="21">
        <f t="shared" si="55"/>
        <v>0</v>
      </c>
      <c r="Q55" s="21">
        <f t="shared" si="55"/>
        <v>0</v>
      </c>
      <c r="R55" s="21">
        <f t="shared" si="55"/>
        <v>0</v>
      </c>
      <c r="S55" s="21">
        <f t="shared" si="55"/>
        <v>0</v>
      </c>
      <c r="T55" s="21">
        <f t="shared" si="55"/>
        <v>0</v>
      </c>
      <c r="U55" s="21">
        <f t="shared" si="55"/>
        <v>0</v>
      </c>
      <c r="V55" s="21">
        <f t="shared" si="55"/>
        <v>0</v>
      </c>
      <c r="W55" s="21">
        <f t="shared" si="55"/>
        <v>0</v>
      </c>
    </row>
    <row r="56" spans="3:23">
      <c r="C56" s="21">
        <f t="shared" ref="C56:W56" si="56">C29</f>
        <v>0</v>
      </c>
      <c r="D56" s="21">
        <f t="shared" si="56"/>
        <v>0</v>
      </c>
      <c r="E56" s="21">
        <f t="shared" si="56"/>
        <v>0</v>
      </c>
      <c r="F56" s="21">
        <f t="shared" si="56"/>
        <v>0</v>
      </c>
      <c r="G56" s="21">
        <f t="shared" si="56"/>
        <v>0</v>
      </c>
      <c r="H56" s="21">
        <f t="shared" si="56"/>
        <v>0</v>
      </c>
      <c r="I56" s="21">
        <f t="shared" si="56"/>
        <v>0</v>
      </c>
      <c r="J56" s="21">
        <f t="shared" si="56"/>
        <v>0</v>
      </c>
      <c r="K56" s="21">
        <f t="shared" si="56"/>
        <v>0</v>
      </c>
      <c r="L56" s="21">
        <f t="shared" si="56"/>
        <v>0</v>
      </c>
      <c r="M56" s="21">
        <f t="shared" si="56"/>
        <v>0</v>
      </c>
      <c r="N56" s="21">
        <f t="shared" si="56"/>
        <v>0</v>
      </c>
      <c r="O56" s="21">
        <f t="shared" si="56"/>
        <v>0</v>
      </c>
      <c r="P56" s="21">
        <f t="shared" si="56"/>
        <v>0</v>
      </c>
      <c r="Q56" s="21">
        <f t="shared" si="56"/>
        <v>0</v>
      </c>
      <c r="R56" s="21">
        <f t="shared" si="56"/>
        <v>0</v>
      </c>
      <c r="S56" s="21">
        <f t="shared" si="56"/>
        <v>0</v>
      </c>
      <c r="T56" s="21">
        <f t="shared" si="56"/>
        <v>0</v>
      </c>
      <c r="U56" s="21">
        <f t="shared" si="56"/>
        <v>0</v>
      </c>
      <c r="V56" s="21">
        <f t="shared" si="56"/>
        <v>0</v>
      </c>
      <c r="W56" s="21">
        <f t="shared" si="56"/>
        <v>0</v>
      </c>
    </row>
  </sheetData>
  <mergeCells count="9">
    <mergeCell ref="A20:B20"/>
    <mergeCell ref="A21:A24"/>
    <mergeCell ref="A25:B25"/>
    <mergeCell ref="A3:B3"/>
    <mergeCell ref="A4:A11"/>
    <mergeCell ref="A13:B13"/>
    <mergeCell ref="A14:B14"/>
    <mergeCell ref="A15:B15"/>
    <mergeCell ref="A16:A18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2:Z56"/>
  <sheetViews>
    <sheetView zoomScale="85" zoomScaleNormal="85" workbookViewId="0">
      <pane xSplit="2" ySplit="3" topLeftCell="C25" activePane="bottomRight" state="frozen"/>
      <selection activeCell="B46" sqref="B46"/>
      <selection pane="topRight" activeCell="B46" sqref="B46"/>
      <selection pane="bottomLeft" activeCell="B46" sqref="B46"/>
      <selection pane="bottomRight" activeCell="M49" sqref="M49"/>
    </sheetView>
  </sheetViews>
  <sheetFormatPr defaultRowHeight="16.899999999999999"/>
  <cols>
    <col min="1" max="1" width="17.375" customWidth="1"/>
    <col min="2" max="2" width="19.25" bestFit="1" customWidth="1"/>
    <col min="25" max="25" width="12.125" customWidth="1"/>
  </cols>
  <sheetData>
    <row r="2" spans="1:25">
      <c r="Y2" t="s">
        <v>77</v>
      </c>
    </row>
    <row r="3" spans="1:25">
      <c r="A3" s="264" t="s">
        <v>405</v>
      </c>
      <c r="B3" s="264"/>
      <c r="C3" s="88" t="s">
        <v>0</v>
      </c>
      <c r="D3" s="88" t="s">
        <v>18</v>
      </c>
      <c r="E3" s="88" t="s">
        <v>19</v>
      </c>
      <c r="F3" s="88" t="s">
        <v>3</v>
      </c>
      <c r="G3" s="88" t="s">
        <v>5</v>
      </c>
      <c r="H3" s="88" t="s">
        <v>20</v>
      </c>
      <c r="I3" s="88" t="s">
        <v>7</v>
      </c>
      <c r="J3" s="88" t="s">
        <v>22</v>
      </c>
      <c r="K3" s="88" t="s">
        <v>23</v>
      </c>
      <c r="L3" s="88" t="s">
        <v>85</v>
      </c>
      <c r="M3" s="88" t="s">
        <v>21</v>
      </c>
      <c r="N3" s="88" t="s">
        <v>24</v>
      </c>
      <c r="O3" s="88" t="s">
        <v>25</v>
      </c>
      <c r="P3" s="88" t="s">
        <v>85</v>
      </c>
      <c r="Q3" s="88" t="s">
        <v>26</v>
      </c>
      <c r="R3" s="88" t="s">
        <v>27</v>
      </c>
      <c r="S3" s="88" t="s">
        <v>28</v>
      </c>
      <c r="T3" s="88" t="s">
        <v>29</v>
      </c>
      <c r="U3" s="88" t="s">
        <v>30</v>
      </c>
      <c r="V3" s="88" t="s">
        <v>31</v>
      </c>
      <c r="W3" s="88" t="s">
        <v>32</v>
      </c>
      <c r="X3" s="88" t="s">
        <v>17</v>
      </c>
      <c r="Y3" s="88" t="s">
        <v>41</v>
      </c>
    </row>
    <row r="4" spans="1:25">
      <c r="A4" s="265" t="s">
        <v>93</v>
      </c>
      <c r="B4" s="204" t="s">
        <v>33</v>
      </c>
      <c r="C4" s="90">
        <f>동탄!L6</f>
        <v>1087.3638665999176</v>
      </c>
      <c r="D4" s="90">
        <f>화성!L6</f>
        <v>419.62412096968433</v>
      </c>
      <c r="E4" s="90">
        <f>파주!L6</f>
        <v>905.56486051223419</v>
      </c>
      <c r="F4" s="90">
        <f>광교!L6</f>
        <v>50.309158917346345</v>
      </c>
      <c r="G4" s="90">
        <f>판교!L6</f>
        <v>349.87733247063596</v>
      </c>
      <c r="H4" s="90">
        <f>삼송!L6</f>
        <v>328.15292293814548</v>
      </c>
      <c r="I4" s="90">
        <f>양산!L6</f>
        <v>186.37256598926032</v>
      </c>
      <c r="J4" s="90">
        <f>대구!L6</f>
        <v>3.4301699261827054</v>
      </c>
      <c r="K4" s="90">
        <f>청주!L6</f>
        <v>34.301699261827054</v>
      </c>
      <c r="L4" s="91">
        <f>SUM(C4:K4)</f>
        <v>3364.996697585234</v>
      </c>
      <c r="M4" s="90">
        <f>수원!L6</f>
        <v>349.87733247063608</v>
      </c>
      <c r="N4" s="90">
        <f>광주전남!L6</f>
        <v>273.27020411922223</v>
      </c>
      <c r="O4" s="90">
        <f>강남!L6</f>
        <v>184.08578603847187</v>
      </c>
      <c r="P4" s="91">
        <f t="shared" ref="P4:P24" si="0">SUM(M4:O4)</f>
        <v>807.23332262833014</v>
      </c>
      <c r="Q4" s="90">
        <f>중앙!L6</f>
        <v>236.68172490660669</v>
      </c>
      <c r="R4" s="90">
        <f>고양!L6</f>
        <v>121.19933739178893</v>
      </c>
      <c r="S4" s="90">
        <f>용인!L6</f>
        <v>98.331537883904218</v>
      </c>
      <c r="T4" s="90">
        <f>분당!L6</f>
        <v>45.735599015769409</v>
      </c>
      <c r="U4" s="90">
        <f>세종!L6</f>
        <v>36.588479212615525</v>
      </c>
      <c r="V4" s="90">
        <f>김해!L6</f>
        <v>171.50849630913527</v>
      </c>
      <c r="W4" s="90">
        <f>평택!L6</f>
        <v>0</v>
      </c>
      <c r="X4" s="91">
        <f t="shared" ref="X4:X24" si="1">SUM(Q4:W4)</f>
        <v>710.04517471982001</v>
      </c>
      <c r="Y4" s="92">
        <f>L4+P4+X4</f>
        <v>4882.2751949333842</v>
      </c>
    </row>
    <row r="5" spans="1:25">
      <c r="A5" s="265"/>
      <c r="B5" s="204" t="s">
        <v>95</v>
      </c>
      <c r="C5" s="90">
        <f>동탄!L7</f>
        <v>5022.8206907088434</v>
      </c>
      <c r="D5" s="90">
        <f>화성!L7</f>
        <v>4391.2091799239597</v>
      </c>
      <c r="E5" s="90">
        <f>파주!L7</f>
        <v>2386.4538702372206</v>
      </c>
      <c r="F5" s="90">
        <f>광교!L7</f>
        <v>1663.1048765029927</v>
      </c>
      <c r="G5" s="90">
        <f>판교!L7</f>
        <v>1212.7651621512803</v>
      </c>
      <c r="H5" s="90">
        <f>삼송!L7</f>
        <v>721.85639316564243</v>
      </c>
      <c r="I5" s="90">
        <f>양산!L7</f>
        <v>927.28927004472473</v>
      </c>
      <c r="J5" s="90">
        <f>대구!L7</f>
        <v>2421.6999678849902</v>
      </c>
      <c r="K5" s="90">
        <f>청주!L7</f>
        <v>1248.7419277270599</v>
      </c>
      <c r="L5" s="91">
        <f t="shared" ref="L5:L9" si="2">SUM(C5:K5)</f>
        <v>19995.941338346714</v>
      </c>
      <c r="M5" s="90">
        <f>수원!L7</f>
        <v>974.1637712302346</v>
      </c>
      <c r="N5" s="90">
        <f>광주전남!L7</f>
        <v>1386.9320401532073</v>
      </c>
      <c r="O5" s="90">
        <f>강남!L7</f>
        <v>2091.2602649960559</v>
      </c>
      <c r="P5" s="91">
        <f t="shared" si="0"/>
        <v>4452.3560763794976</v>
      </c>
      <c r="Q5" s="90">
        <f>중앙!L7</f>
        <v>1536.716126929852</v>
      </c>
      <c r="R5" s="90">
        <f>고양!L7</f>
        <v>726.05263437533927</v>
      </c>
      <c r="S5" s="90">
        <f>용인!L7</f>
        <v>539.68006838607903</v>
      </c>
      <c r="T5" s="90">
        <f>분당!L7</f>
        <v>698.61127496587767</v>
      </c>
      <c r="U5" s="90">
        <f>세종!L7</f>
        <v>130.34645719494281</v>
      </c>
      <c r="V5" s="90">
        <f>김해!L7</f>
        <v>352.16411242142442</v>
      </c>
      <c r="W5" s="90">
        <f>평택!L7</f>
        <v>188.65934594004881</v>
      </c>
      <c r="X5" s="91">
        <f t="shared" si="1"/>
        <v>4172.2300202135648</v>
      </c>
      <c r="Y5" s="91">
        <f t="shared" ref="Y5:Y24" si="3">L5+P5+X5</f>
        <v>28620.527434939781</v>
      </c>
    </row>
    <row r="6" spans="1:25">
      <c r="A6" s="265"/>
      <c r="B6" s="204" t="s">
        <v>96</v>
      </c>
      <c r="C6" s="90">
        <f>동탄!L8</f>
        <v>9254.1525387505353</v>
      </c>
      <c r="D6" s="90">
        <f>화성!L8</f>
        <v>7148.9314821549151</v>
      </c>
      <c r="E6" s="90">
        <f>파주!L8</f>
        <v>6681.2335296697802</v>
      </c>
      <c r="F6" s="90">
        <f>광교!L8</f>
        <v>2745.8395920095013</v>
      </c>
      <c r="G6" s="90">
        <f>판교!L8</f>
        <v>2850.2882662617649</v>
      </c>
      <c r="H6" s="90">
        <f>삼송!L8</f>
        <v>2056.4783419445635</v>
      </c>
      <c r="I6" s="90">
        <f>양산!L8</f>
        <v>2562.474141655528</v>
      </c>
      <c r="J6" s="90">
        <f>대구!L8</f>
        <v>4239.4556338168677</v>
      </c>
      <c r="K6" s="90">
        <f>청주!L8</f>
        <v>3851.8349982584682</v>
      </c>
      <c r="L6" s="91">
        <f>SUM(C6:K6)</f>
        <v>41390.688524521931</v>
      </c>
      <c r="M6" s="90">
        <f>수원!L8</f>
        <v>2850.2882662617658</v>
      </c>
      <c r="N6" s="90">
        <f>광주전남!L8</f>
        <v>2028.6253621439596</v>
      </c>
      <c r="O6" s="90">
        <f>강남!L8</f>
        <v>1423.9835923058572</v>
      </c>
      <c r="P6" s="91">
        <f t="shared" si="0"/>
        <v>6302.897220711583</v>
      </c>
      <c r="Q6" s="90">
        <f>중앙!L8</f>
        <v>1234.8154378267579</v>
      </c>
      <c r="R6" s="90">
        <f>고양!L8</f>
        <v>811.21803669257883</v>
      </c>
      <c r="S6" s="90">
        <f>용인!L8</f>
        <v>785.68613854202556</v>
      </c>
      <c r="T6" s="90">
        <f>분당!L8</f>
        <v>700.96665831518976</v>
      </c>
      <c r="U6" s="90">
        <f>세종!L8</f>
        <v>316.82764523186557</v>
      </c>
      <c r="V6" s="90">
        <f>김해!L8</f>
        <v>46.421633001005944</v>
      </c>
      <c r="W6" s="90">
        <f>평택!L8</f>
        <v>46.421633001005944</v>
      </c>
      <c r="X6" s="91">
        <f t="shared" si="1"/>
        <v>3942.3571826104294</v>
      </c>
      <c r="Y6" s="91">
        <f t="shared" si="3"/>
        <v>51635.942927843942</v>
      </c>
    </row>
    <row r="7" spans="1:25">
      <c r="A7" s="265"/>
      <c r="B7" s="204" t="s">
        <v>97</v>
      </c>
      <c r="C7" s="90">
        <f>동탄!L9</f>
        <v>3431.4021395400396</v>
      </c>
      <c r="D7" s="90">
        <f>화성!L9</f>
        <v>425.3410708466555</v>
      </c>
      <c r="E7" s="90">
        <f>파주!L9</f>
        <v>739.77331408007012</v>
      </c>
      <c r="F7" s="90">
        <f>광교!L9</f>
        <v>214.95731537411621</v>
      </c>
      <c r="G7" s="90">
        <f>판교!L9</f>
        <v>214.95731537411621</v>
      </c>
      <c r="H7" s="90">
        <f>삼송!L9</f>
        <v>181.79900608768338</v>
      </c>
      <c r="I7" s="90">
        <f>양산!L9</f>
        <v>266.4098642668568</v>
      </c>
      <c r="J7" s="90">
        <f>대구!L9</f>
        <v>304.14173345486654</v>
      </c>
      <c r="K7" s="90">
        <f>청주!L9</f>
        <v>232.10816500502975</v>
      </c>
      <c r="L7" s="91">
        <f t="shared" si="2"/>
        <v>6010.889924029435</v>
      </c>
      <c r="M7" s="90">
        <f>수원!L9</f>
        <v>214.95731537411621</v>
      </c>
      <c r="N7" s="90">
        <f>광주전남!L9</f>
        <v>237.82511488200092</v>
      </c>
      <c r="O7" s="90">
        <f>강남!L9</f>
        <v>671.16991555641607</v>
      </c>
      <c r="P7" s="91">
        <f t="shared" si="0"/>
        <v>1123.9523458125332</v>
      </c>
      <c r="Q7" s="90">
        <f>중앙!L9</f>
        <v>785.5089130958396</v>
      </c>
      <c r="R7" s="90">
        <f>고양!L9</f>
        <v>615.14380676209851</v>
      </c>
      <c r="S7" s="90">
        <f>용인!L9</f>
        <v>136.06340707191399</v>
      </c>
      <c r="T7" s="90">
        <f>분당!L9</f>
        <v>96.044757933115747</v>
      </c>
      <c r="U7" s="90">
        <f>세종!L9</f>
        <v>69.74678849904835</v>
      </c>
      <c r="V7" s="90">
        <f>김해!L9</f>
        <v>60.599668695894465</v>
      </c>
      <c r="W7" s="90">
        <f>평택!L9</f>
        <v>106.33526771166387</v>
      </c>
      <c r="X7" s="91">
        <f t="shared" si="1"/>
        <v>1869.4426097695746</v>
      </c>
      <c r="Y7" s="91">
        <f t="shared" si="3"/>
        <v>9004.2848796115431</v>
      </c>
    </row>
    <row r="8" spans="1:25">
      <c r="A8" s="265"/>
      <c r="B8" s="204" t="s">
        <v>281</v>
      </c>
      <c r="C8" s="90">
        <f>동탄!L10</f>
        <v>2791.7997126180699</v>
      </c>
      <c r="D8" s="90">
        <f>화성!L10</f>
        <v>1399.5093298825439</v>
      </c>
      <c r="E8" s="90">
        <f>파주!L10</f>
        <v>821.38968379407333</v>
      </c>
      <c r="F8" s="90">
        <f>광교!L10</f>
        <v>1420.09034943964</v>
      </c>
      <c r="G8" s="90">
        <f>판교!L10</f>
        <v>536.24989845989626</v>
      </c>
      <c r="H8" s="90">
        <f>삼송!L10</f>
        <v>448.20887035454018</v>
      </c>
      <c r="I8" s="90">
        <f>양산!L10</f>
        <v>1023.3340279778405</v>
      </c>
      <c r="J8" s="90">
        <f>대구!L10</f>
        <v>882.69706100434951</v>
      </c>
      <c r="K8" s="90">
        <f>청주!L10</f>
        <v>425.3410708466555</v>
      </c>
      <c r="L8" s="91">
        <f t="shared" si="2"/>
        <v>9748.6200043776116</v>
      </c>
      <c r="M8" s="90">
        <f>수원!L10</f>
        <v>536.24989845989626</v>
      </c>
      <c r="N8" s="90">
        <f>광주전남!L10</f>
        <v>814.09366248069546</v>
      </c>
      <c r="O8" s="90">
        <f>강남!L10</f>
        <v>728.33941432612778</v>
      </c>
      <c r="P8" s="91">
        <f t="shared" si="0"/>
        <v>2078.6829752667195</v>
      </c>
      <c r="Q8" s="90">
        <f>중앙!L10</f>
        <v>1202.8462541147353</v>
      </c>
      <c r="R8" s="90">
        <f>고양!L10</f>
        <v>1426.9506892920056</v>
      </c>
      <c r="S8" s="90">
        <f>용인!L10</f>
        <v>254.97596451291443</v>
      </c>
      <c r="T8" s="90">
        <f>분당!L10</f>
        <v>507.6651490750404</v>
      </c>
      <c r="U8" s="90">
        <f>세종!L10</f>
        <v>383.03564175706879</v>
      </c>
      <c r="V8" s="90">
        <f>김해!L10</f>
        <v>301.85495350407808</v>
      </c>
      <c r="W8" s="90">
        <f>평택!L10</f>
        <v>32.014919311038582</v>
      </c>
      <c r="X8" s="91">
        <f t="shared" si="1"/>
        <v>4109.3435715668811</v>
      </c>
      <c r="Y8" s="91">
        <f t="shared" si="3"/>
        <v>15936.646551211212</v>
      </c>
    </row>
    <row r="9" spans="1:25">
      <c r="A9" s="265"/>
      <c r="B9" s="220" t="s">
        <v>279</v>
      </c>
      <c r="C9" s="90">
        <f>동탄!L11</f>
        <v>862.2818329936855</v>
      </c>
      <c r="D9" s="90">
        <f>화성!L11</f>
        <v>666.15043356443528</v>
      </c>
      <c r="E9" s="90">
        <f>파주!L11</f>
        <v>622.04988221347969</v>
      </c>
      <c r="F9" s="90">
        <f>광교!L11</f>
        <v>255.31898150553269</v>
      </c>
      <c r="G9" s="90">
        <f>판교!L11</f>
        <v>265.76384893075902</v>
      </c>
      <c r="H9" s="90">
        <f>삼송!L11</f>
        <v>58.027041251257423</v>
      </c>
      <c r="I9" s="90">
        <f>양산!L11</f>
        <v>237.91086913015548</v>
      </c>
      <c r="J9" s="90">
        <f>대구!L11</f>
        <v>394.58388050855052</v>
      </c>
      <c r="K9" s="90">
        <f>청주!L11</f>
        <v>358.60711493277091</v>
      </c>
      <c r="L9" s="91">
        <f t="shared" si="2"/>
        <v>3720.693885030626</v>
      </c>
      <c r="M9" s="90">
        <f>수원!L11</f>
        <v>265.76384893075902</v>
      </c>
      <c r="N9" s="90">
        <f>광주전남!L11</f>
        <v>182.20490952894832</v>
      </c>
      <c r="O9" s="90">
        <f>강남!L11</f>
        <v>127.65949075276635</v>
      </c>
      <c r="P9" s="91">
        <f t="shared" si="0"/>
        <v>575.62824921247375</v>
      </c>
      <c r="Q9" s="90">
        <f>중앙!L11</f>
        <v>111.41191920241427</v>
      </c>
      <c r="R9" s="90">
        <f>고양!L11</f>
        <v>73.114071976584356</v>
      </c>
      <c r="S9" s="90">
        <f>용인!L11</f>
        <v>70.792990326534067</v>
      </c>
      <c r="T9" s="90">
        <f>분당!L11</f>
        <v>62.669204551358021</v>
      </c>
      <c r="U9" s="90">
        <f>세종!L11</f>
        <v>29.013520625628711</v>
      </c>
      <c r="V9" s="90">
        <f>김해!L11</f>
        <v>4.6421633001005942</v>
      </c>
      <c r="W9" s="90">
        <f>평택!L11</f>
        <v>4.6421633001005942</v>
      </c>
      <c r="X9" s="91">
        <f t="shared" si="1"/>
        <v>356.28603328272061</v>
      </c>
      <c r="Y9" s="91">
        <f t="shared" si="3"/>
        <v>4652.6081675258201</v>
      </c>
    </row>
    <row r="10" spans="1:25">
      <c r="A10" s="265"/>
      <c r="B10" s="220" t="s">
        <v>280</v>
      </c>
      <c r="C10" s="90">
        <f>동탄!L12</f>
        <v>96.324888477087327</v>
      </c>
      <c r="D10" s="90">
        <f>화성!L12</f>
        <v>74.274612801609507</v>
      </c>
      <c r="E10" s="90">
        <f>파주!L12</f>
        <v>69.632449501508916</v>
      </c>
      <c r="F10" s="90">
        <f>광교!L12</f>
        <v>27.852979800603567</v>
      </c>
      <c r="G10" s="90">
        <f>판교!L12</f>
        <v>29.013520625628711</v>
      </c>
      <c r="H10" s="90">
        <f>삼송!L12</f>
        <v>6.9632449501508917</v>
      </c>
      <c r="I10" s="90">
        <f>양산!L12</f>
        <v>26.692438975578419</v>
      </c>
      <c r="J10" s="90">
        <f>대구!L12</f>
        <v>44.100551350955641</v>
      </c>
      <c r="K10" s="90">
        <f>청주!L12</f>
        <v>39.458388050855049</v>
      </c>
      <c r="L10" s="91">
        <f t="shared" ref="L10" si="4">SUM(C10:K10)</f>
        <v>414.31307453397801</v>
      </c>
      <c r="M10" s="90">
        <f>수원!L12</f>
        <v>29.013520625628711</v>
      </c>
      <c r="N10" s="90">
        <f>광주전남!L12</f>
        <v>19.729194025427525</v>
      </c>
      <c r="O10" s="90">
        <f>강남!L12</f>
        <v>13.926489900301783</v>
      </c>
      <c r="P10" s="91">
        <f t="shared" ref="P10" si="5">SUM(M10:O10)</f>
        <v>62.669204551358014</v>
      </c>
      <c r="Q10" s="90">
        <f>중앙!L12</f>
        <v>12.765949075276634</v>
      </c>
      <c r="R10" s="90">
        <f>고양!L12</f>
        <v>8.1237857751760405</v>
      </c>
      <c r="S10" s="90">
        <f>용인!L12</f>
        <v>8.1237857751760405</v>
      </c>
      <c r="T10" s="90">
        <f>분당!L12</f>
        <v>6.9632449501508917</v>
      </c>
      <c r="U10" s="90">
        <f>세종!L12</f>
        <v>3.4816224750754459</v>
      </c>
      <c r="V10" s="90">
        <f>김해!L12</f>
        <v>1.1605408250251485</v>
      </c>
      <c r="W10" s="90">
        <f>평택!L12</f>
        <v>1.1605408250251485</v>
      </c>
      <c r="X10" s="91">
        <f t="shared" ref="X10" si="6">SUM(Q10:W10)</f>
        <v>41.779469700905359</v>
      </c>
      <c r="Y10" s="91">
        <f t="shared" ref="Y10" si="7">L10+P10+X10</f>
        <v>518.76174878624136</v>
      </c>
    </row>
    <row r="11" spans="1:25">
      <c r="A11" s="265"/>
      <c r="B11" s="93" t="s">
        <v>35</v>
      </c>
      <c r="C11" s="94">
        <f>SUM(C4:C10)</f>
        <v>22546.14566968818</v>
      </c>
      <c r="D11" s="94">
        <f t="shared" ref="D11:M11" si="8">SUM(D4:D10)</f>
        <v>14525.040230143803</v>
      </c>
      <c r="E11" s="94">
        <f t="shared" si="8"/>
        <v>12226.097590008367</v>
      </c>
      <c r="F11" s="94">
        <f t="shared" si="8"/>
        <v>6377.4732535497333</v>
      </c>
      <c r="G11" s="94">
        <f t="shared" si="8"/>
        <v>5458.9153442740817</v>
      </c>
      <c r="H11" s="94">
        <f t="shared" si="8"/>
        <v>3801.485820691983</v>
      </c>
      <c r="I11" s="94">
        <f t="shared" si="8"/>
        <v>5230.4831780399445</v>
      </c>
      <c r="J11" s="94">
        <f t="shared" si="8"/>
        <v>8290.1089979467633</v>
      </c>
      <c r="K11" s="94">
        <f t="shared" si="8"/>
        <v>6190.3933640826663</v>
      </c>
      <c r="L11" s="94">
        <f>SUM(C11:K11)</f>
        <v>84646.143448425515</v>
      </c>
      <c r="M11" s="94">
        <f t="shared" si="8"/>
        <v>5220.3139533530366</v>
      </c>
      <c r="N11" s="94">
        <f t="shared" ref="N11" si="9">SUM(N4:N10)</f>
        <v>4942.6804873334613</v>
      </c>
      <c r="O11" s="94">
        <f t="shared" ref="O11" si="10">SUM(O4:O10)</f>
        <v>5240.4249538759968</v>
      </c>
      <c r="P11" s="94">
        <f t="shared" si="0"/>
        <v>15403.419394562494</v>
      </c>
      <c r="Q11" s="94">
        <f t="shared" ref="Q11" si="11">SUM(Q4:Q10)</f>
        <v>5120.7463251514828</v>
      </c>
      <c r="R11" s="94">
        <f t="shared" ref="R11" si="12">SUM(R4:R10)</f>
        <v>3781.8023622655714</v>
      </c>
      <c r="S11" s="94">
        <f t="shared" ref="S11" si="13">SUM(S4:S10)</f>
        <v>1893.6538924985473</v>
      </c>
      <c r="T11" s="94">
        <f t="shared" ref="T11" si="14">SUM(T4:T10)</f>
        <v>2118.6558888065024</v>
      </c>
      <c r="U11" s="94">
        <f t="shared" ref="U11" si="15">SUM(U4:U10)</f>
        <v>969.04015499624529</v>
      </c>
      <c r="V11" s="94">
        <f t="shared" ref="V11" si="16">SUM(V4:V10)</f>
        <v>938.35156805666384</v>
      </c>
      <c r="W11" s="94">
        <f t="shared" ref="W11" si="17">SUM(W4:W10)</f>
        <v>379.23387008888295</v>
      </c>
      <c r="X11" s="94">
        <f t="shared" si="1"/>
        <v>15201.484061863895</v>
      </c>
      <c r="Y11" s="94">
        <f t="shared" si="3"/>
        <v>115251.0469048519</v>
      </c>
    </row>
    <row r="12" spans="1:25">
      <c r="A12" s="204" t="s">
        <v>98</v>
      </c>
      <c r="B12" s="204" t="s">
        <v>99</v>
      </c>
      <c r="C12" s="95">
        <f>동탄!L13</f>
        <v>502.15963201384398</v>
      </c>
      <c r="D12" s="95">
        <f>화성!L13</f>
        <v>421.91090092047278</v>
      </c>
      <c r="E12" s="95">
        <f>파주!L13</f>
        <v>641.44177619616596</v>
      </c>
      <c r="F12" s="95">
        <f>광교!L13</f>
        <v>267.553254242251</v>
      </c>
      <c r="G12" s="95">
        <f>판교!L13</f>
        <v>244.68545473436632</v>
      </c>
      <c r="H12" s="95">
        <f>삼송!L13</f>
        <v>261.83630436527983</v>
      </c>
      <c r="I12" s="95">
        <f>양산!L13</f>
        <v>762.64111358795481</v>
      </c>
      <c r="J12" s="95">
        <f>대구!L13</f>
        <v>482.51056961636721</v>
      </c>
      <c r="K12" s="95">
        <f>청주!L13</f>
        <v>501.94819919806923</v>
      </c>
      <c r="L12" s="92">
        <f>SUM(C12:K12)</f>
        <v>4086.6872048747714</v>
      </c>
      <c r="M12" s="95">
        <f>수원!L13</f>
        <v>244.68545473436632</v>
      </c>
      <c r="N12" s="95">
        <f>광주전남!L13</f>
        <v>888.41401088132068</v>
      </c>
      <c r="O12" s="95">
        <f>강남!L13</f>
        <v>270.98342416843371</v>
      </c>
      <c r="P12" s="92">
        <f t="shared" si="0"/>
        <v>1404.0828897841207</v>
      </c>
      <c r="Q12" s="95">
        <f>중앙!L13</f>
        <v>272.12681414382797</v>
      </c>
      <c r="R12" s="95">
        <f>고양!L13</f>
        <v>114.33899753942352</v>
      </c>
      <c r="S12" s="95">
        <f>용인!L13</f>
        <v>218.38748530029892</v>
      </c>
      <c r="T12" s="95">
        <f>분당!L13</f>
        <v>74.320348400625278</v>
      </c>
      <c r="U12" s="95">
        <f>세종!L13</f>
        <v>89.184418080750348</v>
      </c>
      <c r="V12" s="95">
        <f>김해!L13</f>
        <v>182.94239606307764</v>
      </c>
      <c r="W12" s="95">
        <f>평택!L13</f>
        <v>58.312888745105994</v>
      </c>
      <c r="X12" s="92">
        <f t="shared" si="1"/>
        <v>1009.6133482731095</v>
      </c>
      <c r="Y12" s="92">
        <f t="shared" si="3"/>
        <v>6500.3834429320013</v>
      </c>
    </row>
    <row r="13" spans="1:25">
      <c r="A13" s="255" t="s">
        <v>110</v>
      </c>
      <c r="B13" s="255"/>
      <c r="C13" s="58">
        <f t="shared" ref="C13:H13" si="18">C12+C11</f>
        <v>23048.305301702025</v>
      </c>
      <c r="D13" s="58">
        <f t="shared" si="18"/>
        <v>14946.951131064276</v>
      </c>
      <c r="E13" s="58">
        <f t="shared" si="18"/>
        <v>12867.539366204534</v>
      </c>
      <c r="F13" s="58">
        <f t="shared" si="18"/>
        <v>6645.0265077919839</v>
      </c>
      <c r="G13" s="58">
        <f t="shared" si="18"/>
        <v>5703.6007990084481</v>
      </c>
      <c r="H13" s="58">
        <f t="shared" si="18"/>
        <v>4063.3221250572628</v>
      </c>
      <c r="I13" s="58">
        <f>I12+I11</f>
        <v>5993.1242916278989</v>
      </c>
      <c r="J13" s="58">
        <f>J12+J11</f>
        <v>8772.6195675631297</v>
      </c>
      <c r="K13" s="58">
        <f>K12+K11</f>
        <v>6692.3415632807355</v>
      </c>
      <c r="L13" s="58">
        <f>SUM(C13:K13)</f>
        <v>88732.830653300291</v>
      </c>
      <c r="M13" s="58">
        <f>M12+M11</f>
        <v>5464.999408087403</v>
      </c>
      <c r="N13" s="58">
        <f>N12+N11</f>
        <v>5831.0944982147821</v>
      </c>
      <c r="O13" s="58">
        <f>O12+O11</f>
        <v>5511.4083780444307</v>
      </c>
      <c r="P13" s="58">
        <f t="shared" si="0"/>
        <v>16807.502284346614</v>
      </c>
      <c r="Q13" s="58">
        <f t="shared" ref="Q13:W13" si="19">Q12+Q11</f>
        <v>5392.8731392953105</v>
      </c>
      <c r="R13" s="58">
        <f t="shared" si="19"/>
        <v>3896.1413598049949</v>
      </c>
      <c r="S13" s="58">
        <f t="shared" si="19"/>
        <v>2112.041377798846</v>
      </c>
      <c r="T13" s="58">
        <f t="shared" si="19"/>
        <v>2192.9762372071277</v>
      </c>
      <c r="U13" s="58">
        <f t="shared" si="19"/>
        <v>1058.2245730769957</v>
      </c>
      <c r="V13" s="58">
        <f t="shared" si="19"/>
        <v>1121.2939641197415</v>
      </c>
      <c r="W13" s="58">
        <f t="shared" si="19"/>
        <v>437.54675883398897</v>
      </c>
      <c r="X13" s="58">
        <f t="shared" si="1"/>
        <v>16211.097410137003</v>
      </c>
      <c r="Y13" s="58">
        <f>L13+P13+X13</f>
        <v>121751.43034778391</v>
      </c>
    </row>
    <row r="14" spans="1:25">
      <c r="A14" s="263" t="s">
        <v>65</v>
      </c>
      <c r="B14" s="263"/>
      <c r="C14" s="95">
        <f>동탄!L15</f>
        <v>19</v>
      </c>
      <c r="D14" s="95">
        <f>화성!L15</f>
        <v>0</v>
      </c>
      <c r="E14" s="95">
        <f>파주!L15</f>
        <v>0</v>
      </c>
      <c r="F14" s="95">
        <f>광교!L15</f>
        <v>28</v>
      </c>
      <c r="G14" s="95">
        <f>판교!L15</f>
        <v>6</v>
      </c>
      <c r="H14" s="95">
        <f>삼송!L15</f>
        <v>0</v>
      </c>
      <c r="I14" s="95">
        <f>양산!L15</f>
        <v>11</v>
      </c>
      <c r="J14" s="95">
        <f>대구!L15</f>
        <v>0</v>
      </c>
      <c r="K14" s="95">
        <f>청주!L15</f>
        <v>0</v>
      </c>
      <c r="L14" s="92">
        <f>SUM(C14:K14)</f>
        <v>64</v>
      </c>
      <c r="M14" s="95">
        <f>수원!L15</f>
        <v>0</v>
      </c>
      <c r="N14" s="95">
        <f>광주전남!L15</f>
        <v>0</v>
      </c>
      <c r="O14" s="95">
        <f>강남!L15</f>
        <v>0</v>
      </c>
      <c r="P14" s="96">
        <f t="shared" si="0"/>
        <v>0</v>
      </c>
      <c r="Q14" s="95">
        <f>중앙!L15</f>
        <v>0</v>
      </c>
      <c r="R14" s="95">
        <f>고양!L15</f>
        <v>0</v>
      </c>
      <c r="S14" s="95">
        <f>용인!L15</f>
        <v>0</v>
      </c>
      <c r="T14" s="95">
        <f>분당!L15</f>
        <v>0</v>
      </c>
      <c r="U14" s="95">
        <f>세종!L15</f>
        <v>0</v>
      </c>
      <c r="V14" s="95">
        <f>김해!L15</f>
        <v>0</v>
      </c>
      <c r="W14" s="95">
        <f>평택!L15</f>
        <v>0</v>
      </c>
      <c r="X14" s="96">
        <f t="shared" si="1"/>
        <v>0</v>
      </c>
      <c r="Y14" s="96">
        <f t="shared" si="3"/>
        <v>64</v>
      </c>
    </row>
    <row r="15" spans="1:25">
      <c r="A15" s="263" t="s">
        <v>66</v>
      </c>
      <c r="B15" s="263"/>
      <c r="C15" s="95">
        <f>동탄!L16</f>
        <v>0</v>
      </c>
      <c r="D15" s="95">
        <f>화성!L16</f>
        <v>15</v>
      </c>
      <c r="E15" s="95">
        <f>파주!L16</f>
        <v>0</v>
      </c>
      <c r="F15" s="95">
        <f>광교!L16</f>
        <v>0</v>
      </c>
      <c r="G15" s="95">
        <f>판교!L16</f>
        <v>0</v>
      </c>
      <c r="H15" s="95">
        <f>삼송!L16</f>
        <v>0</v>
      </c>
      <c r="I15" s="95">
        <f>양산!L16</f>
        <v>0</v>
      </c>
      <c r="J15" s="95">
        <f>대구!L16</f>
        <v>0</v>
      </c>
      <c r="K15" s="95">
        <f>청주!L16</f>
        <v>0</v>
      </c>
      <c r="L15" s="92">
        <f t="shared" ref="L15:L18" si="20">SUM(C15:K15)</f>
        <v>15</v>
      </c>
      <c r="M15" s="95">
        <f>수원!L16</f>
        <v>0</v>
      </c>
      <c r="N15" s="95">
        <f>광주전남!L16</f>
        <v>0</v>
      </c>
      <c r="O15" s="95">
        <f>강남!L16</f>
        <v>0</v>
      </c>
      <c r="P15" s="96">
        <f t="shared" si="0"/>
        <v>0</v>
      </c>
      <c r="Q15" s="95">
        <f>중앙!L16</f>
        <v>0</v>
      </c>
      <c r="R15" s="95">
        <f>고양!L16</f>
        <v>0</v>
      </c>
      <c r="S15" s="95">
        <f>용인!L16</f>
        <v>0</v>
      </c>
      <c r="T15" s="95">
        <f>분당!L16</f>
        <v>0</v>
      </c>
      <c r="U15" s="95">
        <f>세종!L16</f>
        <v>0</v>
      </c>
      <c r="V15" s="95">
        <f>김해!L16</f>
        <v>0</v>
      </c>
      <c r="W15" s="95">
        <f>평택!L16</f>
        <v>0</v>
      </c>
      <c r="X15" s="96">
        <f t="shared" si="1"/>
        <v>0</v>
      </c>
      <c r="Y15" s="96">
        <f t="shared" si="3"/>
        <v>15</v>
      </c>
    </row>
    <row r="16" spans="1:25">
      <c r="A16" s="263" t="s">
        <v>34</v>
      </c>
      <c r="B16" s="203" t="s">
        <v>81</v>
      </c>
      <c r="C16" s="95">
        <f>동탄!L17</f>
        <v>2653.6434221930745</v>
      </c>
      <c r="D16" s="95">
        <f>화성!L17</f>
        <v>0</v>
      </c>
      <c r="E16" s="95">
        <f>파주!L17</f>
        <v>2629</v>
      </c>
      <c r="F16" s="95">
        <f>광교!L17</f>
        <v>0</v>
      </c>
      <c r="G16" s="95">
        <f>판교!L17</f>
        <v>0</v>
      </c>
      <c r="H16" s="95">
        <f>삼송!L17</f>
        <v>0</v>
      </c>
      <c r="I16" s="95">
        <f>양산!L17</f>
        <v>0</v>
      </c>
      <c r="J16" s="95">
        <f>대구!L17</f>
        <v>0</v>
      </c>
      <c r="K16" s="95">
        <f>청주!L17</f>
        <v>0</v>
      </c>
      <c r="L16" s="92">
        <f>SUM(C16:K16)</f>
        <v>5282.643422193074</v>
      </c>
      <c r="M16" s="95">
        <f>수원!L17</f>
        <v>0</v>
      </c>
      <c r="N16" s="95">
        <f>광주전남!L17</f>
        <v>0</v>
      </c>
      <c r="O16" s="95">
        <f>강남!L17</f>
        <v>0</v>
      </c>
      <c r="P16" s="96">
        <f t="shared" si="0"/>
        <v>0</v>
      </c>
      <c r="Q16" s="95">
        <f>중앙!L17</f>
        <v>0</v>
      </c>
      <c r="R16" s="95">
        <f>고양!L17</f>
        <v>0</v>
      </c>
      <c r="S16" s="95">
        <f>용인!L17</f>
        <v>0</v>
      </c>
      <c r="T16" s="95">
        <f>분당!L17</f>
        <v>0</v>
      </c>
      <c r="U16" s="95">
        <f>세종!L17</f>
        <v>0</v>
      </c>
      <c r="V16" s="95">
        <f>김해!L17</f>
        <v>0</v>
      </c>
      <c r="W16" s="95">
        <f>평택!L17</f>
        <v>0</v>
      </c>
      <c r="X16" s="96">
        <f t="shared" si="1"/>
        <v>0</v>
      </c>
      <c r="Y16" s="96">
        <f t="shared" si="3"/>
        <v>5282.643422193074</v>
      </c>
    </row>
    <row r="17" spans="1:25">
      <c r="A17" s="263"/>
      <c r="B17" s="203" t="s">
        <v>64</v>
      </c>
      <c r="C17" s="95">
        <f>동탄!L18</f>
        <v>495.08785934570381</v>
      </c>
      <c r="D17" s="95">
        <f>화성!L18</f>
        <v>1209.9655895190717</v>
      </c>
      <c r="E17" s="95">
        <f>파주!L18</f>
        <v>1230.2910984339178</v>
      </c>
      <c r="F17" s="95">
        <f>광교!L18</f>
        <v>817.80282927968881</v>
      </c>
      <c r="G17" s="95">
        <f>판교!L18</f>
        <v>1993.8091373932052</v>
      </c>
      <c r="H17" s="95">
        <f>삼송!L18</f>
        <v>322.80495011289935</v>
      </c>
      <c r="I17" s="95">
        <f>양산!L18</f>
        <v>180</v>
      </c>
      <c r="J17" s="95">
        <f>대구!L18</f>
        <v>1556.9877856949242</v>
      </c>
      <c r="K17" s="95">
        <f>청주!L18</f>
        <v>706</v>
      </c>
      <c r="L17" s="92">
        <f>SUM(C17:K17)</f>
        <v>8512.7492497794101</v>
      </c>
      <c r="M17" s="95">
        <f>수원!L18</f>
        <v>401.68585897507398</v>
      </c>
      <c r="N17" s="95">
        <f>광주전남!L18</f>
        <v>1715.2793393871696</v>
      </c>
      <c r="O17" s="95">
        <f>강남!L18</f>
        <v>1544.7198567576118</v>
      </c>
      <c r="P17" s="96">
        <f t="shared" si="0"/>
        <v>3661.685055119855</v>
      </c>
      <c r="Q17" s="95">
        <f>중앙!L18</f>
        <v>1060.7343140729859</v>
      </c>
      <c r="R17" s="95">
        <f>고양!L18</f>
        <v>1316.0532955785184</v>
      </c>
      <c r="S17" s="95">
        <f>용인!L18</f>
        <v>644.10015788895748</v>
      </c>
      <c r="T17" s="95">
        <f>분당!L18</f>
        <v>1071.1791814982121</v>
      </c>
      <c r="U17" s="95">
        <f>세종!L18</f>
        <v>87.040561876886144</v>
      </c>
      <c r="V17" s="95">
        <f>김해!L18</f>
        <v>91.682725176986736</v>
      </c>
      <c r="W17" s="95">
        <f>평택!L18</f>
        <v>10.444867425226336</v>
      </c>
      <c r="X17" s="96">
        <f t="shared" si="1"/>
        <v>4281.2351035177726</v>
      </c>
      <c r="Y17" s="96">
        <f t="shared" si="3"/>
        <v>16455.669408417038</v>
      </c>
    </row>
    <row r="18" spans="1:25">
      <c r="A18" s="263"/>
      <c r="B18" s="93" t="s">
        <v>35</v>
      </c>
      <c r="C18" s="98">
        <f t="shared" ref="C18:H18" si="21">SUM(C16:C17)</f>
        <v>3148.7312815387781</v>
      </c>
      <c r="D18" s="98">
        <f t="shared" si="21"/>
        <v>1209.9655895190717</v>
      </c>
      <c r="E18" s="98">
        <f t="shared" si="21"/>
        <v>3859.2910984339178</v>
      </c>
      <c r="F18" s="98">
        <f t="shared" si="21"/>
        <v>817.80282927968881</v>
      </c>
      <c r="G18" s="98">
        <f t="shared" si="21"/>
        <v>1993.8091373932052</v>
      </c>
      <c r="H18" s="98">
        <f t="shared" si="21"/>
        <v>322.80495011289935</v>
      </c>
      <c r="I18" s="98">
        <f>SUM(I16:I17)</f>
        <v>180</v>
      </c>
      <c r="J18" s="98">
        <f>SUM(J16:J17)</f>
        <v>1556.9877856949242</v>
      </c>
      <c r="K18" s="98">
        <f>SUM(K16:K17)</f>
        <v>706</v>
      </c>
      <c r="L18" s="98">
        <f t="shared" si="20"/>
        <v>13795.392671972484</v>
      </c>
      <c r="M18" s="98">
        <f>SUM(M16:M17)</f>
        <v>401.68585897507398</v>
      </c>
      <c r="N18" s="98">
        <f>SUM(N16:N17)</f>
        <v>1715.2793393871696</v>
      </c>
      <c r="O18" s="98">
        <f>SUM(O16:O17)</f>
        <v>1544.7198567576118</v>
      </c>
      <c r="P18" s="99">
        <f t="shared" si="0"/>
        <v>3661.685055119855</v>
      </c>
      <c r="Q18" s="98">
        <f t="shared" ref="Q18:W18" si="22">SUM(Q16:Q17)</f>
        <v>1060.7343140729859</v>
      </c>
      <c r="R18" s="98">
        <f t="shared" si="22"/>
        <v>1316.0532955785184</v>
      </c>
      <c r="S18" s="98">
        <f t="shared" si="22"/>
        <v>644.10015788895748</v>
      </c>
      <c r="T18" s="98">
        <f t="shared" si="22"/>
        <v>1071.1791814982121</v>
      </c>
      <c r="U18" s="98">
        <f t="shared" si="22"/>
        <v>87.040561876886144</v>
      </c>
      <c r="V18" s="98">
        <f t="shared" si="22"/>
        <v>91.682725176986736</v>
      </c>
      <c r="W18" s="98">
        <f t="shared" si="22"/>
        <v>10.444867425226336</v>
      </c>
      <c r="X18" s="99">
        <f t="shared" si="1"/>
        <v>4281.2351035177726</v>
      </c>
      <c r="Y18" s="99">
        <f t="shared" si="3"/>
        <v>21738.312830610113</v>
      </c>
    </row>
    <row r="19" spans="1:25">
      <c r="A19" s="204" t="s">
        <v>102</v>
      </c>
      <c r="B19" s="204" t="s">
        <v>103</v>
      </c>
      <c r="C19" s="100">
        <f>동탄!L19</f>
        <v>5549.2245645088951</v>
      </c>
      <c r="D19" s="100">
        <f>화성!L19</f>
        <v>0</v>
      </c>
      <c r="E19" s="100">
        <f>파주!L19</f>
        <v>0</v>
      </c>
      <c r="F19" s="100">
        <f>광교!L19</f>
        <v>0</v>
      </c>
      <c r="G19" s="100">
        <f>판교!L19</f>
        <v>4167.5021026653085</v>
      </c>
      <c r="H19" s="100">
        <f>삼송!L19</f>
        <v>0</v>
      </c>
      <c r="I19" s="100">
        <f>양산!L19</f>
        <v>0</v>
      </c>
      <c r="J19" s="100">
        <f>대구!L19</f>
        <v>0</v>
      </c>
      <c r="K19" s="100">
        <f>청주!L19</f>
        <v>0</v>
      </c>
      <c r="L19" s="92">
        <f>SUM(C19:K19)</f>
        <v>9716.7266671742036</v>
      </c>
      <c r="M19" s="100">
        <f>수원!L19</f>
        <v>0</v>
      </c>
      <c r="N19" s="100">
        <f>광주전남!L19</f>
        <v>0</v>
      </c>
      <c r="O19" s="100">
        <f>강남!L19</f>
        <v>0</v>
      </c>
      <c r="P19" s="96">
        <f t="shared" si="0"/>
        <v>0</v>
      </c>
      <c r="Q19" s="100">
        <f>중앙!L19</f>
        <v>0</v>
      </c>
      <c r="R19" s="100">
        <f>고양!L19</f>
        <v>0</v>
      </c>
      <c r="S19" s="100">
        <f>용인!L19</f>
        <v>0</v>
      </c>
      <c r="T19" s="100">
        <f>분당!L19</f>
        <v>0</v>
      </c>
      <c r="U19" s="100">
        <f>세종!L19</f>
        <v>0</v>
      </c>
      <c r="V19" s="100">
        <f>김해!L19</f>
        <v>0</v>
      </c>
      <c r="W19" s="100">
        <f>평택!L19</f>
        <v>0</v>
      </c>
      <c r="X19" s="96">
        <f t="shared" si="1"/>
        <v>0</v>
      </c>
      <c r="Y19" s="96">
        <f t="shared" si="3"/>
        <v>9716.7266671742036</v>
      </c>
    </row>
    <row r="20" spans="1:25">
      <c r="A20" s="263" t="s">
        <v>63</v>
      </c>
      <c r="B20" s="263"/>
      <c r="C20" s="100">
        <f>동탄!L20</f>
        <v>63.761835399372714</v>
      </c>
      <c r="D20" s="100">
        <f>화성!L20</f>
        <v>76</v>
      </c>
      <c r="E20" s="100">
        <f>파주!L20</f>
        <v>472.22005983781924</v>
      </c>
      <c r="F20" s="100">
        <f>광교!L20</f>
        <v>13</v>
      </c>
      <c r="G20" s="100">
        <f>판교!L20</f>
        <v>37</v>
      </c>
      <c r="H20" s="100">
        <f>삼송!L20</f>
        <v>19</v>
      </c>
      <c r="I20" s="100">
        <f>양산!L20</f>
        <v>100</v>
      </c>
      <c r="J20" s="100">
        <f>대구!L20</f>
        <v>102</v>
      </c>
      <c r="K20" s="100">
        <f>청주!L20</f>
        <v>6</v>
      </c>
      <c r="L20" s="92">
        <f>SUM(C20:K20)</f>
        <v>888.98189523719202</v>
      </c>
      <c r="M20" s="100">
        <f>수원!L20</f>
        <v>150</v>
      </c>
      <c r="N20" s="100">
        <f>광주전남!L20</f>
        <v>84.948671082341932</v>
      </c>
      <c r="O20" s="100">
        <f>강남!L20</f>
        <v>30</v>
      </c>
      <c r="P20" s="96">
        <f t="shared" si="0"/>
        <v>264.94867108234195</v>
      </c>
      <c r="Q20" s="100">
        <f>중앙!L20</f>
        <v>0</v>
      </c>
      <c r="R20" s="100">
        <f>고양!L20</f>
        <v>21</v>
      </c>
      <c r="S20" s="100">
        <f>용인!L20</f>
        <v>0</v>
      </c>
      <c r="T20" s="100">
        <f>분당!L20</f>
        <v>0</v>
      </c>
      <c r="U20" s="100">
        <f>세종!L20</f>
        <v>0</v>
      </c>
      <c r="V20" s="100">
        <f>김해!L20</f>
        <v>0</v>
      </c>
      <c r="W20" s="100">
        <f>평택!L20</f>
        <v>0</v>
      </c>
      <c r="X20" s="96">
        <f t="shared" si="1"/>
        <v>21</v>
      </c>
      <c r="Y20" s="96">
        <f t="shared" si="3"/>
        <v>1174.9305663195339</v>
      </c>
    </row>
    <row r="21" spans="1:25">
      <c r="A21" s="263" t="s">
        <v>36</v>
      </c>
      <c r="B21" s="203" t="s">
        <v>38</v>
      </c>
      <c r="C21" s="100">
        <f>동탄!L21</f>
        <v>0</v>
      </c>
      <c r="D21" s="100">
        <f>화성!L21</f>
        <v>15475</v>
      </c>
      <c r="E21" s="100">
        <f>파주!L21</f>
        <v>0</v>
      </c>
      <c r="F21" s="100">
        <f>광교!L21</f>
        <v>3412</v>
      </c>
      <c r="G21" s="100">
        <f>판교!L21</f>
        <v>0</v>
      </c>
      <c r="H21" s="100">
        <f>삼송!L21</f>
        <v>0</v>
      </c>
      <c r="I21" s="100">
        <f>양산!L21</f>
        <v>0</v>
      </c>
      <c r="J21" s="100">
        <f>대구!L21</f>
        <v>0</v>
      </c>
      <c r="K21" s="100">
        <f>청주!L21</f>
        <v>0</v>
      </c>
      <c r="L21" s="92">
        <f>SUM(C21:K21)</f>
        <v>18887</v>
      </c>
      <c r="M21" s="100">
        <f>수원!L21</f>
        <v>0</v>
      </c>
      <c r="N21" s="100">
        <f>광주전남!L21</f>
        <v>0</v>
      </c>
      <c r="O21" s="100">
        <f>강남!L21</f>
        <v>0</v>
      </c>
      <c r="P21" s="96">
        <f t="shared" si="0"/>
        <v>0</v>
      </c>
      <c r="Q21" s="100">
        <f>중앙!L21</f>
        <v>0</v>
      </c>
      <c r="R21" s="100">
        <f>고양!L21</f>
        <v>0</v>
      </c>
      <c r="S21" s="100">
        <f>용인!L21</f>
        <v>0</v>
      </c>
      <c r="T21" s="100">
        <f>분당!L21</f>
        <v>0</v>
      </c>
      <c r="U21" s="100">
        <f>세종!L21</f>
        <v>0</v>
      </c>
      <c r="V21" s="100">
        <f>김해!L21</f>
        <v>0</v>
      </c>
      <c r="W21" s="100">
        <f>평택!L21</f>
        <v>0</v>
      </c>
      <c r="X21" s="96">
        <f t="shared" si="1"/>
        <v>0</v>
      </c>
      <c r="Y21" s="96">
        <f t="shared" si="3"/>
        <v>18887</v>
      </c>
    </row>
    <row r="22" spans="1:25">
      <c r="A22" s="263"/>
      <c r="B22" s="203" t="s">
        <v>39</v>
      </c>
      <c r="C22" s="100">
        <f>동탄!L22</f>
        <v>867.5</v>
      </c>
      <c r="D22" s="100">
        <f>화성!L22</f>
        <v>682.01647354680233</v>
      </c>
      <c r="E22" s="100">
        <f>파주!L22</f>
        <v>2147.9878259392176</v>
      </c>
      <c r="F22" s="100">
        <f>광교!L22</f>
        <v>170</v>
      </c>
      <c r="G22" s="100">
        <f>판교!L22</f>
        <v>180</v>
      </c>
      <c r="H22" s="100">
        <f>삼송!L22</f>
        <v>50</v>
      </c>
      <c r="I22" s="100">
        <f>양산!L22</f>
        <v>169.43896045367168</v>
      </c>
      <c r="J22" s="100">
        <f>대구!L22</f>
        <v>386</v>
      </c>
      <c r="K22" s="100">
        <f>청주!L22</f>
        <v>386</v>
      </c>
      <c r="L22" s="92">
        <f>SUM(C22:K22)</f>
        <v>5038.9432599396914</v>
      </c>
      <c r="M22" s="100">
        <f>수원!L22</f>
        <v>311.11956954790054</v>
      </c>
      <c r="N22" s="100">
        <f>광주전남!L22</f>
        <v>386</v>
      </c>
      <c r="O22" s="100">
        <f>강남!L22</f>
        <v>107</v>
      </c>
      <c r="P22" s="96">
        <f t="shared" si="0"/>
        <v>804.11956954790048</v>
      </c>
      <c r="Q22" s="100">
        <f>중앙!L22</f>
        <v>29</v>
      </c>
      <c r="R22" s="100">
        <f>고양!L22</f>
        <v>0</v>
      </c>
      <c r="S22" s="100">
        <f>용인!L22</f>
        <v>0</v>
      </c>
      <c r="T22" s="100">
        <f>분당!L22</f>
        <v>0</v>
      </c>
      <c r="U22" s="100">
        <f>세종!L22</f>
        <v>0</v>
      </c>
      <c r="V22" s="100">
        <f>김해!L22</f>
        <v>0</v>
      </c>
      <c r="W22" s="100">
        <f>평택!L22</f>
        <v>0</v>
      </c>
      <c r="X22" s="96">
        <f t="shared" si="1"/>
        <v>29</v>
      </c>
      <c r="Y22" s="96">
        <f t="shared" si="3"/>
        <v>5872.0628294875914</v>
      </c>
    </row>
    <row r="23" spans="1:25">
      <c r="A23" s="263"/>
      <c r="B23" s="203" t="s">
        <v>37</v>
      </c>
      <c r="C23" s="100">
        <f>동탄!L23</f>
        <v>2</v>
      </c>
      <c r="D23" s="100">
        <f>화성!L23</f>
        <v>79</v>
      </c>
      <c r="E23" s="100">
        <f>파주!L23</f>
        <v>155</v>
      </c>
      <c r="F23" s="100">
        <f>광교!L23</f>
        <v>13</v>
      </c>
      <c r="G23" s="100">
        <f>판교!L23</f>
        <v>54</v>
      </c>
      <c r="H23" s="100">
        <f>삼송!L23</f>
        <v>20</v>
      </c>
      <c r="I23" s="100">
        <f>양산!L23</f>
        <v>91</v>
      </c>
      <c r="J23" s="100">
        <f>대구!L23</f>
        <v>83.5</v>
      </c>
      <c r="K23" s="100">
        <f>청주!L23</f>
        <v>84</v>
      </c>
      <c r="L23" s="92">
        <f>SUM(C23:K23)</f>
        <v>581.5</v>
      </c>
      <c r="M23" s="100">
        <f>수원!L23</f>
        <v>44</v>
      </c>
      <c r="N23" s="100">
        <f>광주전남!L23</f>
        <v>84</v>
      </c>
      <c r="O23" s="100">
        <f>강남!L23</f>
        <v>47</v>
      </c>
      <c r="P23" s="96">
        <f t="shared" si="0"/>
        <v>175</v>
      </c>
      <c r="Q23" s="100">
        <f>중앙!L23</f>
        <v>0</v>
      </c>
      <c r="R23" s="100">
        <f>고양!L23</f>
        <v>10</v>
      </c>
      <c r="S23" s="100">
        <f>용인!L23</f>
        <v>0</v>
      </c>
      <c r="T23" s="100">
        <f>분당!L23</f>
        <v>0</v>
      </c>
      <c r="U23" s="100">
        <f>세종!L23</f>
        <v>0</v>
      </c>
      <c r="V23" s="100">
        <f>김해!L23</f>
        <v>0</v>
      </c>
      <c r="W23" s="100">
        <f>평택!L23</f>
        <v>0</v>
      </c>
      <c r="X23" s="96">
        <f t="shared" si="1"/>
        <v>10</v>
      </c>
      <c r="Y23" s="96">
        <f t="shared" si="3"/>
        <v>766.5</v>
      </c>
    </row>
    <row r="24" spans="1:25">
      <c r="A24" s="263"/>
      <c r="B24" s="93" t="s">
        <v>35</v>
      </c>
      <c r="C24" s="98">
        <f t="shared" ref="C24:H24" si="23">SUM(C21:C23)</f>
        <v>869.5</v>
      </c>
      <c r="D24" s="98">
        <f t="shared" si="23"/>
        <v>16236.016473546802</v>
      </c>
      <c r="E24" s="98">
        <f t="shared" si="23"/>
        <v>2302.9878259392176</v>
      </c>
      <c r="F24" s="98">
        <f t="shared" si="23"/>
        <v>3595</v>
      </c>
      <c r="G24" s="98">
        <f t="shared" si="23"/>
        <v>234</v>
      </c>
      <c r="H24" s="98">
        <f t="shared" si="23"/>
        <v>70</v>
      </c>
      <c r="I24" s="98">
        <f>SUM(I21:I23)</f>
        <v>260.43896045367171</v>
      </c>
      <c r="J24" s="98">
        <f>SUM(J21:J23)</f>
        <v>469.5</v>
      </c>
      <c r="K24" s="98">
        <f>SUM(K21:K23)</f>
        <v>470</v>
      </c>
      <c r="L24" s="98">
        <f t="shared" ref="L24" si="24">SUM(C24:K24)</f>
        <v>24507.44325993969</v>
      </c>
      <c r="M24" s="98">
        <f>SUM(M21:M23)</f>
        <v>355.11956954790054</v>
      </c>
      <c r="N24" s="98">
        <f>SUM(N21:N23)</f>
        <v>470</v>
      </c>
      <c r="O24" s="98">
        <f>SUM(O21:O23)</f>
        <v>154</v>
      </c>
      <c r="P24" s="99">
        <f t="shared" si="0"/>
        <v>979.11956954790048</v>
      </c>
      <c r="Q24" s="98">
        <f t="shared" ref="Q24:W24" si="25">SUM(Q21:Q23)</f>
        <v>29</v>
      </c>
      <c r="R24" s="98">
        <f t="shared" si="25"/>
        <v>10</v>
      </c>
      <c r="S24" s="98">
        <f t="shared" si="25"/>
        <v>0</v>
      </c>
      <c r="T24" s="98">
        <f t="shared" si="25"/>
        <v>0</v>
      </c>
      <c r="U24" s="98">
        <f t="shared" si="25"/>
        <v>0</v>
      </c>
      <c r="V24" s="98">
        <f t="shared" si="25"/>
        <v>0</v>
      </c>
      <c r="W24" s="98">
        <f t="shared" si="25"/>
        <v>0</v>
      </c>
      <c r="X24" s="99">
        <f t="shared" si="1"/>
        <v>39</v>
      </c>
      <c r="Y24" s="99">
        <f t="shared" si="3"/>
        <v>25525.56282948759</v>
      </c>
    </row>
    <row r="25" spans="1:25">
      <c r="A25" s="255" t="s">
        <v>115</v>
      </c>
      <c r="B25" s="255"/>
      <c r="C25" s="56">
        <f>C14+C15+C19+C18+C20+C24</f>
        <v>9650.2176814470458</v>
      </c>
      <c r="D25" s="56">
        <f t="shared" ref="D25:Y25" si="26">D14+D15+D19+D18+D20+D24</f>
        <v>17536.982063065872</v>
      </c>
      <c r="E25" s="56">
        <f t="shared" si="26"/>
        <v>6634.4989842109553</v>
      </c>
      <c r="F25" s="56">
        <f t="shared" si="26"/>
        <v>4453.8028292796889</v>
      </c>
      <c r="G25" s="56">
        <f t="shared" si="26"/>
        <v>6438.3112400585142</v>
      </c>
      <c r="H25" s="56">
        <f t="shared" si="26"/>
        <v>411.80495011289935</v>
      </c>
      <c r="I25" s="56">
        <f t="shared" si="26"/>
        <v>551.43896045367171</v>
      </c>
      <c r="J25" s="56">
        <f t="shared" si="26"/>
        <v>2128.4877856949242</v>
      </c>
      <c r="K25" s="56">
        <f t="shared" si="26"/>
        <v>1182</v>
      </c>
      <c r="L25" s="56">
        <f t="shared" si="26"/>
        <v>48987.544494323571</v>
      </c>
      <c r="M25" s="56">
        <f t="shared" si="26"/>
        <v>906.80542852297458</v>
      </c>
      <c r="N25" s="56">
        <f t="shared" si="26"/>
        <v>2270.2280104695114</v>
      </c>
      <c r="O25" s="56">
        <f t="shared" si="26"/>
        <v>1728.7198567576118</v>
      </c>
      <c r="P25" s="56">
        <f t="shared" si="26"/>
        <v>4905.7532957500971</v>
      </c>
      <c r="Q25" s="56">
        <f t="shared" si="26"/>
        <v>1089.7343140729859</v>
      </c>
      <c r="R25" s="56">
        <f t="shared" si="26"/>
        <v>1347.0532955785184</v>
      </c>
      <c r="S25" s="56">
        <f t="shared" si="26"/>
        <v>644.10015788895748</v>
      </c>
      <c r="T25" s="56">
        <f t="shared" si="26"/>
        <v>1071.1791814982121</v>
      </c>
      <c r="U25" s="56">
        <f t="shared" si="26"/>
        <v>87.040561876886144</v>
      </c>
      <c r="V25" s="56">
        <f t="shared" si="26"/>
        <v>91.682725176986736</v>
      </c>
      <c r="W25" s="56">
        <f t="shared" si="26"/>
        <v>10.444867425226336</v>
      </c>
      <c r="X25" s="56">
        <f t="shared" si="26"/>
        <v>4341.2351035177726</v>
      </c>
      <c r="Y25" s="56">
        <f t="shared" si="26"/>
        <v>58234.532893591444</v>
      </c>
    </row>
    <row r="26" spans="1:25">
      <c r="A26" s="224" t="s">
        <v>282</v>
      </c>
      <c r="B26" s="224" t="s">
        <v>354</v>
      </c>
      <c r="C26" s="100">
        <f>동탄!L25</f>
        <v>1321.415794563118</v>
      </c>
      <c r="D26" s="100">
        <f>화성!L25</f>
        <v>386.58015068079101</v>
      </c>
      <c r="E26" s="100">
        <f>파주!L25</f>
        <v>490.6286384416664</v>
      </c>
      <c r="F26" s="100">
        <f>광교!L25</f>
        <v>157.78781660440453</v>
      </c>
      <c r="G26" s="100">
        <f>판교!L25</f>
        <v>1598.4591856011414</v>
      </c>
      <c r="H26" s="100">
        <f>삼송!L25</f>
        <v>810.66349255451291</v>
      </c>
      <c r="I26" s="100">
        <f>양산!L25</f>
        <v>2.2867799507884703</v>
      </c>
      <c r="J26" s="100">
        <f>대구!L25</f>
        <v>730.62619427691664</v>
      </c>
      <c r="K26" s="100">
        <f>청주!L25</f>
        <v>3392.4380569946966</v>
      </c>
      <c r="L26" s="92">
        <f>SUM(C26:K26)</f>
        <v>8890.8861096680357</v>
      </c>
      <c r="M26" s="100">
        <f>수원!L25</f>
        <v>49.16576894195213</v>
      </c>
      <c r="N26" s="100">
        <f>광주전남!L25</f>
        <v>607.14007693433916</v>
      </c>
      <c r="O26" s="100">
        <f>강남!L25</f>
        <v>1429.2374692427943</v>
      </c>
      <c r="P26" s="96">
        <f t="shared" ref="P26" si="27">SUM(M26:O26)</f>
        <v>2085.5433151190855</v>
      </c>
      <c r="Q26" s="100">
        <f>중앙!L25</f>
        <v>1191.8291566178339</v>
      </c>
      <c r="R26" s="100">
        <f>고양!L25</f>
        <v>790.79779578990497</v>
      </c>
      <c r="S26" s="100">
        <f>용인!L25</f>
        <v>616.1914448676323</v>
      </c>
      <c r="T26" s="100">
        <f>분당!L25</f>
        <v>0</v>
      </c>
      <c r="U26" s="100">
        <f>세종!L25</f>
        <v>0</v>
      </c>
      <c r="V26" s="100">
        <f>김해!L25</f>
        <v>295.14105768797015</v>
      </c>
      <c r="W26" s="100">
        <f>평택!L25</f>
        <v>0</v>
      </c>
      <c r="X26" s="96">
        <f t="shared" ref="X26" si="28">SUM(Q26:W26)</f>
        <v>2893.9594549633416</v>
      </c>
      <c r="Y26" s="96">
        <f t="shared" ref="Y26" si="29">L26+P26+X26</f>
        <v>13870.388879750464</v>
      </c>
    </row>
    <row r="31" spans="1:25">
      <c r="B31" s="247" t="s">
        <v>33</v>
      </c>
      <c r="C31" s="21">
        <f>INT(C4*0.9)</f>
        <v>978</v>
      </c>
      <c r="D31" s="21">
        <f t="shared" ref="D31:O32" si="30">INT(D4*0.9)</f>
        <v>377</v>
      </c>
      <c r="E31" s="21">
        <f>INT(E4*0.9)</f>
        <v>815</v>
      </c>
      <c r="F31" s="21">
        <f t="shared" si="30"/>
        <v>45</v>
      </c>
      <c r="G31" s="21">
        <f t="shared" si="30"/>
        <v>314</v>
      </c>
      <c r="H31" s="21">
        <f t="shared" si="30"/>
        <v>295</v>
      </c>
      <c r="I31" s="21">
        <f t="shared" si="30"/>
        <v>167</v>
      </c>
      <c r="J31" s="21">
        <f t="shared" si="30"/>
        <v>3</v>
      </c>
      <c r="K31" s="21">
        <f t="shared" si="30"/>
        <v>30</v>
      </c>
      <c r="L31" s="21"/>
      <c r="M31" s="21">
        <f t="shared" si="30"/>
        <v>314</v>
      </c>
      <c r="N31" s="21">
        <f t="shared" si="30"/>
        <v>245</v>
      </c>
      <c r="O31" s="21">
        <f t="shared" si="30"/>
        <v>165</v>
      </c>
      <c r="P31" s="21"/>
      <c r="Q31" s="21">
        <f t="shared" ref="Q31:W32" si="31">INT(Q4*0.9)</f>
        <v>213</v>
      </c>
      <c r="R31" s="21">
        <f t="shared" si="31"/>
        <v>109</v>
      </c>
      <c r="S31" s="21">
        <f t="shared" si="31"/>
        <v>88</v>
      </c>
      <c r="T31" s="21">
        <f t="shared" si="31"/>
        <v>41</v>
      </c>
      <c r="U31" s="21">
        <f t="shared" si="31"/>
        <v>32</v>
      </c>
      <c r="V31" s="21">
        <f t="shared" si="31"/>
        <v>154</v>
      </c>
      <c r="W31" s="21">
        <f t="shared" si="31"/>
        <v>0</v>
      </c>
      <c r="Y31" s="21">
        <f>SUM(C31:X31)</f>
        <v>4385</v>
      </c>
    </row>
    <row r="32" spans="1:25">
      <c r="B32" s="247" t="s">
        <v>95</v>
      </c>
      <c r="C32" s="21">
        <f t="shared" ref="C32:K32" si="32">INT(C5*0.9)</f>
        <v>4520</v>
      </c>
      <c r="D32" s="21">
        <f t="shared" si="32"/>
        <v>3952</v>
      </c>
      <c r="E32" s="21">
        <f t="shared" si="32"/>
        <v>2147</v>
      </c>
      <c r="F32" s="21">
        <f t="shared" si="32"/>
        <v>1496</v>
      </c>
      <c r="G32" s="21">
        <f t="shared" si="32"/>
        <v>1091</v>
      </c>
      <c r="H32" s="21">
        <f t="shared" si="32"/>
        <v>649</v>
      </c>
      <c r="I32" s="21">
        <f t="shared" si="32"/>
        <v>834</v>
      </c>
      <c r="J32" s="21">
        <f t="shared" si="32"/>
        <v>2179</v>
      </c>
      <c r="K32" s="21">
        <f t="shared" si="32"/>
        <v>1123</v>
      </c>
      <c r="L32" s="21"/>
      <c r="M32" s="21">
        <f t="shared" si="30"/>
        <v>876</v>
      </c>
      <c r="N32" s="21">
        <f t="shared" si="30"/>
        <v>1248</v>
      </c>
      <c r="O32" s="21">
        <f t="shared" si="30"/>
        <v>1882</v>
      </c>
      <c r="P32" s="21"/>
      <c r="Q32" s="21">
        <f t="shared" si="31"/>
        <v>1383</v>
      </c>
      <c r="R32" s="21">
        <f t="shared" si="31"/>
        <v>653</v>
      </c>
      <c r="S32" s="21">
        <f t="shared" si="31"/>
        <v>485</v>
      </c>
      <c r="T32" s="21">
        <f t="shared" si="31"/>
        <v>628</v>
      </c>
      <c r="U32" s="21">
        <f t="shared" si="31"/>
        <v>117</v>
      </c>
      <c r="V32" s="21">
        <f t="shared" si="31"/>
        <v>316</v>
      </c>
      <c r="W32" s="21">
        <f t="shared" si="31"/>
        <v>169</v>
      </c>
      <c r="Y32" s="21">
        <f t="shared" ref="Y32:Y39" si="33">SUM(C32:X32)</f>
        <v>25748</v>
      </c>
    </row>
    <row r="33" spans="2:26">
      <c r="B33" s="247" t="s">
        <v>96</v>
      </c>
      <c r="C33" s="21">
        <f>C6</f>
        <v>9254.1525387505353</v>
      </c>
      <c r="D33" s="21">
        <f t="shared" ref="D33:Y33" si="34">D6</f>
        <v>7148.9314821549151</v>
      </c>
      <c r="E33" s="21">
        <f t="shared" si="34"/>
        <v>6681.2335296697802</v>
      </c>
      <c r="F33" s="21">
        <f t="shared" si="34"/>
        <v>2745.8395920095013</v>
      </c>
      <c r="G33" s="21">
        <f t="shared" si="34"/>
        <v>2850.2882662617649</v>
      </c>
      <c r="H33" s="21">
        <f t="shared" si="34"/>
        <v>2056.4783419445635</v>
      </c>
      <c r="I33" s="21">
        <f t="shared" si="34"/>
        <v>2562.474141655528</v>
      </c>
      <c r="J33" s="21">
        <f t="shared" si="34"/>
        <v>4239.4556338168677</v>
      </c>
      <c r="K33" s="21">
        <f t="shared" si="34"/>
        <v>3851.8349982584682</v>
      </c>
      <c r="L33" s="21"/>
      <c r="M33" s="21">
        <f t="shared" si="34"/>
        <v>2850.2882662617658</v>
      </c>
      <c r="N33" s="21">
        <f t="shared" si="34"/>
        <v>2028.6253621439596</v>
      </c>
      <c r="O33" s="21">
        <f t="shared" si="34"/>
        <v>1423.9835923058572</v>
      </c>
      <c r="P33" s="21"/>
      <c r="Q33" s="21">
        <f t="shared" si="34"/>
        <v>1234.8154378267579</v>
      </c>
      <c r="R33" s="21">
        <f t="shared" si="34"/>
        <v>811.21803669257883</v>
      </c>
      <c r="S33" s="21">
        <f t="shared" si="34"/>
        <v>785.68613854202556</v>
      </c>
      <c r="T33" s="21">
        <f t="shared" si="34"/>
        <v>700.96665831518976</v>
      </c>
      <c r="U33" s="21">
        <f t="shared" si="34"/>
        <v>316.82764523186557</v>
      </c>
      <c r="V33" s="21">
        <f t="shared" si="34"/>
        <v>46.421633001005944</v>
      </c>
      <c r="W33" s="21">
        <f t="shared" si="34"/>
        <v>46.421633001005944</v>
      </c>
      <c r="X33" s="21"/>
      <c r="Y33" s="21">
        <f t="shared" si="34"/>
        <v>51635.942927843942</v>
      </c>
    </row>
    <row r="34" spans="2:26">
      <c r="B34" s="247" t="s">
        <v>97</v>
      </c>
      <c r="C34" s="21">
        <f t="shared" ref="C34:K37" si="35">INT(C7*0.9)</f>
        <v>3088</v>
      </c>
      <c r="D34" s="21">
        <f t="shared" si="35"/>
        <v>382</v>
      </c>
      <c r="E34" s="21">
        <f t="shared" si="35"/>
        <v>665</v>
      </c>
      <c r="F34" s="21">
        <f t="shared" si="35"/>
        <v>193</v>
      </c>
      <c r="G34" s="21">
        <f t="shared" si="35"/>
        <v>193</v>
      </c>
      <c r="H34" s="21">
        <f t="shared" si="35"/>
        <v>163</v>
      </c>
      <c r="I34" s="21">
        <f t="shared" si="35"/>
        <v>239</v>
      </c>
      <c r="J34" s="21">
        <f t="shared" si="35"/>
        <v>273</v>
      </c>
      <c r="K34" s="21">
        <f t="shared" si="35"/>
        <v>208</v>
      </c>
      <c r="L34" s="21"/>
      <c r="M34" s="21">
        <f t="shared" ref="M34:O37" si="36">INT(M7*0.9)</f>
        <v>193</v>
      </c>
      <c r="N34" s="21">
        <f t="shared" si="36"/>
        <v>214</v>
      </c>
      <c r="O34" s="21">
        <f t="shared" si="36"/>
        <v>604</v>
      </c>
      <c r="P34" s="21"/>
      <c r="Q34" s="21">
        <f t="shared" ref="Q34:W37" si="37">INT(Q7*0.9)</f>
        <v>706</v>
      </c>
      <c r="R34" s="21">
        <f t="shared" si="37"/>
        <v>553</v>
      </c>
      <c r="S34" s="21">
        <f t="shared" si="37"/>
        <v>122</v>
      </c>
      <c r="T34" s="21">
        <f t="shared" si="37"/>
        <v>86</v>
      </c>
      <c r="U34" s="21">
        <f t="shared" si="37"/>
        <v>62</v>
      </c>
      <c r="V34" s="21">
        <f t="shared" si="37"/>
        <v>54</v>
      </c>
      <c r="W34" s="21">
        <f t="shared" si="37"/>
        <v>95</v>
      </c>
      <c r="Y34" s="21">
        <f t="shared" si="33"/>
        <v>8093</v>
      </c>
    </row>
    <row r="35" spans="2:26">
      <c r="B35" s="247" t="s">
        <v>281</v>
      </c>
      <c r="C35" s="21">
        <f t="shared" si="35"/>
        <v>2512</v>
      </c>
      <c r="D35" s="21">
        <f t="shared" si="35"/>
        <v>1259</v>
      </c>
      <c r="E35" s="21">
        <f t="shared" si="35"/>
        <v>739</v>
      </c>
      <c r="F35" s="21">
        <f t="shared" si="35"/>
        <v>1278</v>
      </c>
      <c r="G35" s="21">
        <f t="shared" si="35"/>
        <v>482</v>
      </c>
      <c r="H35" s="21">
        <f t="shared" si="35"/>
        <v>403</v>
      </c>
      <c r="I35" s="21">
        <f t="shared" si="35"/>
        <v>921</v>
      </c>
      <c r="J35" s="21">
        <f t="shared" si="35"/>
        <v>794</v>
      </c>
      <c r="K35" s="21">
        <f t="shared" si="35"/>
        <v>382</v>
      </c>
      <c r="L35" s="21"/>
      <c r="M35" s="21">
        <f t="shared" si="36"/>
        <v>482</v>
      </c>
      <c r="N35" s="21">
        <f t="shared" si="36"/>
        <v>732</v>
      </c>
      <c r="O35" s="21">
        <f t="shared" si="36"/>
        <v>655</v>
      </c>
      <c r="P35" s="21"/>
      <c r="Q35" s="21">
        <f t="shared" si="37"/>
        <v>1082</v>
      </c>
      <c r="R35" s="21">
        <f t="shared" si="37"/>
        <v>1284</v>
      </c>
      <c r="S35" s="21">
        <f t="shared" si="37"/>
        <v>229</v>
      </c>
      <c r="T35" s="21">
        <f t="shared" si="37"/>
        <v>456</v>
      </c>
      <c r="U35" s="21">
        <f t="shared" si="37"/>
        <v>344</v>
      </c>
      <c r="V35" s="21">
        <f t="shared" si="37"/>
        <v>271</v>
      </c>
      <c r="W35" s="21">
        <f t="shared" si="37"/>
        <v>28</v>
      </c>
      <c r="Y35" s="21">
        <f t="shared" si="33"/>
        <v>14333</v>
      </c>
    </row>
    <row r="36" spans="2:26">
      <c r="B36" s="247" t="s">
        <v>279</v>
      </c>
      <c r="C36" s="21">
        <f t="shared" si="35"/>
        <v>776</v>
      </c>
      <c r="D36" s="21">
        <f t="shared" si="35"/>
        <v>599</v>
      </c>
      <c r="E36" s="21">
        <f t="shared" si="35"/>
        <v>559</v>
      </c>
      <c r="F36" s="21">
        <f t="shared" si="35"/>
        <v>229</v>
      </c>
      <c r="G36" s="21">
        <f t="shared" si="35"/>
        <v>239</v>
      </c>
      <c r="H36" s="21">
        <f t="shared" si="35"/>
        <v>52</v>
      </c>
      <c r="I36" s="21">
        <f t="shared" si="35"/>
        <v>214</v>
      </c>
      <c r="J36" s="21">
        <f t="shared" si="35"/>
        <v>355</v>
      </c>
      <c r="K36" s="21">
        <f t="shared" si="35"/>
        <v>322</v>
      </c>
      <c r="L36" s="21"/>
      <c r="M36" s="21">
        <f t="shared" si="36"/>
        <v>239</v>
      </c>
      <c r="N36" s="21">
        <f t="shared" si="36"/>
        <v>163</v>
      </c>
      <c r="O36" s="21">
        <f t="shared" si="36"/>
        <v>114</v>
      </c>
      <c r="P36" s="21"/>
      <c r="Q36" s="21">
        <f t="shared" si="37"/>
        <v>100</v>
      </c>
      <c r="R36" s="21">
        <f t="shared" si="37"/>
        <v>65</v>
      </c>
      <c r="S36" s="21">
        <f t="shared" si="37"/>
        <v>63</v>
      </c>
      <c r="T36" s="21">
        <f t="shared" si="37"/>
        <v>56</v>
      </c>
      <c r="U36" s="21">
        <f t="shared" si="37"/>
        <v>26</v>
      </c>
      <c r="V36" s="21">
        <f t="shared" si="37"/>
        <v>4</v>
      </c>
      <c r="W36" s="21">
        <f t="shared" si="37"/>
        <v>4</v>
      </c>
      <c r="Y36" s="21">
        <f t="shared" si="33"/>
        <v>4179</v>
      </c>
    </row>
    <row r="37" spans="2:26">
      <c r="B37" s="247" t="s">
        <v>280</v>
      </c>
      <c r="C37" s="21">
        <f t="shared" si="35"/>
        <v>86</v>
      </c>
      <c r="D37" s="21">
        <f t="shared" si="35"/>
        <v>66</v>
      </c>
      <c r="E37" s="21">
        <f t="shared" si="35"/>
        <v>62</v>
      </c>
      <c r="F37" s="21">
        <f t="shared" si="35"/>
        <v>25</v>
      </c>
      <c r="G37" s="21">
        <f t="shared" si="35"/>
        <v>26</v>
      </c>
      <c r="H37" s="21">
        <f t="shared" si="35"/>
        <v>6</v>
      </c>
      <c r="I37" s="21">
        <f t="shared" si="35"/>
        <v>24</v>
      </c>
      <c r="J37" s="21">
        <f t="shared" si="35"/>
        <v>39</v>
      </c>
      <c r="K37" s="21">
        <f t="shared" si="35"/>
        <v>35</v>
      </c>
      <c r="L37" s="21"/>
      <c r="M37" s="21">
        <f t="shared" si="36"/>
        <v>26</v>
      </c>
      <c r="N37" s="21">
        <f t="shared" si="36"/>
        <v>17</v>
      </c>
      <c r="O37" s="21">
        <f t="shared" si="36"/>
        <v>12</v>
      </c>
      <c r="P37" s="21"/>
      <c r="Q37" s="21">
        <f t="shared" si="37"/>
        <v>11</v>
      </c>
      <c r="R37" s="21">
        <f t="shared" si="37"/>
        <v>7</v>
      </c>
      <c r="S37" s="21">
        <f t="shared" si="37"/>
        <v>7</v>
      </c>
      <c r="T37" s="21">
        <f t="shared" si="37"/>
        <v>6</v>
      </c>
      <c r="U37" s="21">
        <f t="shared" si="37"/>
        <v>3</v>
      </c>
      <c r="V37" s="21">
        <f t="shared" si="37"/>
        <v>1</v>
      </c>
      <c r="W37" s="21">
        <f t="shared" si="37"/>
        <v>1</v>
      </c>
      <c r="Y37" s="21">
        <f t="shared" si="33"/>
        <v>460</v>
      </c>
    </row>
    <row r="38" spans="2:26">
      <c r="C38" s="21"/>
      <c r="D38" s="21"/>
      <c r="E38" s="21"/>
      <c r="F38" s="21"/>
      <c r="G38" s="21"/>
      <c r="H38" s="21"/>
      <c r="I38" s="21"/>
      <c r="J38" s="21"/>
      <c r="K38" s="21"/>
      <c r="L38" s="246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Y38" s="21"/>
    </row>
    <row r="39" spans="2:26">
      <c r="B39" s="247" t="s">
        <v>99</v>
      </c>
      <c r="C39" s="21">
        <f t="shared" ref="C39:K39" si="38">INT(C12*0.9)</f>
        <v>451</v>
      </c>
      <c r="D39" s="21">
        <f t="shared" si="38"/>
        <v>379</v>
      </c>
      <c r="E39" s="21">
        <f t="shared" si="38"/>
        <v>577</v>
      </c>
      <c r="F39" s="21">
        <f t="shared" si="38"/>
        <v>240</v>
      </c>
      <c r="G39" s="21">
        <f t="shared" si="38"/>
        <v>220</v>
      </c>
      <c r="H39" s="21">
        <f t="shared" si="38"/>
        <v>235</v>
      </c>
      <c r="I39" s="21">
        <f t="shared" si="38"/>
        <v>686</v>
      </c>
      <c r="J39" s="21">
        <f t="shared" si="38"/>
        <v>434</v>
      </c>
      <c r="K39" s="21">
        <f t="shared" si="38"/>
        <v>451</v>
      </c>
      <c r="L39" s="21"/>
      <c r="M39" s="21">
        <f t="shared" ref="M39:O39" si="39">INT(M12*0.9)</f>
        <v>220</v>
      </c>
      <c r="N39" s="21">
        <f t="shared" si="39"/>
        <v>799</v>
      </c>
      <c r="O39" s="21">
        <f t="shared" si="39"/>
        <v>243</v>
      </c>
      <c r="P39" s="21"/>
      <c r="Q39" s="21">
        <f t="shared" ref="Q39:W39" si="40">INT(Q12*0.9)</f>
        <v>244</v>
      </c>
      <c r="R39" s="21">
        <f t="shared" si="40"/>
        <v>102</v>
      </c>
      <c r="S39" s="21">
        <f t="shared" si="40"/>
        <v>196</v>
      </c>
      <c r="T39" s="21">
        <f t="shared" si="40"/>
        <v>66</v>
      </c>
      <c r="U39" s="21">
        <f t="shared" si="40"/>
        <v>80</v>
      </c>
      <c r="V39" s="21">
        <f t="shared" si="40"/>
        <v>164</v>
      </c>
      <c r="W39" s="21">
        <f t="shared" si="40"/>
        <v>52</v>
      </c>
      <c r="Y39" s="21">
        <f t="shared" si="33"/>
        <v>5839</v>
      </c>
    </row>
    <row r="40" spans="2:26"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Y40" s="21">
        <f>SUM(Y31:Y39)</f>
        <v>114672.94292784395</v>
      </c>
      <c r="Z40" s="21">
        <f>Y13-Y40</f>
        <v>7078.4874199399637</v>
      </c>
    </row>
    <row r="41" spans="2:26">
      <c r="C41" s="21">
        <f>C14</f>
        <v>19</v>
      </c>
      <c r="D41" s="21">
        <f t="shared" ref="D41:W41" si="41">D14</f>
        <v>0</v>
      </c>
      <c r="E41" s="21">
        <f t="shared" si="41"/>
        <v>0</v>
      </c>
      <c r="F41" s="21">
        <f t="shared" si="41"/>
        <v>28</v>
      </c>
      <c r="G41" s="21">
        <f t="shared" si="41"/>
        <v>6</v>
      </c>
      <c r="H41" s="21">
        <f t="shared" si="41"/>
        <v>0</v>
      </c>
      <c r="I41" s="21">
        <f t="shared" si="41"/>
        <v>11</v>
      </c>
      <c r="J41" s="21">
        <f t="shared" si="41"/>
        <v>0</v>
      </c>
      <c r="K41" s="21">
        <f t="shared" si="41"/>
        <v>0</v>
      </c>
      <c r="L41" s="21">
        <f t="shared" si="41"/>
        <v>64</v>
      </c>
      <c r="M41" s="21">
        <f t="shared" si="41"/>
        <v>0</v>
      </c>
      <c r="N41" s="21">
        <f t="shared" si="41"/>
        <v>0</v>
      </c>
      <c r="O41" s="21">
        <f t="shared" si="41"/>
        <v>0</v>
      </c>
      <c r="P41" s="21">
        <f t="shared" si="41"/>
        <v>0</v>
      </c>
      <c r="Q41" s="21">
        <f t="shared" si="41"/>
        <v>0</v>
      </c>
      <c r="R41" s="21">
        <f t="shared" si="41"/>
        <v>0</v>
      </c>
      <c r="S41" s="21">
        <f t="shared" si="41"/>
        <v>0</v>
      </c>
      <c r="T41" s="21">
        <f t="shared" si="41"/>
        <v>0</v>
      </c>
      <c r="U41" s="21">
        <f t="shared" si="41"/>
        <v>0</v>
      </c>
      <c r="V41" s="21">
        <f t="shared" si="41"/>
        <v>0</v>
      </c>
      <c r="W41" s="21">
        <f t="shared" si="41"/>
        <v>0</v>
      </c>
    </row>
    <row r="42" spans="2:26">
      <c r="C42" s="21">
        <f t="shared" ref="C42:W42" si="42">C15</f>
        <v>0</v>
      </c>
      <c r="D42" s="21">
        <f t="shared" si="42"/>
        <v>15</v>
      </c>
      <c r="E42" s="21">
        <f t="shared" si="42"/>
        <v>0</v>
      </c>
      <c r="F42" s="21">
        <f t="shared" si="42"/>
        <v>0</v>
      </c>
      <c r="G42" s="21">
        <f t="shared" si="42"/>
        <v>0</v>
      </c>
      <c r="H42" s="21">
        <f t="shared" si="42"/>
        <v>0</v>
      </c>
      <c r="I42" s="21">
        <f t="shared" si="42"/>
        <v>0</v>
      </c>
      <c r="J42" s="21">
        <f t="shared" si="42"/>
        <v>0</v>
      </c>
      <c r="K42" s="21">
        <f t="shared" si="42"/>
        <v>0</v>
      </c>
      <c r="L42" s="21">
        <f t="shared" si="42"/>
        <v>15</v>
      </c>
      <c r="M42" s="21">
        <f t="shared" si="42"/>
        <v>0</v>
      </c>
      <c r="N42" s="21">
        <f t="shared" si="42"/>
        <v>0</v>
      </c>
      <c r="O42" s="21">
        <f t="shared" si="42"/>
        <v>0</v>
      </c>
      <c r="P42" s="21">
        <f t="shared" si="42"/>
        <v>0</v>
      </c>
      <c r="Q42" s="21">
        <f t="shared" si="42"/>
        <v>0</v>
      </c>
      <c r="R42" s="21">
        <f t="shared" si="42"/>
        <v>0</v>
      </c>
      <c r="S42" s="21">
        <f t="shared" si="42"/>
        <v>0</v>
      </c>
      <c r="T42" s="21">
        <f t="shared" si="42"/>
        <v>0</v>
      </c>
      <c r="U42" s="21">
        <f t="shared" si="42"/>
        <v>0</v>
      </c>
      <c r="V42" s="21">
        <f t="shared" si="42"/>
        <v>0</v>
      </c>
      <c r="W42" s="21">
        <f t="shared" si="42"/>
        <v>0</v>
      </c>
    </row>
    <row r="43" spans="2:26">
      <c r="C43" s="21">
        <f t="shared" ref="C43:W43" si="43">C16</f>
        <v>2653.6434221930745</v>
      </c>
      <c r="D43" s="21">
        <f t="shared" si="43"/>
        <v>0</v>
      </c>
      <c r="E43" s="21">
        <f t="shared" si="43"/>
        <v>2629</v>
      </c>
      <c r="F43" s="21">
        <f t="shared" si="43"/>
        <v>0</v>
      </c>
      <c r="G43" s="21">
        <f t="shared" si="43"/>
        <v>0</v>
      </c>
      <c r="H43" s="21">
        <f t="shared" si="43"/>
        <v>0</v>
      </c>
      <c r="I43" s="21">
        <f t="shared" si="43"/>
        <v>0</v>
      </c>
      <c r="J43" s="21">
        <f t="shared" si="43"/>
        <v>0</v>
      </c>
      <c r="K43" s="21">
        <f t="shared" si="43"/>
        <v>0</v>
      </c>
      <c r="L43" s="21">
        <f t="shared" si="43"/>
        <v>5282.643422193074</v>
      </c>
      <c r="M43" s="21">
        <f t="shared" si="43"/>
        <v>0</v>
      </c>
      <c r="N43" s="21">
        <f t="shared" si="43"/>
        <v>0</v>
      </c>
      <c r="O43" s="21">
        <f t="shared" si="43"/>
        <v>0</v>
      </c>
      <c r="P43" s="21">
        <f t="shared" si="43"/>
        <v>0</v>
      </c>
      <c r="Q43" s="21">
        <f t="shared" si="43"/>
        <v>0</v>
      </c>
      <c r="R43" s="21">
        <f t="shared" si="43"/>
        <v>0</v>
      </c>
      <c r="S43" s="21">
        <f t="shared" si="43"/>
        <v>0</v>
      </c>
      <c r="T43" s="21">
        <f t="shared" si="43"/>
        <v>0</v>
      </c>
      <c r="U43" s="21">
        <f t="shared" si="43"/>
        <v>0</v>
      </c>
      <c r="V43" s="21">
        <f t="shared" si="43"/>
        <v>0</v>
      </c>
      <c r="W43" s="21">
        <f t="shared" si="43"/>
        <v>0</v>
      </c>
    </row>
    <row r="44" spans="2:26">
      <c r="C44" s="21">
        <f t="shared" ref="C44:W44" si="44">C17</f>
        <v>495.08785934570381</v>
      </c>
      <c r="D44" s="21">
        <f t="shared" si="44"/>
        <v>1209.9655895190717</v>
      </c>
      <c r="E44" s="21">
        <f t="shared" si="44"/>
        <v>1230.2910984339178</v>
      </c>
      <c r="F44" s="21">
        <f t="shared" si="44"/>
        <v>817.80282927968881</v>
      </c>
      <c r="G44" s="21">
        <f t="shared" si="44"/>
        <v>1993.8091373932052</v>
      </c>
      <c r="H44" s="21">
        <f t="shared" si="44"/>
        <v>322.80495011289935</v>
      </c>
      <c r="I44" s="21">
        <f t="shared" si="44"/>
        <v>180</v>
      </c>
      <c r="J44" s="21">
        <f t="shared" si="44"/>
        <v>1556.9877856949242</v>
      </c>
      <c r="K44" s="21">
        <f t="shared" si="44"/>
        <v>706</v>
      </c>
      <c r="L44" s="21">
        <f t="shared" si="44"/>
        <v>8512.7492497794101</v>
      </c>
      <c r="M44" s="21">
        <f t="shared" si="44"/>
        <v>401.68585897507398</v>
      </c>
      <c r="N44" s="21">
        <f t="shared" si="44"/>
        <v>1715.2793393871696</v>
      </c>
      <c r="O44" s="21">
        <f t="shared" si="44"/>
        <v>1544.7198567576118</v>
      </c>
      <c r="P44" s="21">
        <f t="shared" si="44"/>
        <v>3661.685055119855</v>
      </c>
      <c r="Q44" s="21">
        <f t="shared" si="44"/>
        <v>1060.7343140729859</v>
      </c>
      <c r="R44" s="21">
        <f t="shared" si="44"/>
        <v>1316.0532955785184</v>
      </c>
      <c r="S44" s="21">
        <f t="shared" si="44"/>
        <v>644.10015788895748</v>
      </c>
      <c r="T44" s="21">
        <f t="shared" si="44"/>
        <v>1071.1791814982121</v>
      </c>
      <c r="U44" s="21">
        <f t="shared" si="44"/>
        <v>87.040561876886144</v>
      </c>
      <c r="V44" s="21">
        <f t="shared" si="44"/>
        <v>91.682725176986736</v>
      </c>
      <c r="W44" s="21">
        <f t="shared" si="44"/>
        <v>10.444867425226336</v>
      </c>
    </row>
    <row r="45" spans="2:26">
      <c r="C45" s="21">
        <f t="shared" ref="C45:W45" si="45">C18</f>
        <v>3148.7312815387781</v>
      </c>
      <c r="D45" s="21">
        <f t="shared" si="45"/>
        <v>1209.9655895190717</v>
      </c>
      <c r="E45" s="21">
        <f t="shared" si="45"/>
        <v>3859.2910984339178</v>
      </c>
      <c r="F45" s="21">
        <f t="shared" si="45"/>
        <v>817.80282927968881</v>
      </c>
      <c r="G45" s="21">
        <f t="shared" si="45"/>
        <v>1993.8091373932052</v>
      </c>
      <c r="H45" s="21">
        <f t="shared" si="45"/>
        <v>322.80495011289935</v>
      </c>
      <c r="I45" s="21">
        <f t="shared" si="45"/>
        <v>180</v>
      </c>
      <c r="J45" s="21">
        <f t="shared" si="45"/>
        <v>1556.9877856949242</v>
      </c>
      <c r="K45" s="21">
        <f t="shared" si="45"/>
        <v>706</v>
      </c>
      <c r="L45" s="21">
        <f t="shared" si="45"/>
        <v>13795.392671972484</v>
      </c>
      <c r="M45" s="21">
        <f t="shared" si="45"/>
        <v>401.68585897507398</v>
      </c>
      <c r="N45" s="21">
        <f t="shared" si="45"/>
        <v>1715.2793393871696</v>
      </c>
      <c r="O45" s="21">
        <f t="shared" si="45"/>
        <v>1544.7198567576118</v>
      </c>
      <c r="P45" s="21">
        <f t="shared" si="45"/>
        <v>3661.685055119855</v>
      </c>
      <c r="Q45" s="21">
        <f t="shared" si="45"/>
        <v>1060.7343140729859</v>
      </c>
      <c r="R45" s="21">
        <f t="shared" si="45"/>
        <v>1316.0532955785184</v>
      </c>
      <c r="S45" s="21">
        <f t="shared" si="45"/>
        <v>644.10015788895748</v>
      </c>
      <c r="T45" s="21">
        <f t="shared" si="45"/>
        <v>1071.1791814982121</v>
      </c>
      <c r="U45" s="21">
        <f t="shared" si="45"/>
        <v>87.040561876886144</v>
      </c>
      <c r="V45" s="21">
        <f t="shared" si="45"/>
        <v>91.682725176986736</v>
      </c>
      <c r="W45" s="21">
        <f t="shared" si="45"/>
        <v>10.444867425226336</v>
      </c>
    </row>
    <row r="46" spans="2:26">
      <c r="C46" s="21">
        <f t="shared" ref="C46:W46" si="46">C19</f>
        <v>5549.2245645088951</v>
      </c>
      <c r="D46" s="21">
        <f t="shared" si="46"/>
        <v>0</v>
      </c>
      <c r="E46" s="21">
        <f t="shared" si="46"/>
        <v>0</v>
      </c>
      <c r="F46" s="21">
        <f t="shared" si="46"/>
        <v>0</v>
      </c>
      <c r="G46" s="21">
        <f t="shared" si="46"/>
        <v>4167.5021026653085</v>
      </c>
      <c r="H46" s="21">
        <f t="shared" si="46"/>
        <v>0</v>
      </c>
      <c r="I46" s="21">
        <f t="shared" si="46"/>
        <v>0</v>
      </c>
      <c r="J46" s="21">
        <f t="shared" si="46"/>
        <v>0</v>
      </c>
      <c r="K46" s="21">
        <f t="shared" si="46"/>
        <v>0</v>
      </c>
      <c r="L46" s="21">
        <f t="shared" si="46"/>
        <v>9716.7266671742036</v>
      </c>
      <c r="M46" s="21">
        <f t="shared" si="46"/>
        <v>0</v>
      </c>
      <c r="N46" s="21">
        <f t="shared" si="46"/>
        <v>0</v>
      </c>
      <c r="O46" s="21">
        <f t="shared" si="46"/>
        <v>0</v>
      </c>
      <c r="P46" s="21">
        <f t="shared" si="46"/>
        <v>0</v>
      </c>
      <c r="Q46" s="21">
        <f t="shared" si="46"/>
        <v>0</v>
      </c>
      <c r="R46" s="21">
        <f t="shared" si="46"/>
        <v>0</v>
      </c>
      <c r="S46" s="21">
        <f t="shared" si="46"/>
        <v>0</v>
      </c>
      <c r="T46" s="21">
        <f t="shared" si="46"/>
        <v>0</v>
      </c>
      <c r="U46" s="21">
        <f t="shared" si="46"/>
        <v>0</v>
      </c>
      <c r="V46" s="21">
        <f t="shared" si="46"/>
        <v>0</v>
      </c>
      <c r="W46" s="21">
        <f t="shared" si="46"/>
        <v>0</v>
      </c>
    </row>
    <row r="47" spans="2:26">
      <c r="C47" s="21">
        <f t="shared" ref="C47:W47" si="47">C20</f>
        <v>63.761835399372714</v>
      </c>
      <c r="D47" s="21">
        <f t="shared" si="47"/>
        <v>76</v>
      </c>
      <c r="E47" s="21">
        <f t="shared" si="47"/>
        <v>472.22005983781924</v>
      </c>
      <c r="F47" s="21">
        <f t="shared" si="47"/>
        <v>13</v>
      </c>
      <c r="G47" s="21">
        <f t="shared" si="47"/>
        <v>37</v>
      </c>
      <c r="H47" s="21">
        <f t="shared" si="47"/>
        <v>19</v>
      </c>
      <c r="I47" s="21">
        <f t="shared" si="47"/>
        <v>100</v>
      </c>
      <c r="J47" s="21">
        <f t="shared" si="47"/>
        <v>102</v>
      </c>
      <c r="K47" s="21">
        <f t="shared" si="47"/>
        <v>6</v>
      </c>
      <c r="L47" s="21">
        <f t="shared" si="47"/>
        <v>888.98189523719202</v>
      </c>
      <c r="M47" s="21">
        <f t="shared" si="47"/>
        <v>150</v>
      </c>
      <c r="N47" s="21">
        <f t="shared" si="47"/>
        <v>84.948671082341932</v>
      </c>
      <c r="O47" s="21">
        <f t="shared" si="47"/>
        <v>30</v>
      </c>
      <c r="P47" s="21">
        <f t="shared" si="47"/>
        <v>264.94867108234195</v>
      </c>
      <c r="Q47" s="21">
        <f t="shared" si="47"/>
        <v>0</v>
      </c>
      <c r="R47" s="21">
        <f t="shared" si="47"/>
        <v>21</v>
      </c>
      <c r="S47" s="21">
        <f t="shared" si="47"/>
        <v>0</v>
      </c>
      <c r="T47" s="21">
        <f t="shared" si="47"/>
        <v>0</v>
      </c>
      <c r="U47" s="21">
        <f t="shared" si="47"/>
        <v>0</v>
      </c>
      <c r="V47" s="21">
        <f t="shared" si="47"/>
        <v>0</v>
      </c>
      <c r="W47" s="21">
        <f t="shared" si="47"/>
        <v>0</v>
      </c>
    </row>
    <row r="48" spans="2:26">
      <c r="C48" s="21">
        <f t="shared" ref="C48:W48" si="48">C21</f>
        <v>0</v>
      </c>
      <c r="D48" s="21">
        <f t="shared" si="48"/>
        <v>15475</v>
      </c>
      <c r="E48" s="21">
        <f t="shared" si="48"/>
        <v>0</v>
      </c>
      <c r="F48" s="21">
        <f t="shared" si="48"/>
        <v>3412</v>
      </c>
      <c r="G48" s="21">
        <f t="shared" si="48"/>
        <v>0</v>
      </c>
      <c r="H48" s="21">
        <f t="shared" si="48"/>
        <v>0</v>
      </c>
      <c r="I48" s="21">
        <f t="shared" si="48"/>
        <v>0</v>
      </c>
      <c r="J48" s="21">
        <f t="shared" si="48"/>
        <v>0</v>
      </c>
      <c r="K48" s="21">
        <f t="shared" si="48"/>
        <v>0</v>
      </c>
      <c r="L48" s="21">
        <f t="shared" si="48"/>
        <v>18887</v>
      </c>
      <c r="M48" s="21">
        <f t="shared" si="48"/>
        <v>0</v>
      </c>
      <c r="N48" s="21">
        <f t="shared" si="48"/>
        <v>0</v>
      </c>
      <c r="O48" s="21">
        <f t="shared" si="48"/>
        <v>0</v>
      </c>
      <c r="P48" s="21">
        <f t="shared" si="48"/>
        <v>0</v>
      </c>
      <c r="Q48" s="21">
        <f t="shared" si="48"/>
        <v>0</v>
      </c>
      <c r="R48" s="21">
        <f t="shared" si="48"/>
        <v>0</v>
      </c>
      <c r="S48" s="21">
        <f t="shared" si="48"/>
        <v>0</v>
      </c>
      <c r="T48" s="21">
        <f t="shared" si="48"/>
        <v>0</v>
      </c>
      <c r="U48" s="21">
        <f t="shared" si="48"/>
        <v>0</v>
      </c>
      <c r="V48" s="21">
        <f t="shared" si="48"/>
        <v>0</v>
      </c>
      <c r="W48" s="21">
        <f t="shared" si="48"/>
        <v>0</v>
      </c>
    </row>
    <row r="49" spans="3:23">
      <c r="C49" s="21">
        <f t="shared" ref="C49:W49" si="49">C22</f>
        <v>867.5</v>
      </c>
      <c r="D49" s="21">
        <f t="shared" si="49"/>
        <v>682.01647354680233</v>
      </c>
      <c r="E49" s="21">
        <f t="shared" si="49"/>
        <v>2147.9878259392176</v>
      </c>
      <c r="F49" s="21">
        <f t="shared" si="49"/>
        <v>170</v>
      </c>
      <c r="G49" s="21">
        <f t="shared" si="49"/>
        <v>180</v>
      </c>
      <c r="H49" s="21">
        <f t="shared" si="49"/>
        <v>50</v>
      </c>
      <c r="I49" s="21">
        <f t="shared" si="49"/>
        <v>169.43896045367168</v>
      </c>
      <c r="J49" s="21">
        <f t="shared" si="49"/>
        <v>386</v>
      </c>
      <c r="K49" s="21">
        <f t="shared" si="49"/>
        <v>386</v>
      </c>
      <c r="L49" s="21">
        <f t="shared" si="49"/>
        <v>5038.9432599396914</v>
      </c>
      <c r="M49" s="21">
        <f t="shared" si="49"/>
        <v>311.11956954790054</v>
      </c>
      <c r="N49" s="21">
        <f t="shared" si="49"/>
        <v>386</v>
      </c>
      <c r="O49" s="21">
        <f t="shared" si="49"/>
        <v>107</v>
      </c>
      <c r="P49" s="21">
        <f t="shared" si="49"/>
        <v>804.11956954790048</v>
      </c>
      <c r="Q49" s="21">
        <f t="shared" si="49"/>
        <v>29</v>
      </c>
      <c r="R49" s="21">
        <f t="shared" si="49"/>
        <v>0</v>
      </c>
      <c r="S49" s="21">
        <f t="shared" si="49"/>
        <v>0</v>
      </c>
      <c r="T49" s="21">
        <f t="shared" si="49"/>
        <v>0</v>
      </c>
      <c r="U49" s="21">
        <f t="shared" si="49"/>
        <v>0</v>
      </c>
      <c r="V49" s="21">
        <f t="shared" si="49"/>
        <v>0</v>
      </c>
      <c r="W49" s="21">
        <f t="shared" si="49"/>
        <v>0</v>
      </c>
    </row>
    <row r="50" spans="3:23">
      <c r="C50" s="21">
        <f t="shared" ref="C50:W50" si="50">C23</f>
        <v>2</v>
      </c>
      <c r="D50" s="21">
        <f t="shared" si="50"/>
        <v>79</v>
      </c>
      <c r="E50" s="21">
        <f t="shared" si="50"/>
        <v>155</v>
      </c>
      <c r="F50" s="21">
        <f t="shared" si="50"/>
        <v>13</v>
      </c>
      <c r="G50" s="21">
        <f t="shared" si="50"/>
        <v>54</v>
      </c>
      <c r="H50" s="21">
        <f t="shared" si="50"/>
        <v>20</v>
      </c>
      <c r="I50" s="21">
        <f t="shared" si="50"/>
        <v>91</v>
      </c>
      <c r="J50" s="21">
        <f t="shared" si="50"/>
        <v>83.5</v>
      </c>
      <c r="K50" s="21">
        <f t="shared" si="50"/>
        <v>84</v>
      </c>
      <c r="L50" s="21">
        <f t="shared" si="50"/>
        <v>581.5</v>
      </c>
      <c r="M50" s="21">
        <f t="shared" si="50"/>
        <v>44</v>
      </c>
      <c r="N50" s="21">
        <f t="shared" si="50"/>
        <v>84</v>
      </c>
      <c r="O50" s="21">
        <f t="shared" si="50"/>
        <v>47</v>
      </c>
      <c r="P50" s="21">
        <f t="shared" si="50"/>
        <v>175</v>
      </c>
      <c r="Q50" s="21">
        <f t="shared" si="50"/>
        <v>0</v>
      </c>
      <c r="R50" s="21">
        <f t="shared" si="50"/>
        <v>10</v>
      </c>
      <c r="S50" s="21">
        <f t="shared" si="50"/>
        <v>0</v>
      </c>
      <c r="T50" s="21">
        <f t="shared" si="50"/>
        <v>0</v>
      </c>
      <c r="U50" s="21">
        <f t="shared" si="50"/>
        <v>0</v>
      </c>
      <c r="V50" s="21">
        <f t="shared" si="50"/>
        <v>0</v>
      </c>
      <c r="W50" s="21">
        <f t="shared" si="50"/>
        <v>0</v>
      </c>
    </row>
    <row r="51" spans="3:23">
      <c r="C51" s="21">
        <f t="shared" ref="C51:W51" si="51">C24</f>
        <v>869.5</v>
      </c>
      <c r="D51" s="21">
        <f t="shared" si="51"/>
        <v>16236.016473546802</v>
      </c>
      <c r="E51" s="21">
        <f t="shared" si="51"/>
        <v>2302.9878259392176</v>
      </c>
      <c r="F51" s="21">
        <f t="shared" si="51"/>
        <v>3595</v>
      </c>
      <c r="G51" s="21">
        <f t="shared" si="51"/>
        <v>234</v>
      </c>
      <c r="H51" s="21">
        <f t="shared" si="51"/>
        <v>70</v>
      </c>
      <c r="I51" s="21">
        <f t="shared" si="51"/>
        <v>260.43896045367171</v>
      </c>
      <c r="J51" s="21">
        <f t="shared" si="51"/>
        <v>469.5</v>
      </c>
      <c r="K51" s="21">
        <f t="shared" si="51"/>
        <v>470</v>
      </c>
      <c r="L51" s="21">
        <f t="shared" si="51"/>
        <v>24507.44325993969</v>
      </c>
      <c r="M51" s="21">
        <f t="shared" si="51"/>
        <v>355.11956954790054</v>
      </c>
      <c r="N51" s="21">
        <f t="shared" si="51"/>
        <v>470</v>
      </c>
      <c r="O51" s="21">
        <f t="shared" si="51"/>
        <v>154</v>
      </c>
      <c r="P51" s="21">
        <f t="shared" si="51"/>
        <v>979.11956954790048</v>
      </c>
      <c r="Q51" s="21">
        <f t="shared" si="51"/>
        <v>29</v>
      </c>
      <c r="R51" s="21">
        <f t="shared" si="51"/>
        <v>10</v>
      </c>
      <c r="S51" s="21">
        <f t="shared" si="51"/>
        <v>0</v>
      </c>
      <c r="T51" s="21">
        <f t="shared" si="51"/>
        <v>0</v>
      </c>
      <c r="U51" s="21">
        <f t="shared" si="51"/>
        <v>0</v>
      </c>
      <c r="V51" s="21">
        <f t="shared" si="51"/>
        <v>0</v>
      </c>
      <c r="W51" s="21">
        <f t="shared" si="51"/>
        <v>0</v>
      </c>
    </row>
    <row r="52" spans="3:23">
      <c r="C52" s="21">
        <f>C25</f>
        <v>9650.2176814470458</v>
      </c>
      <c r="D52" s="21">
        <f t="shared" ref="D52:W52" si="52">D25</f>
        <v>17536.982063065872</v>
      </c>
      <c r="E52" s="21">
        <f t="shared" si="52"/>
        <v>6634.4989842109553</v>
      </c>
      <c r="F52" s="21">
        <f t="shared" si="52"/>
        <v>4453.8028292796889</v>
      </c>
      <c r="G52" s="21">
        <f t="shared" si="52"/>
        <v>6438.3112400585142</v>
      </c>
      <c r="H52" s="21">
        <f t="shared" si="52"/>
        <v>411.80495011289935</v>
      </c>
      <c r="I52" s="21">
        <f t="shared" si="52"/>
        <v>551.43896045367171</v>
      </c>
      <c r="J52" s="21">
        <f t="shared" si="52"/>
        <v>2128.4877856949242</v>
      </c>
      <c r="K52" s="21">
        <f t="shared" si="52"/>
        <v>1182</v>
      </c>
      <c r="L52" s="21">
        <f t="shared" si="52"/>
        <v>48987.544494323571</v>
      </c>
      <c r="M52" s="21">
        <f t="shared" si="52"/>
        <v>906.80542852297458</v>
      </c>
      <c r="N52" s="21">
        <f t="shared" si="52"/>
        <v>2270.2280104695114</v>
      </c>
      <c r="O52" s="21">
        <f t="shared" si="52"/>
        <v>1728.7198567576118</v>
      </c>
      <c r="P52" s="21">
        <f t="shared" si="52"/>
        <v>4905.7532957500971</v>
      </c>
      <c r="Q52" s="21">
        <f t="shared" si="52"/>
        <v>1089.7343140729859</v>
      </c>
      <c r="R52" s="21">
        <f t="shared" si="52"/>
        <v>1347.0532955785184</v>
      </c>
      <c r="S52" s="21">
        <f t="shared" si="52"/>
        <v>644.10015788895748</v>
      </c>
      <c r="T52" s="21">
        <f t="shared" si="52"/>
        <v>1071.1791814982121</v>
      </c>
      <c r="U52" s="21">
        <f t="shared" si="52"/>
        <v>87.040561876886144</v>
      </c>
      <c r="V52" s="21">
        <f t="shared" si="52"/>
        <v>91.682725176986736</v>
      </c>
      <c r="W52" s="21">
        <f t="shared" si="52"/>
        <v>10.444867425226336</v>
      </c>
    </row>
    <row r="53" spans="3:23">
      <c r="C53" s="21">
        <f t="shared" ref="C53:W53" si="53">C26</f>
        <v>1321.415794563118</v>
      </c>
      <c r="D53" s="21">
        <f t="shared" si="53"/>
        <v>386.58015068079101</v>
      </c>
      <c r="E53" s="21">
        <f t="shared" si="53"/>
        <v>490.6286384416664</v>
      </c>
      <c r="F53" s="21">
        <f t="shared" si="53"/>
        <v>157.78781660440453</v>
      </c>
      <c r="G53" s="21">
        <f t="shared" si="53"/>
        <v>1598.4591856011414</v>
      </c>
      <c r="H53" s="21">
        <f t="shared" si="53"/>
        <v>810.66349255451291</v>
      </c>
      <c r="I53" s="21">
        <f t="shared" si="53"/>
        <v>2.2867799507884703</v>
      </c>
      <c r="J53" s="21">
        <f t="shared" si="53"/>
        <v>730.62619427691664</v>
      </c>
      <c r="K53" s="21">
        <f t="shared" si="53"/>
        <v>3392.4380569946966</v>
      </c>
      <c r="L53" s="21">
        <f t="shared" si="53"/>
        <v>8890.8861096680357</v>
      </c>
      <c r="M53" s="21">
        <f t="shared" si="53"/>
        <v>49.16576894195213</v>
      </c>
      <c r="N53" s="21">
        <f t="shared" si="53"/>
        <v>607.14007693433916</v>
      </c>
      <c r="O53" s="21">
        <f t="shared" si="53"/>
        <v>1429.2374692427943</v>
      </c>
      <c r="P53" s="21">
        <f t="shared" si="53"/>
        <v>2085.5433151190855</v>
      </c>
      <c r="Q53" s="21">
        <f t="shared" si="53"/>
        <v>1191.8291566178339</v>
      </c>
      <c r="R53" s="21">
        <f t="shared" si="53"/>
        <v>790.79779578990497</v>
      </c>
      <c r="S53" s="21">
        <f t="shared" si="53"/>
        <v>616.1914448676323</v>
      </c>
      <c r="T53" s="21">
        <f t="shared" si="53"/>
        <v>0</v>
      </c>
      <c r="U53" s="21">
        <f t="shared" si="53"/>
        <v>0</v>
      </c>
      <c r="V53" s="21">
        <f t="shared" si="53"/>
        <v>295.14105768797015</v>
      </c>
      <c r="W53" s="21">
        <f t="shared" si="53"/>
        <v>0</v>
      </c>
    </row>
    <row r="54" spans="3:23">
      <c r="C54" s="21">
        <f t="shared" ref="C54:W54" si="54">C27</f>
        <v>0</v>
      </c>
      <c r="D54" s="21">
        <f t="shared" si="54"/>
        <v>0</v>
      </c>
      <c r="E54" s="21">
        <f t="shared" si="54"/>
        <v>0</v>
      </c>
      <c r="F54" s="21">
        <f t="shared" si="54"/>
        <v>0</v>
      </c>
      <c r="G54" s="21">
        <f t="shared" si="54"/>
        <v>0</v>
      </c>
      <c r="H54" s="21">
        <f t="shared" si="54"/>
        <v>0</v>
      </c>
      <c r="I54" s="21">
        <f t="shared" si="54"/>
        <v>0</v>
      </c>
      <c r="J54" s="21">
        <f t="shared" si="54"/>
        <v>0</v>
      </c>
      <c r="K54" s="21">
        <f t="shared" si="54"/>
        <v>0</v>
      </c>
      <c r="L54" s="21">
        <f t="shared" si="54"/>
        <v>0</v>
      </c>
      <c r="M54" s="21">
        <f t="shared" si="54"/>
        <v>0</v>
      </c>
      <c r="N54" s="21">
        <f t="shared" si="54"/>
        <v>0</v>
      </c>
      <c r="O54" s="21">
        <f t="shared" si="54"/>
        <v>0</v>
      </c>
      <c r="P54" s="21">
        <f t="shared" si="54"/>
        <v>0</v>
      </c>
      <c r="Q54" s="21">
        <f t="shared" si="54"/>
        <v>0</v>
      </c>
      <c r="R54" s="21">
        <f t="shared" si="54"/>
        <v>0</v>
      </c>
      <c r="S54" s="21">
        <f t="shared" si="54"/>
        <v>0</v>
      </c>
      <c r="T54" s="21">
        <f t="shared" si="54"/>
        <v>0</v>
      </c>
      <c r="U54" s="21">
        <f t="shared" si="54"/>
        <v>0</v>
      </c>
      <c r="V54" s="21">
        <f t="shared" si="54"/>
        <v>0</v>
      </c>
      <c r="W54" s="21">
        <f t="shared" si="54"/>
        <v>0</v>
      </c>
    </row>
    <row r="55" spans="3:23">
      <c r="C55" s="21">
        <f t="shared" ref="C55:W55" si="55">C28</f>
        <v>0</v>
      </c>
      <c r="D55" s="21">
        <f t="shared" si="55"/>
        <v>0</v>
      </c>
      <c r="E55" s="21">
        <f t="shared" si="55"/>
        <v>0</v>
      </c>
      <c r="F55" s="21">
        <f t="shared" si="55"/>
        <v>0</v>
      </c>
      <c r="G55" s="21">
        <f t="shared" si="55"/>
        <v>0</v>
      </c>
      <c r="H55" s="21">
        <f t="shared" si="55"/>
        <v>0</v>
      </c>
      <c r="I55" s="21">
        <f t="shared" si="55"/>
        <v>0</v>
      </c>
      <c r="J55" s="21">
        <f t="shared" si="55"/>
        <v>0</v>
      </c>
      <c r="K55" s="21">
        <f t="shared" si="55"/>
        <v>0</v>
      </c>
      <c r="L55" s="21">
        <f t="shared" si="55"/>
        <v>0</v>
      </c>
      <c r="M55" s="21">
        <f t="shared" si="55"/>
        <v>0</v>
      </c>
      <c r="N55" s="21">
        <f t="shared" si="55"/>
        <v>0</v>
      </c>
      <c r="O55" s="21">
        <f t="shared" si="55"/>
        <v>0</v>
      </c>
      <c r="P55" s="21">
        <f t="shared" si="55"/>
        <v>0</v>
      </c>
      <c r="Q55" s="21">
        <f t="shared" si="55"/>
        <v>0</v>
      </c>
      <c r="R55" s="21">
        <f t="shared" si="55"/>
        <v>0</v>
      </c>
      <c r="S55" s="21">
        <f t="shared" si="55"/>
        <v>0</v>
      </c>
      <c r="T55" s="21">
        <f t="shared" si="55"/>
        <v>0</v>
      </c>
      <c r="U55" s="21">
        <f t="shared" si="55"/>
        <v>0</v>
      </c>
      <c r="V55" s="21">
        <f t="shared" si="55"/>
        <v>0</v>
      </c>
      <c r="W55" s="21">
        <f t="shared" si="55"/>
        <v>0</v>
      </c>
    </row>
    <row r="56" spans="3:23">
      <c r="C56" s="21">
        <f t="shared" ref="C56:W56" si="56">C29</f>
        <v>0</v>
      </c>
      <c r="D56" s="21">
        <f t="shared" si="56"/>
        <v>0</v>
      </c>
      <c r="E56" s="21">
        <f t="shared" si="56"/>
        <v>0</v>
      </c>
      <c r="F56" s="21">
        <f t="shared" si="56"/>
        <v>0</v>
      </c>
      <c r="G56" s="21">
        <f t="shared" si="56"/>
        <v>0</v>
      </c>
      <c r="H56" s="21">
        <f t="shared" si="56"/>
        <v>0</v>
      </c>
      <c r="I56" s="21">
        <f t="shared" si="56"/>
        <v>0</v>
      </c>
      <c r="J56" s="21">
        <f t="shared" si="56"/>
        <v>0</v>
      </c>
      <c r="K56" s="21">
        <f t="shared" si="56"/>
        <v>0</v>
      </c>
      <c r="L56" s="21">
        <f t="shared" si="56"/>
        <v>0</v>
      </c>
      <c r="M56" s="21">
        <f t="shared" si="56"/>
        <v>0</v>
      </c>
      <c r="N56" s="21">
        <f t="shared" si="56"/>
        <v>0</v>
      </c>
      <c r="O56" s="21">
        <f t="shared" si="56"/>
        <v>0</v>
      </c>
      <c r="P56" s="21">
        <f t="shared" si="56"/>
        <v>0</v>
      </c>
      <c r="Q56" s="21">
        <f t="shared" si="56"/>
        <v>0</v>
      </c>
      <c r="R56" s="21">
        <f t="shared" si="56"/>
        <v>0</v>
      </c>
      <c r="S56" s="21">
        <f t="shared" si="56"/>
        <v>0</v>
      </c>
      <c r="T56" s="21">
        <f t="shared" si="56"/>
        <v>0</v>
      </c>
      <c r="U56" s="21">
        <f t="shared" si="56"/>
        <v>0</v>
      </c>
      <c r="V56" s="21">
        <f t="shared" si="56"/>
        <v>0</v>
      </c>
      <c r="W56" s="21">
        <f t="shared" si="56"/>
        <v>0</v>
      </c>
    </row>
  </sheetData>
  <mergeCells count="9">
    <mergeCell ref="A20:B20"/>
    <mergeCell ref="A21:A24"/>
    <mergeCell ref="A25:B25"/>
    <mergeCell ref="A3:B3"/>
    <mergeCell ref="A4:A11"/>
    <mergeCell ref="A13:B13"/>
    <mergeCell ref="A14:B14"/>
    <mergeCell ref="A15:B15"/>
    <mergeCell ref="A16:A18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>
    <tabColor theme="5"/>
  </sheetPr>
  <dimension ref="A2:L36"/>
  <sheetViews>
    <sheetView zoomScale="85" zoomScaleNormal="85" workbookViewId="0">
      <selection activeCell="E18" sqref="E18"/>
    </sheetView>
  </sheetViews>
  <sheetFormatPr defaultRowHeight="16.899999999999999"/>
  <cols>
    <col min="1" max="1" width="12.625" customWidth="1"/>
    <col min="2" max="2" width="33.875" bestFit="1" customWidth="1"/>
    <col min="3" max="3" width="24.5" customWidth="1"/>
    <col min="4" max="4" width="15.875" customWidth="1"/>
    <col min="5" max="5" width="19.25" customWidth="1"/>
    <col min="6" max="6" width="18.75" customWidth="1"/>
    <col min="7" max="7" width="15" customWidth="1"/>
    <col min="8" max="8" width="17.625" customWidth="1"/>
    <col min="9" max="9" width="16.875" customWidth="1"/>
    <col min="10" max="10" width="15.5" customWidth="1"/>
    <col min="11" max="12" width="14.125" customWidth="1"/>
    <col min="13" max="13" width="10.125" customWidth="1"/>
  </cols>
  <sheetData>
    <row r="2" spans="1:12">
      <c r="H2" t="s">
        <v>149</v>
      </c>
    </row>
    <row r="3" spans="1:12">
      <c r="K3" s="65" t="s">
        <v>246</v>
      </c>
      <c r="L3" s="65"/>
    </row>
    <row r="4" spans="1:12">
      <c r="A4" s="254" t="s">
        <v>0</v>
      </c>
      <c r="B4" s="254"/>
      <c r="C4" s="32">
        <v>26</v>
      </c>
      <c r="D4" s="32">
        <v>27</v>
      </c>
      <c r="E4" s="32">
        <v>28</v>
      </c>
      <c r="F4" s="32">
        <v>29</v>
      </c>
      <c r="G4" s="32">
        <v>30</v>
      </c>
      <c r="H4" s="32">
        <v>31</v>
      </c>
      <c r="I4" s="32">
        <v>32</v>
      </c>
      <c r="J4" s="38">
        <v>33</v>
      </c>
      <c r="K4" s="114">
        <v>34</v>
      </c>
      <c r="L4" s="201">
        <v>35</v>
      </c>
    </row>
    <row r="5" spans="1:12">
      <c r="A5" s="254" t="s">
        <v>68</v>
      </c>
      <c r="B5" s="254"/>
      <c r="C5" s="32" t="s">
        <v>48</v>
      </c>
      <c r="D5" s="32" t="s">
        <v>46</v>
      </c>
      <c r="E5" s="32" t="s">
        <v>355</v>
      </c>
      <c r="F5" s="32" t="s">
        <v>356</v>
      </c>
      <c r="G5" s="32" t="s">
        <v>46</v>
      </c>
      <c r="H5" s="32" t="s">
        <v>357</v>
      </c>
      <c r="I5" s="32" t="s">
        <v>358</v>
      </c>
      <c r="J5" s="38" t="s">
        <v>144</v>
      </c>
      <c r="K5" s="114" t="s">
        <v>359</v>
      </c>
      <c r="L5" s="201" t="s">
        <v>360</v>
      </c>
    </row>
    <row r="6" spans="1:12">
      <c r="A6" s="266" t="s">
        <v>93</v>
      </c>
      <c r="B6" s="37" t="s">
        <v>94</v>
      </c>
      <c r="C6" s="200">
        <f>'26년 총원가 배분'!E48</f>
        <v>951</v>
      </c>
      <c r="D6" s="200">
        <f>$C6*1.015^(D$4-$C$4)</f>
        <v>965.26499999999987</v>
      </c>
      <c r="E6" s="200">
        <f t="shared" ref="E6:L6" si="0">$C6*1.015^(E$4-$C$4)</f>
        <v>979.74397499999975</v>
      </c>
      <c r="F6" s="200">
        <f t="shared" si="0"/>
        <v>994.44013462499959</v>
      </c>
      <c r="G6" s="200">
        <f t="shared" si="0"/>
        <v>1009.3567366443745</v>
      </c>
      <c r="H6" s="200">
        <f t="shared" si="0"/>
        <v>1024.4970876940399</v>
      </c>
      <c r="I6" s="200">
        <f t="shared" si="0"/>
        <v>1039.8645440094504</v>
      </c>
      <c r="J6" s="200">
        <f t="shared" si="0"/>
        <v>1055.4625121695919</v>
      </c>
      <c r="K6" s="200">
        <f t="shared" si="0"/>
        <v>1071.2944498521358</v>
      </c>
      <c r="L6" s="200">
        <f t="shared" si="0"/>
        <v>1087.3638665999176</v>
      </c>
    </row>
    <row r="7" spans="1:12">
      <c r="A7" s="270"/>
      <c r="B7" s="37" t="s">
        <v>95</v>
      </c>
      <c r="C7" s="200">
        <f>'26년 총원가 배분'!E49</f>
        <v>6867</v>
      </c>
      <c r="D7" s="64">
        <f>3209*1.015^(D4-24)</f>
        <v>3355.5819053749988</v>
      </c>
      <c r="E7" s="219">
        <f>4328*1.015^(E4-23)+E33</f>
        <v>7292.4851688115723</v>
      </c>
      <c r="F7" s="219">
        <f>4328*1.015^(F4-23)+F33</f>
        <v>7362.4224463437449</v>
      </c>
      <c r="G7" s="219">
        <f>3209*1.015^(G4-24)</f>
        <v>3508.8594339919309</v>
      </c>
      <c r="H7" s="117">
        <f>4328*1.015^(H4-20)</f>
        <v>5098.1630010694753</v>
      </c>
      <c r="I7" s="219">
        <f>4328*1.015^(I4-20)</f>
        <v>5174.6354460855164</v>
      </c>
      <c r="J7" s="219">
        <f>3209*1.015^(J4-24)</f>
        <v>3669.1384310401004</v>
      </c>
      <c r="K7" s="219">
        <f>4328*1.015^(K4-25)</f>
        <v>4948.5918135062493</v>
      </c>
      <c r="L7" s="219">
        <f>4328*1.015^(L4-25)</f>
        <v>5022.8206907088434</v>
      </c>
    </row>
    <row r="8" spans="1:12">
      <c r="A8" s="270"/>
      <c r="B8" s="37" t="s">
        <v>96</v>
      </c>
      <c r="C8" s="200">
        <f>'26년 총원가 배분'!E50</f>
        <v>7974</v>
      </c>
      <c r="D8" s="219">
        <f>$C8*1.015^(D$4-25)</f>
        <v>8215.0141499999972</v>
      </c>
      <c r="E8" s="225">
        <f>$C8*1.015^(E$4-25)</f>
        <v>8338.2393622499967</v>
      </c>
      <c r="F8" s="225">
        <f t="shared" ref="F8:L8" si="1">$C8*1.015^(F$4-25)</f>
        <v>8463.3129526837456</v>
      </c>
      <c r="G8" s="225">
        <f t="shared" si="1"/>
        <v>8590.2626469740007</v>
      </c>
      <c r="H8" s="225">
        <f t="shared" si="1"/>
        <v>8719.1165866786087</v>
      </c>
      <c r="I8" s="225">
        <f t="shared" si="1"/>
        <v>8849.9033354787862</v>
      </c>
      <c r="J8" s="225">
        <f t="shared" si="1"/>
        <v>8982.651885510968</v>
      </c>
      <c r="K8" s="225">
        <f t="shared" si="1"/>
        <v>9117.3916637936309</v>
      </c>
      <c r="L8" s="225">
        <f t="shared" si="1"/>
        <v>9254.1525387505353</v>
      </c>
    </row>
    <row r="9" spans="1:12">
      <c r="A9" s="270"/>
      <c r="B9" s="37" t="s">
        <v>97</v>
      </c>
      <c r="C9" s="200">
        <f>'26년 총원가 배분'!E51</f>
        <v>5248</v>
      </c>
      <c r="D9" s="143">
        <f t="shared" ref="D9:J9" si="2">D34+D35+D36</f>
        <v>5254.0747651618731</v>
      </c>
      <c r="E9" s="143">
        <f t="shared" si="2"/>
        <v>5330.6808866393012</v>
      </c>
      <c r="F9" s="143">
        <f t="shared" si="2"/>
        <v>5408.9410999388901</v>
      </c>
      <c r="G9" s="143">
        <f t="shared" si="2"/>
        <v>5487.8652164379728</v>
      </c>
      <c r="H9" s="143">
        <f t="shared" si="2"/>
        <v>3281.4631946845425</v>
      </c>
      <c r="I9" s="143">
        <f t="shared" si="2"/>
        <v>3330.7451426048101</v>
      </c>
      <c r="J9" s="143">
        <f t="shared" si="2"/>
        <v>3380.7213197438818</v>
      </c>
      <c r="K9" s="143">
        <f>K34+K35+K36</f>
        <v>3431.4021395400396</v>
      </c>
      <c r="L9" s="200">
        <f>L34+L35+L36</f>
        <v>3431.4021395400396</v>
      </c>
    </row>
    <row r="10" spans="1:12">
      <c r="A10" s="270"/>
      <c r="B10" s="37" t="s">
        <v>281</v>
      </c>
      <c r="C10" s="200">
        <f>'26년 총원가 배분'!E52</f>
        <v>3214</v>
      </c>
      <c r="D10" s="64">
        <f>1285*1.015^(27-24)+1000</f>
        <v>2343.6967118749994</v>
      </c>
      <c r="E10" s="223">
        <f>1415*1.015^(28-23)+1000</f>
        <v>2524.3568654963897</v>
      </c>
      <c r="F10" s="223">
        <f>1415*1.015^(29-23)+1000</f>
        <v>2547.2222184788352</v>
      </c>
      <c r="G10" s="223">
        <f>1285*1.015^(30-24)+1000</f>
        <v>2405.0745941662917</v>
      </c>
      <c r="H10" s="223">
        <f>1285*1.015^(31-24)+1100</f>
        <v>2526.1507130787859</v>
      </c>
      <c r="I10" s="223">
        <f>1285*1.015^(32-24)+1100</f>
        <v>2547.5429737749678</v>
      </c>
      <c r="J10" s="223">
        <f>1285*1.015^(33-24)+1100</f>
        <v>2569.2561183815924</v>
      </c>
      <c r="K10" s="223">
        <f>1415*1.015^(34-23)+1100</f>
        <v>2766.7977464217438</v>
      </c>
      <c r="L10" s="223">
        <f>1415*1.015^(35-23)+1100</f>
        <v>2791.7997126180699</v>
      </c>
    </row>
    <row r="11" spans="1:12">
      <c r="A11" s="270"/>
      <c r="B11" s="201" t="s">
        <v>351</v>
      </c>
      <c r="C11" s="200">
        <f>'26년 총원가 배분'!E53</f>
        <v>280</v>
      </c>
      <c r="D11" s="200">
        <f>743*1.015^(D$4-$C$4)</f>
        <v>754.14499999999998</v>
      </c>
      <c r="E11" s="200">
        <f>$D11*1.015^(E$4-$C$4)</f>
        <v>776.93903262499975</v>
      </c>
      <c r="F11" s="223">
        <f t="shared" ref="F11:L12" si="3">$D11*1.015^(F$4-$C$4)</f>
        <v>788.59311811437465</v>
      </c>
      <c r="G11" s="223">
        <f t="shared" si="3"/>
        <v>800.42201488609021</v>
      </c>
      <c r="H11" s="223">
        <f t="shared" si="3"/>
        <v>812.42834510938144</v>
      </c>
      <c r="I11" s="223">
        <f t="shared" si="3"/>
        <v>824.61477028602201</v>
      </c>
      <c r="J11" s="223">
        <f t="shared" si="3"/>
        <v>836.98399184031223</v>
      </c>
      <c r="K11" s="223">
        <f t="shared" si="3"/>
        <v>849.53875171791685</v>
      </c>
      <c r="L11" s="223">
        <f t="shared" si="3"/>
        <v>862.2818329936855</v>
      </c>
    </row>
    <row r="12" spans="1:12">
      <c r="A12" s="267"/>
      <c r="B12" s="201" t="s">
        <v>352</v>
      </c>
      <c r="C12" s="200">
        <f>'26년 총원가 배분'!E54</f>
        <v>37</v>
      </c>
      <c r="D12" s="200">
        <f>83*1.015^(D$4-$C$4)</f>
        <v>84.24499999999999</v>
      </c>
      <c r="E12" s="200">
        <f>$D12*1.015^(E$4-$C$4)</f>
        <v>86.791305124999965</v>
      </c>
      <c r="F12" s="223">
        <f t="shared" si="3"/>
        <v>88.093174701874958</v>
      </c>
      <c r="G12" s="223">
        <f t="shared" si="3"/>
        <v>89.41457232240306</v>
      </c>
      <c r="H12" s="223">
        <f t="shared" si="3"/>
        <v>90.755790907239103</v>
      </c>
      <c r="I12" s="223">
        <f t="shared" si="3"/>
        <v>92.117127770847674</v>
      </c>
      <c r="J12" s="223">
        <f t="shared" si="3"/>
        <v>93.498884687410367</v>
      </c>
      <c r="K12" s="223">
        <f t="shared" si="3"/>
        <v>94.901367957721519</v>
      </c>
      <c r="L12" s="223">
        <f t="shared" si="3"/>
        <v>96.324888477087327</v>
      </c>
    </row>
    <row r="13" spans="1:12">
      <c r="A13" s="37" t="s">
        <v>98</v>
      </c>
      <c r="B13" s="37" t="s">
        <v>99</v>
      </c>
      <c r="C13" s="200">
        <f>'26년 총원가 배분'!E55</f>
        <v>619</v>
      </c>
      <c r="D13" s="106">
        <f t="shared" ref="D13:L13" si="4">420*1.015^(D4-23)</f>
        <v>445.77269126249973</v>
      </c>
      <c r="E13" s="106">
        <f t="shared" si="4"/>
        <v>452.45928163143719</v>
      </c>
      <c r="F13" s="106">
        <f t="shared" si="4"/>
        <v>459.24617085590864</v>
      </c>
      <c r="G13" s="106">
        <f t="shared" si="4"/>
        <v>466.13486341874722</v>
      </c>
      <c r="H13" s="106">
        <f t="shared" si="4"/>
        <v>473.12688637002839</v>
      </c>
      <c r="I13" s="106">
        <f t="shared" si="4"/>
        <v>480.22378966557875</v>
      </c>
      <c r="J13" s="106">
        <f t="shared" si="4"/>
        <v>487.42714651056241</v>
      </c>
      <c r="K13" s="115">
        <f t="shared" si="4"/>
        <v>494.73855370822076</v>
      </c>
      <c r="L13" s="200">
        <f t="shared" si="4"/>
        <v>502.15963201384398</v>
      </c>
    </row>
    <row r="14" spans="1:12">
      <c r="A14" s="268" t="s">
        <v>100</v>
      </c>
      <c r="B14" s="269"/>
      <c r="C14" s="35">
        <f t="shared" ref="C14:L14" si="5">SUM(C6:C13)</f>
        <v>25190</v>
      </c>
      <c r="D14" s="35">
        <f t="shared" si="5"/>
        <v>21417.795223674369</v>
      </c>
      <c r="E14" s="35">
        <f t="shared" si="5"/>
        <v>25781.695877578692</v>
      </c>
      <c r="F14" s="35">
        <f t="shared" si="5"/>
        <v>26112.271315742375</v>
      </c>
      <c r="G14" s="35">
        <f t="shared" si="5"/>
        <v>22357.39007884181</v>
      </c>
      <c r="H14" s="35">
        <f t="shared" si="5"/>
        <v>22025.701605592101</v>
      </c>
      <c r="I14" s="35">
        <f t="shared" si="5"/>
        <v>22339.647129675981</v>
      </c>
      <c r="J14" s="35">
        <f t="shared" si="5"/>
        <v>21075.140289884421</v>
      </c>
      <c r="K14" s="35">
        <f t="shared" si="5"/>
        <v>22774.656486497654</v>
      </c>
      <c r="L14" s="35">
        <f t="shared" si="5"/>
        <v>23048.305301702025</v>
      </c>
    </row>
    <row r="15" spans="1:12">
      <c r="A15" s="254" t="s">
        <v>65</v>
      </c>
      <c r="B15" s="254"/>
      <c r="C15" s="200">
        <f>'26년 총원가 배분'!E58</f>
        <v>19</v>
      </c>
      <c r="D15" s="10">
        <v>19</v>
      </c>
      <c r="E15" s="10">
        <v>0</v>
      </c>
      <c r="F15" s="10">
        <v>19</v>
      </c>
      <c r="G15" s="10">
        <v>0</v>
      </c>
      <c r="H15" s="10">
        <v>19</v>
      </c>
      <c r="I15" s="10"/>
      <c r="J15" s="6">
        <v>19</v>
      </c>
      <c r="K15" s="6"/>
      <c r="L15" s="6">
        <v>19</v>
      </c>
    </row>
    <row r="16" spans="1:12">
      <c r="A16" s="254" t="s">
        <v>66</v>
      </c>
      <c r="B16" s="254"/>
      <c r="C16" s="200">
        <f>'26년 총원가 배분'!E59</f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/>
      <c r="J16" s="6"/>
      <c r="K16" s="6"/>
      <c r="L16" s="6"/>
    </row>
    <row r="17" spans="1:12">
      <c r="A17" s="266" t="s">
        <v>34</v>
      </c>
      <c r="B17" s="123" t="s">
        <v>81</v>
      </c>
      <c r="C17" s="200">
        <f>'26년 총원가 배분'!E60</f>
        <v>12336</v>
      </c>
      <c r="D17" s="11">
        <f>'고온부품(26)'!G5/1000</f>
        <v>0</v>
      </c>
      <c r="E17" s="11">
        <f>'고온부품(26)'!H5/1000</f>
        <v>3711.2510000000002</v>
      </c>
      <c r="F17" s="11">
        <f>'고온부품(26)'!I5/1000</f>
        <v>20754.969000000001</v>
      </c>
      <c r="G17" s="11">
        <f>'고온부품(26)'!J5/1000</f>
        <v>3912</v>
      </c>
      <c r="H17" s="11">
        <f>'고온부품(26)'!K5/1000</f>
        <v>14191</v>
      </c>
      <c r="I17" s="11">
        <f>'고온부품(26)'!L5/1000</f>
        <v>2544.4868858492514</v>
      </c>
      <c r="J17" s="11">
        <f>'고온부품(26)'!M5/1000</f>
        <v>2580.3641509397262</v>
      </c>
      <c r="K17" s="11">
        <f>'고온부품(26)'!N5/1000</f>
        <v>0</v>
      </c>
      <c r="L17" s="11">
        <f>'고온부품(26)'!O5/1000</f>
        <v>2653.6434221930745</v>
      </c>
    </row>
    <row r="18" spans="1:12">
      <c r="A18" s="267"/>
      <c r="B18" s="32" t="s">
        <v>64</v>
      </c>
      <c r="C18" s="200">
        <f>'26년 총원가 배분'!E61</f>
        <v>5696</v>
      </c>
      <c r="D18" s="55">
        <f>300*1.015^(D4-21)</f>
        <v>328.03297918279191</v>
      </c>
      <c r="E18" s="55">
        <f>649+14500</f>
        <v>15149</v>
      </c>
      <c r="F18" s="55">
        <v>649</v>
      </c>
      <c r="G18" s="55">
        <f>300*1.015^(G4-21)</f>
        <v>343.01699261827054</v>
      </c>
      <c r="H18" s="55">
        <f>433*1.015^(H4-$C$4)</f>
        <v>466.46397368193408</v>
      </c>
      <c r="I18" s="55">
        <f>433*1.015^(I4-$C$4)</f>
        <v>473.46093328716296</v>
      </c>
      <c r="J18" s="55">
        <f>300*1.015^(J4-21)</f>
        <v>358.68545143846001</v>
      </c>
      <c r="K18" s="55">
        <f>433*1.015^(K4-$C$4)</f>
        <v>487.77128999576735</v>
      </c>
      <c r="L18" s="55">
        <f>433*1.015^(L4-$C$4)</f>
        <v>495.08785934570381</v>
      </c>
    </row>
    <row r="19" spans="1:12">
      <c r="A19" s="37" t="s">
        <v>102</v>
      </c>
      <c r="B19" s="32" t="s">
        <v>103</v>
      </c>
      <c r="C19" s="200">
        <f>'26년 총원가 배분'!E62</f>
        <v>0</v>
      </c>
      <c r="D19" s="10"/>
      <c r="E19" s="10">
        <v>5000</v>
      </c>
      <c r="F19" s="19">
        <f>E19*1.015^(F4-E4)</f>
        <v>5074.9999999999991</v>
      </c>
      <c r="G19" s="19"/>
      <c r="H19" s="10"/>
      <c r="I19" s="10"/>
      <c r="J19" s="6"/>
      <c r="K19" s="19">
        <f>$E$19*1.015^(K4-$E$4)</f>
        <v>5467.2163197131986</v>
      </c>
      <c r="L19" s="19">
        <f>$E$19*1.015^(L4-$E$4)</f>
        <v>5549.2245645088951</v>
      </c>
    </row>
    <row r="20" spans="1:12">
      <c r="A20" s="254" t="s">
        <v>63</v>
      </c>
      <c r="B20" s="254"/>
      <c r="C20" s="200">
        <f>'26년 총원가 배분'!E63</f>
        <v>158</v>
      </c>
      <c r="D20" s="10">
        <f>51*1.015^(D4-20)</f>
        <v>56.602090557990735</v>
      </c>
      <c r="E20" s="10">
        <f>51*1.015^(E4-20)</f>
        <v>57.451121916360592</v>
      </c>
      <c r="F20" s="10">
        <f>272*1.015^(F4-23)</f>
        <v>297.41656779239798</v>
      </c>
      <c r="G20" s="10">
        <v>12.391418452548363</v>
      </c>
      <c r="H20" s="10">
        <f>51*1.015^(H4-20)</f>
        <v>60.075395807426808</v>
      </c>
      <c r="I20" s="10">
        <f>51*1.015^(I4-20)</f>
        <v>60.976526744538198</v>
      </c>
      <c r="J20" s="6">
        <v>13</v>
      </c>
      <c r="K20" s="10">
        <f>51*1.015^(K4-20)</f>
        <v>62.819542265391846</v>
      </c>
      <c r="L20" s="10">
        <f>51*1.015^(L4-20)</f>
        <v>63.761835399372714</v>
      </c>
    </row>
    <row r="21" spans="1:12">
      <c r="A21" s="254" t="s">
        <v>61</v>
      </c>
      <c r="B21" s="123" t="s">
        <v>38</v>
      </c>
      <c r="C21" s="200">
        <f>'26년 총원가 배분'!E64</f>
        <v>0</v>
      </c>
      <c r="D21" s="11">
        <f>'고온부품(26)'!G6/1000</f>
        <v>0</v>
      </c>
      <c r="E21" s="11">
        <f>'고온부품(26)'!H6/1000</f>
        <v>0</v>
      </c>
      <c r="F21" s="11">
        <f>'고온부품(26)'!I6/1000</f>
        <v>0</v>
      </c>
      <c r="G21" s="11">
        <f>'고온부품(26)'!J6/1000</f>
        <v>0</v>
      </c>
      <c r="H21" s="11">
        <f>'고온부품(26)'!K6/1000</f>
        <v>128653.17179912311</v>
      </c>
      <c r="I21" s="11">
        <f>'고온부품(26)'!L6/1000</f>
        <v>0</v>
      </c>
      <c r="J21" s="11">
        <f>'고온부품(26)'!M6/1000</f>
        <v>0</v>
      </c>
      <c r="K21" s="11">
        <f>'고온부품(26)'!N6/1000</f>
        <v>0</v>
      </c>
      <c r="L21" s="11">
        <f>'고온부품(26)'!O6/1000</f>
        <v>0</v>
      </c>
    </row>
    <row r="22" spans="1:12">
      <c r="A22" s="254"/>
      <c r="B22" s="32" t="s">
        <v>39</v>
      </c>
      <c r="C22" s="200">
        <f>'26년 총원가 배분'!E65</f>
        <v>2498</v>
      </c>
      <c r="D22" s="10">
        <v>363</v>
      </c>
      <c r="E22" s="10">
        <f>1735/2</f>
        <v>867.5</v>
      </c>
      <c r="F22" s="10">
        <f>1735/2</f>
        <v>867.5</v>
      </c>
      <c r="G22" s="10">
        <v>363</v>
      </c>
      <c r="H22" s="10">
        <v>624</v>
      </c>
      <c r="I22" s="10">
        <v>624</v>
      </c>
      <c r="J22" s="10">
        <v>363</v>
      </c>
      <c r="K22" s="10">
        <f>1735/2</f>
        <v>867.5</v>
      </c>
      <c r="L22" s="10">
        <f>1735/2</f>
        <v>867.5</v>
      </c>
    </row>
    <row r="23" spans="1:12">
      <c r="A23" s="33" t="s">
        <v>67</v>
      </c>
      <c r="B23" s="33" t="s">
        <v>37</v>
      </c>
      <c r="C23" s="200">
        <f>'26년 총원가 배분'!E66</f>
        <v>1</v>
      </c>
      <c r="D23" s="10">
        <v>2</v>
      </c>
      <c r="E23" s="10">
        <v>2</v>
      </c>
      <c r="F23" s="10">
        <v>2</v>
      </c>
      <c r="G23" s="10">
        <v>2</v>
      </c>
      <c r="H23" s="10">
        <v>2</v>
      </c>
      <c r="I23" s="10">
        <v>2</v>
      </c>
      <c r="J23" s="41">
        <v>2</v>
      </c>
      <c r="K23" s="41">
        <v>2</v>
      </c>
      <c r="L23" s="41">
        <v>2</v>
      </c>
    </row>
    <row r="24" spans="1:12">
      <c r="A24" s="257" t="s">
        <v>78</v>
      </c>
      <c r="B24" s="257"/>
      <c r="C24" s="14">
        <f t="shared" ref="C24:L24" si="6">SUM(C15:C23)</f>
        <v>20708</v>
      </c>
      <c r="D24" s="14">
        <f t="shared" si="6"/>
        <v>768.63506974078268</v>
      </c>
      <c r="E24" s="14">
        <f t="shared" si="6"/>
        <v>24787.202121916362</v>
      </c>
      <c r="F24" s="14">
        <f t="shared" si="6"/>
        <v>27664.8855677924</v>
      </c>
      <c r="G24" s="14">
        <f t="shared" si="6"/>
        <v>4632.4084110708191</v>
      </c>
      <c r="H24" s="14">
        <f t="shared" si="6"/>
        <v>144015.71116861247</v>
      </c>
      <c r="I24" s="14">
        <f t="shared" si="6"/>
        <v>3704.9243458809524</v>
      </c>
      <c r="J24" s="14">
        <f t="shared" si="6"/>
        <v>3336.0496023781861</v>
      </c>
      <c r="K24" s="14">
        <f t="shared" si="6"/>
        <v>6887.3071519743571</v>
      </c>
      <c r="L24" s="14">
        <f t="shared" si="6"/>
        <v>9650.2176814470458</v>
      </c>
    </row>
    <row r="25" spans="1:12">
      <c r="A25" s="222" t="s">
        <v>282</v>
      </c>
      <c r="B25" s="222" t="s">
        <v>354</v>
      </c>
      <c r="C25" s="223">
        <f>'26년 총원가 배분'!E67</f>
        <v>3370</v>
      </c>
      <c r="D25" s="223">
        <f>투자비!C65*1.015</f>
        <v>1173.0354999999997</v>
      </c>
      <c r="E25" s="236">
        <f t="shared" ref="E25:L25" si="7">D$25*1.015^(E$4-D$4)</f>
        <v>1190.6310324999997</v>
      </c>
      <c r="F25" s="236">
        <f t="shared" si="7"/>
        <v>1208.4904979874996</v>
      </c>
      <c r="G25" s="236">
        <f t="shared" si="7"/>
        <v>1226.6178554573119</v>
      </c>
      <c r="H25" s="236">
        <f t="shared" si="7"/>
        <v>1245.0171232891714</v>
      </c>
      <c r="I25" s="236">
        <f t="shared" si="7"/>
        <v>1263.692380138509</v>
      </c>
      <c r="J25" s="236">
        <f t="shared" si="7"/>
        <v>1282.6477658405865</v>
      </c>
      <c r="K25" s="236">
        <f t="shared" si="7"/>
        <v>1301.8874823281951</v>
      </c>
      <c r="L25" s="236">
        <f t="shared" si="7"/>
        <v>1321.415794563118</v>
      </c>
    </row>
    <row r="28" spans="1:12">
      <c r="C28" t="s">
        <v>133</v>
      </c>
    </row>
    <row r="29" spans="1:12">
      <c r="C29" t="s">
        <v>134</v>
      </c>
    </row>
    <row r="32" spans="1:12">
      <c r="B32" s="6" t="s">
        <v>270</v>
      </c>
      <c r="C32" s="6"/>
      <c r="D32" s="6">
        <v>27</v>
      </c>
      <c r="E32" s="6">
        <v>28</v>
      </c>
      <c r="F32" s="6">
        <v>29</v>
      </c>
      <c r="G32" s="6">
        <v>30</v>
      </c>
      <c r="H32" s="6">
        <v>31</v>
      </c>
      <c r="I32" s="6">
        <v>32</v>
      </c>
      <c r="J32" s="6">
        <v>33</v>
      </c>
      <c r="K32" s="6">
        <v>34</v>
      </c>
      <c r="L32" s="6">
        <v>34</v>
      </c>
    </row>
    <row r="33" spans="2:12">
      <c r="B33" s="6" t="s">
        <v>268</v>
      </c>
      <c r="C33" s="10"/>
      <c r="D33" s="10"/>
      <c r="E33" s="10">
        <v>2630</v>
      </c>
      <c r="F33" s="10">
        <v>2630</v>
      </c>
      <c r="G33" s="10"/>
      <c r="H33" s="10"/>
      <c r="I33" s="10"/>
      <c r="J33" s="10"/>
      <c r="K33" s="10"/>
      <c r="L33" s="10"/>
    </row>
    <row r="34" spans="2:12">
      <c r="B34" s="6" t="s">
        <v>269</v>
      </c>
      <c r="C34" s="10"/>
      <c r="D34" s="10">
        <v>2162</v>
      </c>
      <c r="E34" s="10">
        <v>2193</v>
      </c>
      <c r="F34" s="10">
        <v>2224</v>
      </c>
      <c r="G34" s="10">
        <v>2255</v>
      </c>
      <c r="H34" s="10"/>
      <c r="I34" s="10"/>
      <c r="J34" s="10"/>
      <c r="K34" s="10"/>
      <c r="L34" s="10"/>
    </row>
    <row r="35" spans="2:12">
      <c r="B35" s="6" t="s">
        <v>267</v>
      </c>
      <c r="C35" s="10"/>
      <c r="D35" s="10">
        <f>2739*1.015^(D32-23)</f>
        <v>2907.0747651618735</v>
      </c>
      <c r="E35" s="10">
        <f t="shared" ref="E35:K35" si="8">2739*1.015^(E32-23)</f>
        <v>2950.6808866393012</v>
      </c>
      <c r="F35" s="10">
        <f t="shared" si="8"/>
        <v>2994.9410999388901</v>
      </c>
      <c r="G35" s="10">
        <f t="shared" si="8"/>
        <v>3039.8652164379728</v>
      </c>
      <c r="H35" s="10">
        <f t="shared" si="8"/>
        <v>3085.4631946845425</v>
      </c>
      <c r="I35" s="10">
        <f t="shared" si="8"/>
        <v>3131.7451426048101</v>
      </c>
      <c r="J35" s="10">
        <f t="shared" si="8"/>
        <v>3178.7213197438818</v>
      </c>
      <c r="K35" s="10">
        <f t="shared" si="8"/>
        <v>3226.4021395400396</v>
      </c>
      <c r="L35" s="10">
        <f t="shared" ref="L35" si="9">2739*1.015^(L32-23)</f>
        <v>3226.4021395400396</v>
      </c>
    </row>
    <row r="36" spans="2:12">
      <c r="B36" s="6" t="s">
        <v>247</v>
      </c>
      <c r="C36" s="10"/>
      <c r="D36" s="10">
        <f>TRUNC(177074*1.015^(D32-24)/1000)</f>
        <v>185</v>
      </c>
      <c r="E36" s="10">
        <f t="shared" ref="E36:L36" si="10">TRUNC(177074*1.015^(E32-24)/1000)</f>
        <v>187</v>
      </c>
      <c r="F36" s="10">
        <f t="shared" si="10"/>
        <v>190</v>
      </c>
      <c r="G36" s="10">
        <f t="shared" si="10"/>
        <v>193</v>
      </c>
      <c r="H36" s="10">
        <f t="shared" si="10"/>
        <v>196</v>
      </c>
      <c r="I36" s="10">
        <f t="shared" si="10"/>
        <v>199</v>
      </c>
      <c r="J36" s="10">
        <f t="shared" si="10"/>
        <v>202</v>
      </c>
      <c r="K36" s="10">
        <f t="shared" si="10"/>
        <v>205</v>
      </c>
      <c r="L36" s="10">
        <f t="shared" si="10"/>
        <v>205</v>
      </c>
    </row>
  </sheetData>
  <mergeCells count="10">
    <mergeCell ref="A17:A18"/>
    <mergeCell ref="A4:B4"/>
    <mergeCell ref="A20:B20"/>
    <mergeCell ref="A21:A22"/>
    <mergeCell ref="A24:B24"/>
    <mergeCell ref="A14:B14"/>
    <mergeCell ref="A5:B5"/>
    <mergeCell ref="A15:B15"/>
    <mergeCell ref="A16:B16"/>
    <mergeCell ref="A6:A1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>
    <tabColor theme="5"/>
  </sheetPr>
  <dimension ref="A3:N28"/>
  <sheetViews>
    <sheetView workbookViewId="0">
      <selection activeCell="G27" sqref="G27"/>
    </sheetView>
  </sheetViews>
  <sheetFormatPr defaultRowHeight="16.899999999999999"/>
  <cols>
    <col min="1" max="1" width="12.625" customWidth="1"/>
    <col min="2" max="2" width="26.875" bestFit="1" customWidth="1"/>
    <col min="3" max="3" width="11.75" customWidth="1"/>
    <col min="4" max="4" width="12.5" customWidth="1"/>
    <col min="5" max="5" width="13.75" customWidth="1"/>
    <col min="6" max="6" width="13.25" customWidth="1"/>
    <col min="7" max="7" width="13.125" customWidth="1"/>
    <col min="8" max="8" width="16.875" customWidth="1"/>
    <col min="9" max="9" width="16.5" customWidth="1"/>
    <col min="10" max="10" width="13.75" customWidth="1"/>
    <col min="11" max="12" width="16.875" customWidth="1"/>
  </cols>
  <sheetData>
    <row r="3" spans="1:12">
      <c r="L3" s="9" t="s">
        <v>77</v>
      </c>
    </row>
    <row r="4" spans="1:12">
      <c r="A4" s="254" t="s">
        <v>69</v>
      </c>
      <c r="B4" s="254"/>
      <c r="C4" s="116">
        <v>26</v>
      </c>
      <c r="D4" s="116">
        <v>27</v>
      </c>
      <c r="E4" s="116">
        <v>28</v>
      </c>
      <c r="F4" s="116">
        <v>29</v>
      </c>
      <c r="G4" s="116">
        <v>30</v>
      </c>
      <c r="H4" s="116">
        <v>31</v>
      </c>
      <c r="I4" s="116">
        <v>32</v>
      </c>
      <c r="J4" s="120">
        <v>33</v>
      </c>
      <c r="K4" s="120">
        <v>34</v>
      </c>
      <c r="L4" s="201">
        <v>35</v>
      </c>
    </row>
    <row r="5" spans="1:12">
      <c r="A5" s="254" t="s">
        <v>68</v>
      </c>
      <c r="B5" s="254"/>
      <c r="C5" s="116" t="s">
        <v>46</v>
      </c>
      <c r="D5" s="116" t="s">
        <v>48</v>
      </c>
      <c r="E5" s="116" t="s">
        <v>46</v>
      </c>
      <c r="F5" s="116" t="s">
        <v>48</v>
      </c>
      <c r="G5" s="116" t="s">
        <v>46</v>
      </c>
      <c r="H5" s="116" t="s">
        <v>50</v>
      </c>
      <c r="I5" s="116" t="s">
        <v>104</v>
      </c>
      <c r="J5" s="120" t="s">
        <v>145</v>
      </c>
      <c r="K5" s="116" t="s">
        <v>82</v>
      </c>
      <c r="L5" s="199" t="s">
        <v>101</v>
      </c>
    </row>
    <row r="6" spans="1:12">
      <c r="A6" s="266" t="s">
        <v>93</v>
      </c>
      <c r="B6" s="116" t="s">
        <v>94</v>
      </c>
      <c r="C6" s="200">
        <f>'26년 총원가 배분'!F48</f>
        <v>367</v>
      </c>
      <c r="D6" s="143">
        <f>$C6*1.015^(D$4-$C$4)</f>
        <v>372.50499999999994</v>
      </c>
      <c r="E6" s="200">
        <f t="shared" ref="E6:L6" si="0">$C6*1.015^(E$4-$C$4)</f>
        <v>378.0925749999999</v>
      </c>
      <c r="F6" s="200">
        <f t="shared" si="0"/>
        <v>383.76396362499986</v>
      </c>
      <c r="G6" s="200">
        <f t="shared" si="0"/>
        <v>389.52042307937478</v>
      </c>
      <c r="H6" s="200">
        <f t="shared" si="0"/>
        <v>395.36322942556535</v>
      </c>
      <c r="I6" s="200">
        <f t="shared" si="0"/>
        <v>401.29367786694877</v>
      </c>
      <c r="J6" s="200">
        <f t="shared" si="0"/>
        <v>407.31308303495291</v>
      </c>
      <c r="K6" s="200">
        <f t="shared" si="0"/>
        <v>413.42277928047719</v>
      </c>
      <c r="L6" s="200">
        <f t="shared" si="0"/>
        <v>419.62412096968433</v>
      </c>
    </row>
    <row r="7" spans="1:12">
      <c r="A7" s="270"/>
      <c r="B7" s="116" t="s">
        <v>95</v>
      </c>
      <c r="C7" s="200">
        <f>'26년 총원가 배분'!F49</f>
        <v>1061</v>
      </c>
      <c r="D7" s="117">
        <f>3565*1.015^(D4-21)</f>
        <v>3898.1252359555106</v>
      </c>
      <c r="E7" s="117">
        <f>1246*1.015^(E4-22)</f>
        <v>1362.4303068725289</v>
      </c>
      <c r="F7" s="200">
        <f>3565*1.015^(F4-21)</f>
        <v>4015.946071212265</v>
      </c>
      <c r="G7" s="117">
        <f>1246*1.015^(G4-22)</f>
        <v>1403.6097628977509</v>
      </c>
      <c r="H7" s="117">
        <f>3210*1.015^(H4-25)+500</f>
        <v>4009.9528772558733</v>
      </c>
      <c r="I7" s="117">
        <f>1246*1.015^(I4-22)</f>
        <v>1446.0338679813351</v>
      </c>
      <c r="J7" s="200">
        <f>3565*1.015^(J4-21)</f>
        <v>4262.3787812603659</v>
      </c>
      <c r="K7" s="117">
        <f>1246*1.015^(K4-22)</f>
        <v>1489.7402416410705</v>
      </c>
      <c r="L7" s="200">
        <f>3565*1.015^(L4-21)</f>
        <v>4391.2091799239597</v>
      </c>
    </row>
    <row r="8" spans="1:12">
      <c r="A8" s="270"/>
      <c r="B8" s="116" t="s">
        <v>96</v>
      </c>
      <c r="C8" s="200">
        <f>'26년 총원가 배분'!F50</f>
        <v>6160</v>
      </c>
      <c r="D8" s="209">
        <f>$C8*1.015^(D$4-25)</f>
        <v>6346.1859999999979</v>
      </c>
      <c r="E8" s="225">
        <f t="shared" ref="E8:L8" si="1">$C8*1.015^(E$4-25)</f>
        <v>6441.3787899999979</v>
      </c>
      <c r="F8" s="225">
        <f t="shared" si="1"/>
        <v>6537.9994718499966</v>
      </c>
      <c r="G8" s="225">
        <f t="shared" si="1"/>
        <v>6636.0694639277453</v>
      </c>
      <c r="H8" s="225">
        <f t="shared" si="1"/>
        <v>6735.6105058866606</v>
      </c>
      <c r="I8" s="225">
        <f t="shared" si="1"/>
        <v>6836.6446634749591</v>
      </c>
      <c r="J8" s="225">
        <f t="shared" si="1"/>
        <v>6939.1943334270836</v>
      </c>
      <c r="K8" s="225">
        <f t="shared" si="1"/>
        <v>7043.2822484284889</v>
      </c>
      <c r="L8" s="225">
        <f t="shared" si="1"/>
        <v>7148.9314821549151</v>
      </c>
    </row>
    <row r="9" spans="1:12">
      <c r="A9" s="270"/>
      <c r="B9" s="116" t="s">
        <v>97</v>
      </c>
      <c r="C9" s="200">
        <f>'26년 총원가 배분'!F51</f>
        <v>372</v>
      </c>
      <c r="D9" s="200">
        <f>$C9*1.015^(D$4-$C$4)</f>
        <v>377.58</v>
      </c>
      <c r="E9" s="200">
        <f t="shared" ref="E9:L9" si="2">$C9*1.015^(E$4-$C$4)</f>
        <v>383.24369999999988</v>
      </c>
      <c r="F9" s="200">
        <f t="shared" si="2"/>
        <v>388.99235549999986</v>
      </c>
      <c r="G9" s="200">
        <f t="shared" si="2"/>
        <v>394.8272408324998</v>
      </c>
      <c r="H9" s="200">
        <f t="shared" si="2"/>
        <v>400.74964944498726</v>
      </c>
      <c r="I9" s="200">
        <f t="shared" si="2"/>
        <v>406.76089418666197</v>
      </c>
      <c r="J9" s="200">
        <f t="shared" si="2"/>
        <v>412.86230759946181</v>
      </c>
      <c r="K9" s="200">
        <f t="shared" si="2"/>
        <v>419.05524221345371</v>
      </c>
      <c r="L9" s="200">
        <f t="shared" si="2"/>
        <v>425.3410708466555</v>
      </c>
    </row>
    <row r="10" spans="1:12">
      <c r="A10" s="270"/>
      <c r="B10" s="116" t="s">
        <v>281</v>
      </c>
      <c r="C10" s="200">
        <f>'26년 총원가 배분'!F52</f>
        <v>1224</v>
      </c>
      <c r="D10" s="200">
        <f>$C10*1.015^(D$4-26)</f>
        <v>1242.3599999999999</v>
      </c>
      <c r="E10" s="200">
        <f>826*1.015^(E$4-24)</f>
        <v>876.68629281624953</v>
      </c>
      <c r="F10" s="209">
        <f>$C10*1.015^(F$4-26)</f>
        <v>1279.9103309999996</v>
      </c>
      <c r="G10" s="209">
        <f>826*1.015^(G$4-24)</f>
        <v>903.18413601662041</v>
      </c>
      <c r="H10" s="200">
        <f>$C10*1.015^(H$4-26)</f>
        <v>1318.5956207544741</v>
      </c>
      <c r="I10" s="209">
        <f>826*1.015^(I$4-24)</f>
        <v>930.48287652772251</v>
      </c>
      <c r="J10" s="209">
        <f>$C10*1.015^(J$4-26)</f>
        <v>1358.4501733917775</v>
      </c>
      <c r="K10" s="209">
        <f>826*1.015^(K$4-24)</f>
        <v>958.60672147077275</v>
      </c>
      <c r="L10" s="200">
        <f t="shared" ref="L10" si="3">$C10*1.015^(L$4-26)</f>
        <v>1399.5093298825439</v>
      </c>
    </row>
    <row r="11" spans="1:12">
      <c r="A11" s="270"/>
      <c r="B11" s="201" t="s">
        <v>351</v>
      </c>
      <c r="C11" s="200">
        <f>'26년 총원가 배분'!F53</f>
        <v>216</v>
      </c>
      <c r="D11" s="209">
        <f>574*1.015^(D$4-$C$4)</f>
        <v>582.6099999999999</v>
      </c>
      <c r="E11" s="200">
        <f>$D11*1.015^(E$4-$C$4)</f>
        <v>600.21938724999973</v>
      </c>
      <c r="F11" s="223">
        <f t="shared" ref="F11:L12" si="4">$D11*1.015^(F$4-$C$4)</f>
        <v>609.22267805874969</v>
      </c>
      <c r="G11" s="223">
        <f t="shared" si="4"/>
        <v>618.36101822963076</v>
      </c>
      <c r="H11" s="223">
        <f t="shared" si="4"/>
        <v>627.63643350307518</v>
      </c>
      <c r="I11" s="223">
        <f t="shared" si="4"/>
        <v>637.05098000562123</v>
      </c>
      <c r="J11" s="223">
        <f t="shared" si="4"/>
        <v>646.60674470570541</v>
      </c>
      <c r="K11" s="223">
        <f t="shared" si="4"/>
        <v>656.30584587629096</v>
      </c>
      <c r="L11" s="223">
        <f t="shared" si="4"/>
        <v>666.15043356443528</v>
      </c>
    </row>
    <row r="12" spans="1:12">
      <c r="A12" s="267"/>
      <c r="B12" s="201" t="s">
        <v>352</v>
      </c>
      <c r="C12" s="200">
        <f>'26년 총원가 배분'!F54</f>
        <v>29</v>
      </c>
      <c r="D12" s="200">
        <f>64*1.015^(D$4-$C$4)</f>
        <v>64.959999999999994</v>
      </c>
      <c r="E12" s="200">
        <f>$D12*1.015^(E$4-$C$4)</f>
        <v>66.923415999999975</v>
      </c>
      <c r="F12" s="223">
        <f t="shared" si="4"/>
        <v>67.927267239999964</v>
      </c>
      <c r="G12" s="223">
        <f t="shared" si="4"/>
        <v>68.946176248599954</v>
      </c>
      <c r="H12" s="223">
        <f t="shared" si="4"/>
        <v>69.98036889232894</v>
      </c>
      <c r="I12" s="223">
        <f t="shared" si="4"/>
        <v>71.030074425713863</v>
      </c>
      <c r="J12" s="223">
        <f t="shared" si="4"/>
        <v>72.095525542099566</v>
      </c>
      <c r="K12" s="223">
        <f t="shared" si="4"/>
        <v>73.176958425231049</v>
      </c>
      <c r="L12" s="223">
        <f t="shared" si="4"/>
        <v>74.274612801609507</v>
      </c>
    </row>
    <row r="13" spans="1:12">
      <c r="A13" s="116" t="s">
        <v>98</v>
      </c>
      <c r="B13" s="116" t="s">
        <v>99</v>
      </c>
      <c r="C13" s="200">
        <f>'26년 총원가 배분'!F55</f>
        <v>369</v>
      </c>
      <c r="D13" s="209">
        <f t="shared" ref="D13:L13" si="5">$C13*1.015^(D$4-$C$4)</f>
        <v>374.53499999999997</v>
      </c>
      <c r="E13" s="209">
        <f t="shared" si="5"/>
        <v>380.1530249999999</v>
      </c>
      <c r="F13" s="209">
        <f t="shared" si="5"/>
        <v>385.85532037499985</v>
      </c>
      <c r="G13" s="209">
        <f t="shared" si="5"/>
        <v>391.64315018062479</v>
      </c>
      <c r="H13" s="209">
        <f t="shared" si="5"/>
        <v>397.51779743333412</v>
      </c>
      <c r="I13" s="209">
        <f t="shared" si="5"/>
        <v>403.48056439483406</v>
      </c>
      <c r="J13" s="209">
        <f t="shared" si="5"/>
        <v>409.53277286075649</v>
      </c>
      <c r="K13" s="209">
        <f t="shared" si="5"/>
        <v>415.6757644536678</v>
      </c>
      <c r="L13" s="209">
        <f t="shared" si="5"/>
        <v>421.91090092047278</v>
      </c>
    </row>
    <row r="14" spans="1:12">
      <c r="A14" s="254" t="s">
        <v>100</v>
      </c>
      <c r="B14" s="254"/>
      <c r="C14" s="35">
        <f t="shared" ref="C14:L14" si="6">SUM(C6:C13)</f>
        <v>9798</v>
      </c>
      <c r="D14" s="35">
        <f t="shared" si="6"/>
        <v>13258.861235955508</v>
      </c>
      <c r="E14" s="35">
        <f t="shared" si="6"/>
        <v>10489.127492938775</v>
      </c>
      <c r="F14" s="35">
        <f t="shared" si="6"/>
        <v>13669.61745886101</v>
      </c>
      <c r="G14" s="35">
        <f t="shared" si="6"/>
        <v>10806.161371412847</v>
      </c>
      <c r="H14" s="35">
        <f t="shared" si="6"/>
        <v>13955.4064825963</v>
      </c>
      <c r="I14" s="35">
        <f t="shared" si="6"/>
        <v>11132.777598863799</v>
      </c>
      <c r="J14" s="35">
        <f t="shared" si="6"/>
        <v>14508.433721822203</v>
      </c>
      <c r="K14" s="117">
        <f t="shared" si="6"/>
        <v>11469.265801789454</v>
      </c>
      <c r="L14" s="200">
        <f t="shared" si="6"/>
        <v>14946.951131064276</v>
      </c>
    </row>
    <row r="15" spans="1:12">
      <c r="A15" s="254" t="s">
        <v>65</v>
      </c>
      <c r="B15" s="254"/>
      <c r="C15" s="200">
        <f>'26년 총원가 배분'!F58</f>
        <v>22</v>
      </c>
      <c r="D15" s="10">
        <v>0</v>
      </c>
      <c r="E15" s="10">
        <v>22</v>
      </c>
      <c r="F15" s="10">
        <v>0</v>
      </c>
      <c r="G15" s="10">
        <v>22</v>
      </c>
      <c r="H15" s="10">
        <v>0</v>
      </c>
      <c r="I15" s="10">
        <v>22</v>
      </c>
      <c r="J15" s="10">
        <v>0</v>
      </c>
      <c r="K15" s="10">
        <v>22</v>
      </c>
      <c r="L15" s="10">
        <v>0</v>
      </c>
    </row>
    <row r="16" spans="1:12">
      <c r="A16" s="254" t="s">
        <v>66</v>
      </c>
      <c r="B16" s="254"/>
      <c r="C16" s="200">
        <f>'26년 총원가 배분'!F59</f>
        <v>0</v>
      </c>
      <c r="D16" s="10">
        <v>15</v>
      </c>
      <c r="E16" s="10">
        <v>15</v>
      </c>
      <c r="F16" s="10">
        <v>15</v>
      </c>
      <c r="G16" s="10">
        <v>15</v>
      </c>
      <c r="H16" s="10">
        <v>15</v>
      </c>
      <c r="I16" s="10">
        <v>15</v>
      </c>
      <c r="J16" s="10">
        <v>15</v>
      </c>
      <c r="K16" s="10">
        <v>15</v>
      </c>
      <c r="L16" s="10">
        <v>15</v>
      </c>
    </row>
    <row r="17" spans="1:14">
      <c r="A17" s="254" t="s">
        <v>34</v>
      </c>
      <c r="B17" s="123" t="s">
        <v>60</v>
      </c>
      <c r="C17" s="200">
        <f>'26년 총원가 배분'!F60</f>
        <v>2162</v>
      </c>
      <c r="D17" s="11">
        <f>TRUNC('고온부품(26)'!G7/1000,0)+3000</f>
        <v>3000</v>
      </c>
      <c r="E17" s="11">
        <f>TRUNC('고온부품(26)'!H7/1000,0)</f>
        <v>1757</v>
      </c>
      <c r="F17" s="11">
        <f>TRUNC('고온부품(26)'!I7/1000,0)</f>
        <v>0</v>
      </c>
      <c r="G17" s="11">
        <f>TRUNC('고온부품(26)'!J7/1000,0)</f>
        <v>1366</v>
      </c>
      <c r="H17" s="11">
        <f>TRUNC('고온부품(26)'!K7/1000,0)</f>
        <v>0</v>
      </c>
      <c r="I17" s="11">
        <f>TRUNC('고온부품(26)'!L7/1000,0)</f>
        <v>2169</v>
      </c>
      <c r="J17" s="11">
        <f>TRUNC('고온부품(26)'!M7/1000,0)</f>
        <v>0</v>
      </c>
      <c r="K17" s="11">
        <f>TRUNC('고온부품(26)'!N7/1000,0)</f>
        <v>1965</v>
      </c>
      <c r="L17" s="11">
        <f>TRUNC('고온부품(26)'!O7/1000,0)</f>
        <v>0</v>
      </c>
    </row>
    <row r="18" spans="1:14">
      <c r="A18" s="254"/>
      <c r="B18" s="116" t="s">
        <v>64</v>
      </c>
      <c r="C18" s="200">
        <f>'26년 총원가 배분'!F61</f>
        <v>5727</v>
      </c>
      <c r="D18" s="10">
        <f>1012*1.015^(D4-23)+1000</f>
        <v>2074.0999132324996</v>
      </c>
      <c r="E18" s="10">
        <f>1573*1.015^(E4-24)</f>
        <v>1669.5248651331242</v>
      </c>
      <c r="F18" s="10">
        <f>1012*1.015^(F4-23)</f>
        <v>1106.5645831099514</v>
      </c>
      <c r="G18" s="10">
        <f>1573*1.015^(G4-24)</f>
        <v>1719.9862541817722</v>
      </c>
      <c r="H18" s="10">
        <f>2675*1.015^(H4-25)</f>
        <v>2924.9607310465612</v>
      </c>
      <c r="I18" s="10">
        <f>1573*1.015^(I4-24)</f>
        <v>1771.972838714416</v>
      </c>
      <c r="J18" s="10">
        <f>1012*1.015^(J4-23)</f>
        <v>1174.4673149254504</v>
      </c>
      <c r="K18" s="10">
        <f>1573*1.015^(K4-24)</f>
        <v>1825.5307177645586</v>
      </c>
      <c r="L18" s="10">
        <f>1012*1.015^(L4-23)</f>
        <v>1209.9655895190717</v>
      </c>
    </row>
    <row r="19" spans="1:14">
      <c r="A19" s="116" t="s">
        <v>102</v>
      </c>
      <c r="B19" s="116" t="s">
        <v>103</v>
      </c>
      <c r="C19" s="200">
        <f>'26년 총원가 배분'!F62</f>
        <v>0</v>
      </c>
      <c r="D19" s="10">
        <v>0</v>
      </c>
      <c r="E19" s="10">
        <v>0</v>
      </c>
      <c r="F19" s="10">
        <v>0</v>
      </c>
      <c r="G19" s="10">
        <v>0</v>
      </c>
      <c r="H19" s="10">
        <f>8539*1.015^(H4-19)</f>
        <v>10209.383566110033</v>
      </c>
      <c r="I19" s="10">
        <v>0</v>
      </c>
      <c r="J19" s="10">
        <v>0</v>
      </c>
      <c r="K19" s="10">
        <v>0</v>
      </c>
      <c r="L19" s="10">
        <v>0</v>
      </c>
    </row>
    <row r="20" spans="1:14">
      <c r="A20" s="254" t="s">
        <v>63</v>
      </c>
      <c r="B20" s="254"/>
      <c r="C20" s="200">
        <f>'26년 총원가 배분'!F63</f>
        <v>77</v>
      </c>
      <c r="D20" s="10">
        <v>76</v>
      </c>
      <c r="E20" s="10">
        <v>76</v>
      </c>
      <c r="F20" s="10">
        <v>76</v>
      </c>
      <c r="G20" s="10">
        <v>76</v>
      </c>
      <c r="H20" s="10">
        <v>76</v>
      </c>
      <c r="I20" s="10">
        <v>76</v>
      </c>
      <c r="J20" s="10">
        <v>76</v>
      </c>
      <c r="K20" s="10">
        <v>76</v>
      </c>
      <c r="L20" s="10">
        <v>76</v>
      </c>
    </row>
    <row r="21" spans="1:14">
      <c r="A21" s="254" t="s">
        <v>61</v>
      </c>
      <c r="B21" s="123" t="s">
        <v>38</v>
      </c>
      <c r="C21" s="200">
        <f>'26년 총원가 배분'!F64</f>
        <v>0</v>
      </c>
      <c r="D21" s="11">
        <f>TRUNC('고온부품(26)'!G8/1000)</f>
        <v>8166</v>
      </c>
      <c r="E21" s="11">
        <f>TRUNC('고온부품(26)'!H8/1000)</f>
        <v>0</v>
      </c>
      <c r="F21" s="11">
        <f>TRUNC('고온부품(26)'!I8/1000)</f>
        <v>20511</v>
      </c>
      <c r="G21" s="11">
        <f>TRUNC('고온부품(26)'!J8/1000)</f>
        <v>0</v>
      </c>
      <c r="H21" s="11">
        <f>TRUNC('고온부품(26)'!K8/1000)</f>
        <v>15548</v>
      </c>
      <c r="I21" s="11">
        <f>TRUNC('고온부품(26)'!L8/1000)</f>
        <v>0</v>
      </c>
      <c r="J21" s="11">
        <f>TRUNC('고온부품(26)'!M8/1000)+3000</f>
        <v>17618</v>
      </c>
      <c r="K21" s="11">
        <f>TRUNC('고온부품(26)'!N8/1000)</f>
        <v>0</v>
      </c>
      <c r="L21" s="11">
        <f>TRUNC('고온부품(26)'!O8/1000)</f>
        <v>15475</v>
      </c>
    </row>
    <row r="22" spans="1:14">
      <c r="A22" s="254"/>
      <c r="B22" s="116" t="s">
        <v>39</v>
      </c>
      <c r="C22" s="200">
        <f>'26년 총원가 배분'!F65</f>
        <v>536</v>
      </c>
      <c r="D22" s="10">
        <f>992*1.015^(D4-23)</f>
        <v>1052.8726422199995</v>
      </c>
      <c r="E22" s="10">
        <f>562*1.015^(E4-22)</f>
        <v>614.51511433576354</v>
      </c>
      <c r="F22" s="10">
        <f>992*1.015^(F4-23)</f>
        <v>1084.6957178310986</v>
      </c>
      <c r="G22" s="10">
        <f>562*1.015^(G4-22)</f>
        <v>633.08883366656175</v>
      </c>
      <c r="H22" s="10">
        <f>1902*1.015^(H4-19)</f>
        <v>2274.0657621198361</v>
      </c>
      <c r="I22" s="10">
        <f>562*1.015^(I4-22)</f>
        <v>652.22394366413346</v>
      </c>
      <c r="J22" s="10">
        <f>992*1.015^(J4-23)</f>
        <v>1151.2564984249473</v>
      </c>
      <c r="K22" s="10">
        <f>562*1.015^(K4-22)</f>
        <v>671.93741236138169</v>
      </c>
      <c r="L22" s="10">
        <f>562*1.015^(L4-22)</f>
        <v>682.01647354680233</v>
      </c>
    </row>
    <row r="23" spans="1:14">
      <c r="A23" s="120" t="s">
        <v>67</v>
      </c>
      <c r="B23" s="120" t="s">
        <v>37</v>
      </c>
      <c r="C23" s="200">
        <f>'26년 총원가 배분'!F66</f>
        <v>71</v>
      </c>
      <c r="D23" s="10">
        <v>107</v>
      </c>
      <c r="E23" s="10">
        <v>79</v>
      </c>
      <c r="F23" s="10">
        <v>107</v>
      </c>
      <c r="G23" s="10">
        <v>79</v>
      </c>
      <c r="H23" s="10">
        <v>238</v>
      </c>
      <c r="I23" s="10">
        <v>79</v>
      </c>
      <c r="J23" s="36">
        <v>107</v>
      </c>
      <c r="K23" s="10">
        <v>79</v>
      </c>
      <c r="L23" s="10">
        <v>79</v>
      </c>
    </row>
    <row r="24" spans="1:14">
      <c r="A24" s="257" t="s">
        <v>78</v>
      </c>
      <c r="B24" s="257"/>
      <c r="C24" s="36">
        <f>SUM(C15:C23)</f>
        <v>8595</v>
      </c>
      <c r="D24" s="36">
        <f>SUM(D15:D23)</f>
        <v>14490.972555452499</v>
      </c>
      <c r="E24" s="36">
        <f t="shared" ref="E24:I24" si="7">SUM(E15:E23)</f>
        <v>4233.0399794688874</v>
      </c>
      <c r="F24" s="36">
        <f t="shared" si="7"/>
        <v>22900.260300941049</v>
      </c>
      <c r="G24" s="36">
        <f t="shared" si="7"/>
        <v>3911.0750878483336</v>
      </c>
      <c r="H24" s="36">
        <f t="shared" si="7"/>
        <v>31285.410059276433</v>
      </c>
      <c r="I24" s="36">
        <f t="shared" si="7"/>
        <v>4785.196782378549</v>
      </c>
      <c r="J24" s="36">
        <f t="shared" ref="J24" si="8">SUM(J15:J23)</f>
        <v>20141.7238133504</v>
      </c>
      <c r="K24" s="36">
        <f>SUM(K15:K23)</f>
        <v>4654.4681301259407</v>
      </c>
      <c r="L24" s="36">
        <f>SUM(L15:L23)</f>
        <v>17536.982063065876</v>
      </c>
      <c r="M24" s="7"/>
      <c r="N24" s="7"/>
    </row>
    <row r="25" spans="1:14">
      <c r="A25" s="222" t="s">
        <v>282</v>
      </c>
      <c r="B25" s="222" t="s">
        <v>354</v>
      </c>
      <c r="C25" s="223">
        <f>'26년 총원가 배분'!F67</f>
        <v>0</v>
      </c>
      <c r="D25" s="223">
        <f>투자비!D65*1.015</f>
        <v>343.17149999999992</v>
      </c>
      <c r="E25" s="236">
        <f>D$25*1.015^(E$4-D$4)</f>
        <v>348.31907249999989</v>
      </c>
      <c r="F25" s="236">
        <f t="shared" ref="F25:L25" si="9">E$25*1.015^(F$4-E$4)</f>
        <v>353.54385858749987</v>
      </c>
      <c r="G25" s="236">
        <f t="shared" si="9"/>
        <v>358.84701646631231</v>
      </c>
      <c r="H25" s="236">
        <f t="shared" si="9"/>
        <v>364.22972171330696</v>
      </c>
      <c r="I25" s="236">
        <f t="shared" si="9"/>
        <v>369.69316753900654</v>
      </c>
      <c r="J25" s="236">
        <f t="shared" si="9"/>
        <v>375.23856505209159</v>
      </c>
      <c r="K25" s="236">
        <f t="shared" si="9"/>
        <v>380.86714352787294</v>
      </c>
      <c r="L25" s="236">
        <f t="shared" si="9"/>
        <v>386.58015068079101</v>
      </c>
    </row>
    <row r="26" spans="1:14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1:14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1:14">
      <c r="D28" t="s">
        <v>250</v>
      </c>
    </row>
  </sheetData>
  <mergeCells count="10">
    <mergeCell ref="A14:B14"/>
    <mergeCell ref="A17:A18"/>
    <mergeCell ref="A4:B4"/>
    <mergeCell ref="A5:B5"/>
    <mergeCell ref="A24:B24"/>
    <mergeCell ref="A21:A22"/>
    <mergeCell ref="A15:B15"/>
    <mergeCell ref="A16:B16"/>
    <mergeCell ref="A20:B20"/>
    <mergeCell ref="A6:A1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>
    <tabColor theme="5"/>
  </sheetPr>
  <dimension ref="A3:P30"/>
  <sheetViews>
    <sheetView zoomScale="85" zoomScaleNormal="85" workbookViewId="0">
      <selection activeCell="H11" sqref="H11"/>
    </sheetView>
  </sheetViews>
  <sheetFormatPr defaultRowHeight="16.899999999999999"/>
  <cols>
    <col min="1" max="1" width="15.75" customWidth="1"/>
    <col min="2" max="2" width="21.875" customWidth="1"/>
    <col min="3" max="3" width="16.75" customWidth="1"/>
    <col min="4" max="4" width="17.5" customWidth="1"/>
    <col min="5" max="5" width="17.375" customWidth="1"/>
    <col min="6" max="6" width="15" customWidth="1"/>
    <col min="7" max="7" width="17.625" customWidth="1"/>
    <col min="8" max="8" width="16.875" customWidth="1"/>
    <col min="9" max="9" width="16.5" customWidth="1"/>
    <col min="10" max="12" width="18" customWidth="1"/>
  </cols>
  <sheetData>
    <row r="3" spans="1:14">
      <c r="J3" s="2"/>
      <c r="K3" s="2"/>
      <c r="L3" s="9" t="s">
        <v>77</v>
      </c>
    </row>
    <row r="4" spans="1:14">
      <c r="A4" s="254" t="s">
        <v>70</v>
      </c>
      <c r="B4" s="254"/>
      <c r="C4" s="37">
        <v>26</v>
      </c>
      <c r="D4" s="37">
        <v>27</v>
      </c>
      <c r="E4" s="37">
        <v>28</v>
      </c>
      <c r="F4" s="37">
        <v>29</v>
      </c>
      <c r="G4" s="37">
        <v>30</v>
      </c>
      <c r="H4" s="37">
        <v>31</v>
      </c>
      <c r="I4" s="37">
        <v>32</v>
      </c>
      <c r="J4" s="62">
        <v>33</v>
      </c>
      <c r="K4" s="120">
        <v>34</v>
      </c>
      <c r="L4" s="201">
        <v>35</v>
      </c>
      <c r="M4" s="39" t="s">
        <v>79</v>
      </c>
    </row>
    <row r="5" spans="1:14">
      <c r="A5" s="254" t="s">
        <v>68</v>
      </c>
      <c r="B5" s="254"/>
      <c r="C5" s="34" t="s">
        <v>48</v>
      </c>
      <c r="D5" s="34" t="s">
        <v>46</v>
      </c>
      <c r="E5" s="34" t="s">
        <v>50</v>
      </c>
      <c r="F5" s="34" t="s">
        <v>46</v>
      </c>
      <c r="G5" s="34" t="s">
        <v>48</v>
      </c>
      <c r="H5" s="34" t="s">
        <v>46</v>
      </c>
      <c r="I5" s="34" t="s">
        <v>101</v>
      </c>
      <c r="J5" s="62" t="s">
        <v>144</v>
      </c>
      <c r="K5" s="120" t="s">
        <v>106</v>
      </c>
      <c r="L5" s="201" t="s">
        <v>82</v>
      </c>
      <c r="M5" s="40" t="s">
        <v>80</v>
      </c>
    </row>
    <row r="6" spans="1:14">
      <c r="A6" s="266" t="s">
        <v>93</v>
      </c>
      <c r="B6" s="37" t="s">
        <v>94</v>
      </c>
      <c r="C6" s="200">
        <f>'26년 총원가 배분'!G48</f>
        <v>792</v>
      </c>
      <c r="D6" s="117">
        <f>$C6*1.015^(D$4-$C$4)</f>
        <v>803.87999999999988</v>
      </c>
      <c r="E6" s="200">
        <f t="shared" ref="E6:L6" si="0">$C6*1.015^(E$4-$C$4)</f>
        <v>815.93819999999982</v>
      </c>
      <c r="F6" s="200">
        <f t="shared" si="0"/>
        <v>828.17727299999967</v>
      </c>
      <c r="G6" s="200">
        <f t="shared" si="0"/>
        <v>840.59993209499953</v>
      </c>
      <c r="H6" s="200">
        <f t="shared" si="0"/>
        <v>853.20893107642439</v>
      </c>
      <c r="I6" s="200">
        <f t="shared" si="0"/>
        <v>866.00706504257062</v>
      </c>
      <c r="J6" s="200">
        <f t="shared" si="0"/>
        <v>878.99717101820909</v>
      </c>
      <c r="K6" s="200">
        <f t="shared" si="0"/>
        <v>892.18212858348215</v>
      </c>
      <c r="L6" s="200">
        <f t="shared" si="0"/>
        <v>905.56486051223419</v>
      </c>
      <c r="M6" s="12"/>
    </row>
    <row r="7" spans="1:14">
      <c r="A7" s="270"/>
      <c r="B7" s="37" t="s">
        <v>95</v>
      </c>
      <c r="C7" s="200">
        <f>'26년 총원가 배분'!G49</f>
        <v>4021</v>
      </c>
      <c r="D7" s="34">
        <f>1996*1.015^(D4-23)</f>
        <v>2118.4816470474989</v>
      </c>
      <c r="E7" s="34">
        <f>$C7*1.015^(E4-26)</f>
        <v>4142.5347249999986</v>
      </c>
      <c r="F7" s="200">
        <f>1996*1.015^(F4-23)</f>
        <v>2182.5127548295086</v>
      </c>
      <c r="G7" s="200">
        <f>$C7*1.015^(G4-26)</f>
        <v>4267.7428370631224</v>
      </c>
      <c r="H7" s="200">
        <f>1996*1.015^(H4-23)</f>
        <v>2248.4792028442303</v>
      </c>
      <c r="I7" s="200">
        <f>$C7*1.015^(I4-26)</f>
        <v>4396.7353643133538</v>
      </c>
      <c r="J7" s="200">
        <f>1996*1.015^(J4-23)</f>
        <v>2316.4394867501965</v>
      </c>
      <c r="K7" s="200">
        <f>$C7*1.015^(K4-26)</f>
        <v>4529.6266906997243</v>
      </c>
      <c r="L7" s="200">
        <f>1996*1.015^(L4-23)</f>
        <v>2386.4538702372206</v>
      </c>
      <c r="M7" s="12"/>
    </row>
    <row r="8" spans="1:14">
      <c r="A8" s="270"/>
      <c r="B8" s="37" t="s">
        <v>96</v>
      </c>
      <c r="C8" s="200">
        <f>'26년 총원가 배분'!G50</f>
        <v>5757</v>
      </c>
      <c r="D8" s="209">
        <f>$C8*1.015^(D$4-25)</f>
        <v>5931.0053249999983</v>
      </c>
      <c r="E8" s="225">
        <f t="shared" ref="E8:L8" si="1">$C8*1.015^(E$4-25)</f>
        <v>6019.9704048749982</v>
      </c>
      <c r="F8" s="225">
        <f t="shared" si="1"/>
        <v>6110.2699609481215</v>
      </c>
      <c r="G8" s="225">
        <f t="shared" si="1"/>
        <v>6201.9240103623424</v>
      </c>
      <c r="H8" s="225">
        <f t="shared" si="1"/>
        <v>6294.9528705177763</v>
      </c>
      <c r="I8" s="225">
        <f t="shared" si="1"/>
        <v>6389.377163575542</v>
      </c>
      <c r="J8" s="225">
        <f t="shared" si="1"/>
        <v>6485.217821029175</v>
      </c>
      <c r="K8" s="225">
        <f t="shared" si="1"/>
        <v>6582.496088344612</v>
      </c>
      <c r="L8" s="225">
        <f t="shared" si="1"/>
        <v>6681.2335296697802</v>
      </c>
      <c r="M8" s="12"/>
    </row>
    <row r="9" spans="1:14">
      <c r="A9" s="270"/>
      <c r="B9" s="37" t="s">
        <v>97</v>
      </c>
      <c r="C9" s="200">
        <f>'26년 총원가 배분'!G51</f>
        <v>647</v>
      </c>
      <c r="D9" s="200">
        <f>$C9*1.015^(D$4-$C$4)</f>
        <v>656.70499999999993</v>
      </c>
      <c r="E9" s="200">
        <f t="shared" ref="E9:L9" si="2">$C9*1.015^(E$4-$C$4)</f>
        <v>666.55557499999986</v>
      </c>
      <c r="F9" s="200">
        <f t="shared" si="2"/>
        <v>676.55390862499974</v>
      </c>
      <c r="G9" s="200">
        <f t="shared" si="2"/>
        <v>686.70221725437466</v>
      </c>
      <c r="H9" s="200">
        <f t="shared" si="2"/>
        <v>697.00275051319011</v>
      </c>
      <c r="I9" s="200">
        <f t="shared" si="2"/>
        <v>707.45779177088787</v>
      </c>
      <c r="J9" s="200">
        <f t="shared" si="2"/>
        <v>718.06965864745109</v>
      </c>
      <c r="K9" s="200">
        <f t="shared" si="2"/>
        <v>728.84070352716276</v>
      </c>
      <c r="L9" s="200">
        <f t="shared" si="2"/>
        <v>739.77331408007012</v>
      </c>
      <c r="M9" s="12"/>
    </row>
    <row r="10" spans="1:14">
      <c r="A10" s="270"/>
      <c r="B10" s="37" t="s">
        <v>281</v>
      </c>
      <c r="C10" s="200">
        <f>'26년 총원가 배분'!G52</f>
        <v>1455</v>
      </c>
      <c r="D10" s="200">
        <f>687*1.015^(D$4-23)</f>
        <v>729.15675927937457</v>
      </c>
      <c r="E10" s="200">
        <f>$C10*1.015^(E$4-26)</f>
        <v>1498.9773749999997</v>
      </c>
      <c r="F10" s="200">
        <f>687*1.015^(F$4-23)</f>
        <v>751.19552232859348</v>
      </c>
      <c r="G10" s="200">
        <f>687*1.015^(G$4-23)</f>
        <v>762.46345516352221</v>
      </c>
      <c r="H10" s="200">
        <f>687*1.015^(H$4-23)</f>
        <v>773.90040699097506</v>
      </c>
      <c r="I10" s="200">
        <f>687*1.015^(I$4-23)</f>
        <v>785.5089130958396</v>
      </c>
      <c r="J10" s="200">
        <f>687*1.015^(J$4-23)</f>
        <v>797.29154679227702</v>
      </c>
      <c r="K10" s="200">
        <f t="shared" ref="K10" si="3">$C10*1.015^(K$4-26)</f>
        <v>1639.0467134961698</v>
      </c>
      <c r="L10" s="200">
        <f>687*1.015^(L$4-23)</f>
        <v>821.38968379407333</v>
      </c>
      <c r="M10" s="12"/>
    </row>
    <row r="11" spans="1:14">
      <c r="A11" s="270"/>
      <c r="B11" s="201" t="s">
        <v>351</v>
      </c>
      <c r="C11" s="200">
        <f>'26년 총원가 배분'!G53</f>
        <v>202</v>
      </c>
      <c r="D11" s="209">
        <f>536*1.015^(D$4-$C$4)</f>
        <v>544.04</v>
      </c>
      <c r="E11" s="200">
        <f>$D11*1.015^(E$4-$C$4)</f>
        <v>560.48360899999977</v>
      </c>
      <c r="F11" s="223">
        <f t="shared" ref="F11:L12" si="4">$D11*1.015^(F$4-$C$4)</f>
        <v>568.89086313499979</v>
      </c>
      <c r="G11" s="223">
        <f t="shared" si="4"/>
        <v>577.42422608202469</v>
      </c>
      <c r="H11" s="223">
        <f t="shared" si="4"/>
        <v>586.08558947325491</v>
      </c>
      <c r="I11" s="223">
        <f t="shared" si="4"/>
        <v>594.87687331535369</v>
      </c>
      <c r="J11" s="223">
        <f t="shared" si="4"/>
        <v>603.80002641508383</v>
      </c>
      <c r="K11" s="223">
        <f t="shared" si="4"/>
        <v>612.85702681131011</v>
      </c>
      <c r="L11" s="223">
        <f t="shared" si="4"/>
        <v>622.04988221347969</v>
      </c>
      <c r="M11" s="12"/>
    </row>
    <row r="12" spans="1:14">
      <c r="A12" s="267"/>
      <c r="B12" s="201" t="s">
        <v>352</v>
      </c>
      <c r="C12" s="200">
        <f>'26년 총원가 배분'!G54</f>
        <v>27</v>
      </c>
      <c r="D12" s="209">
        <f>60*1.015^(D$4-$C$4)</f>
        <v>60.899999999999991</v>
      </c>
      <c r="E12" s="200">
        <f>$D12*1.015^(E$4-$C$4)</f>
        <v>62.740702499999976</v>
      </c>
      <c r="F12" s="223">
        <f t="shared" si="4"/>
        <v>63.681813037499964</v>
      </c>
      <c r="G12" s="223">
        <f t="shared" si="4"/>
        <v>64.63704023306245</v>
      </c>
      <c r="H12" s="223">
        <f t="shared" si="4"/>
        <v>65.606595836558384</v>
      </c>
      <c r="I12" s="223">
        <f t="shared" si="4"/>
        <v>66.590694774106751</v>
      </c>
      <c r="J12" s="223">
        <f t="shared" si="4"/>
        <v>67.589555195718333</v>
      </c>
      <c r="K12" s="223">
        <f t="shared" si="4"/>
        <v>68.603398523654107</v>
      </c>
      <c r="L12" s="223">
        <f t="shared" si="4"/>
        <v>69.632449501508916</v>
      </c>
      <c r="M12" s="12"/>
    </row>
    <row r="13" spans="1:14">
      <c r="A13" s="66" t="s">
        <v>98</v>
      </c>
      <c r="B13" s="37" t="s">
        <v>99</v>
      </c>
      <c r="C13" s="200">
        <f>'26년 총원가 배분'!G55</f>
        <v>561</v>
      </c>
      <c r="D13" s="209">
        <f t="shared" ref="D13:L13" si="5">$C13*1.015^(D$4-$C$4)</f>
        <v>569.41499999999996</v>
      </c>
      <c r="E13" s="209">
        <f t="shared" si="5"/>
        <v>577.95622499999979</v>
      </c>
      <c r="F13" s="209">
        <f t="shared" si="5"/>
        <v>586.62556837499983</v>
      </c>
      <c r="G13" s="209">
        <f t="shared" si="5"/>
        <v>595.42495190062471</v>
      </c>
      <c r="H13" s="209">
        <f t="shared" si="5"/>
        <v>604.35632617913393</v>
      </c>
      <c r="I13" s="209">
        <f t="shared" si="5"/>
        <v>613.42167107182081</v>
      </c>
      <c r="J13" s="209">
        <f t="shared" si="5"/>
        <v>622.6229961378981</v>
      </c>
      <c r="K13" s="209">
        <f t="shared" si="5"/>
        <v>631.96234107996645</v>
      </c>
      <c r="L13" s="209">
        <f t="shared" si="5"/>
        <v>641.44177619616596</v>
      </c>
      <c r="M13" s="12"/>
      <c r="N13">
        <v>1500</v>
      </c>
    </row>
    <row r="14" spans="1:14">
      <c r="A14" s="254" t="s">
        <v>100</v>
      </c>
      <c r="B14" s="254"/>
      <c r="C14" s="34">
        <f t="shared" ref="C14:L14" si="6">SUM(C6:C13)</f>
        <v>13462</v>
      </c>
      <c r="D14" s="34">
        <f t="shared" si="6"/>
        <v>11413.583731326871</v>
      </c>
      <c r="E14" s="34">
        <f t="shared" si="6"/>
        <v>14345.156816374996</v>
      </c>
      <c r="F14" s="34">
        <f t="shared" si="6"/>
        <v>11767.907664278722</v>
      </c>
      <c r="G14" s="34">
        <f t="shared" si="6"/>
        <v>13996.918670154075</v>
      </c>
      <c r="H14" s="34">
        <f t="shared" si="6"/>
        <v>12123.592673431542</v>
      </c>
      <c r="I14" s="34">
        <f t="shared" si="6"/>
        <v>14419.975536959477</v>
      </c>
      <c r="J14" s="87">
        <f t="shared" si="6"/>
        <v>12490.028261986008</v>
      </c>
      <c r="K14" s="117">
        <f t="shared" si="6"/>
        <v>15685.615091066082</v>
      </c>
      <c r="L14" s="200">
        <f t="shared" si="6"/>
        <v>12867.539366204534</v>
      </c>
      <c r="M14" s="12"/>
    </row>
    <row r="15" spans="1:14">
      <c r="A15" s="254" t="s">
        <v>65</v>
      </c>
      <c r="B15" s="254"/>
      <c r="C15" s="200">
        <f>'26년 총원가 배분'!G58</f>
        <v>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</row>
    <row r="16" spans="1:14">
      <c r="A16" s="254" t="s">
        <v>66</v>
      </c>
      <c r="B16" s="254"/>
      <c r="C16" s="200">
        <f>'26년 총원가 배분'!G59</f>
        <v>50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</row>
    <row r="17" spans="1:16">
      <c r="A17" s="266" t="s">
        <v>34</v>
      </c>
      <c r="B17" s="123" t="s">
        <v>60</v>
      </c>
      <c r="C17" s="200">
        <f>'26년 총원가 배분'!G60</f>
        <v>894</v>
      </c>
      <c r="D17" s="11">
        <f>TRUNC('고온부품(26)'!G9/1000)</f>
        <v>2344</v>
      </c>
      <c r="E17" s="11">
        <f>TRUNC('고온부품(26)'!H9/1000)</f>
        <v>0</v>
      </c>
      <c r="F17" s="11">
        <f>TRUNC('고온부품(26)'!I9/1000)</f>
        <v>2221</v>
      </c>
      <c r="G17" s="11">
        <f>TRUNC('고온부품(26)'!J9/1000)</f>
        <v>0</v>
      </c>
      <c r="H17" s="11">
        <f>TRUNC('고온부품(26)'!K9/1000)</f>
        <v>2131</v>
      </c>
      <c r="I17" s="11">
        <f>TRUNC('고온부품(26)'!L9/1000)</f>
        <v>0</v>
      </c>
      <c r="J17" s="11">
        <f>TRUNC('고온부품(26)'!M9/1000)</f>
        <v>2877</v>
      </c>
      <c r="K17" s="11">
        <f>TRUNC('고온부품(26)'!N9/1000)</f>
        <v>0</v>
      </c>
      <c r="L17" s="11">
        <f>TRUNC('고온부품(26)'!O9/1000)</f>
        <v>2629</v>
      </c>
    </row>
    <row r="18" spans="1:16">
      <c r="A18" s="267"/>
      <c r="B18" s="37" t="s">
        <v>64</v>
      </c>
      <c r="C18" s="200">
        <f>'26년 총원가 배분'!G61</f>
        <v>6420</v>
      </c>
      <c r="D18" s="10">
        <f>1029*1.015^(D4-23)+1000</f>
        <v>2092.1430935931244</v>
      </c>
      <c r="E18" s="10">
        <f>2403*1.015^(E4-22)</f>
        <v>2627.5441632541633</v>
      </c>
      <c r="F18" s="10">
        <f>1029*1.015^(F4-23)</f>
        <v>1125.1531185969761</v>
      </c>
      <c r="G18" s="10">
        <f>901*1.015^(G4-20)</f>
        <v>1045.6472833476589</v>
      </c>
      <c r="H18" s="10">
        <f>1029*1.015^(H4-23)</f>
        <v>1159.1608716065696</v>
      </c>
      <c r="I18" s="10">
        <f>901*1.015^(I4-20)</f>
        <v>1077.2519724868414</v>
      </c>
      <c r="J18" s="10">
        <f>1029*1.015^(J4-23)</f>
        <v>1194.1965089508778</v>
      </c>
      <c r="K18" s="10">
        <f>2403*1.015^(K4-22)</f>
        <v>2873.0704660220645</v>
      </c>
      <c r="L18" s="10">
        <f>1029*1.015^(L4-23)</f>
        <v>1230.2910984339178</v>
      </c>
    </row>
    <row r="19" spans="1:16">
      <c r="A19" s="37" t="s">
        <v>102</v>
      </c>
      <c r="B19" s="37" t="s">
        <v>103</v>
      </c>
      <c r="C19" s="200">
        <f>'26년 총원가 배분'!G62</f>
        <v>600</v>
      </c>
      <c r="D19" s="10">
        <v>0</v>
      </c>
      <c r="E19" s="11">
        <f>8927*1.015^(E4-22)</f>
        <v>9761.1680172159449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1">
        <f>8927*1.015^(K4-22)</f>
        <v>10673.283416637107</v>
      </c>
      <c r="L19" s="11">
        <v>0</v>
      </c>
    </row>
    <row r="20" spans="1:16">
      <c r="A20" s="254" t="s">
        <v>63</v>
      </c>
      <c r="B20" s="254"/>
      <c r="C20" s="200">
        <f>'26년 총원가 배분'!G63</f>
        <v>413</v>
      </c>
      <c r="D20" s="10">
        <f t="shared" ref="D20:L20" si="7">C20*1.015^(D4-C4)</f>
        <v>419.19499999999994</v>
      </c>
      <c r="E20" s="10">
        <f t="shared" si="7"/>
        <v>425.48292499999991</v>
      </c>
      <c r="F20" s="10">
        <f t="shared" si="7"/>
        <v>431.86516887499988</v>
      </c>
      <c r="G20" s="10">
        <f t="shared" si="7"/>
        <v>438.34314640812482</v>
      </c>
      <c r="H20" s="10">
        <f t="shared" si="7"/>
        <v>444.91829360424663</v>
      </c>
      <c r="I20" s="10">
        <f t="shared" si="7"/>
        <v>451.59206800831026</v>
      </c>
      <c r="J20" s="10">
        <f t="shared" si="7"/>
        <v>458.3659490284349</v>
      </c>
      <c r="K20" s="10">
        <f t="shared" si="7"/>
        <v>465.24143826386137</v>
      </c>
      <c r="L20" s="10">
        <f t="shared" si="7"/>
        <v>472.22005983781924</v>
      </c>
    </row>
    <row r="21" spans="1:16">
      <c r="A21" s="254" t="s">
        <v>61</v>
      </c>
      <c r="B21" s="123" t="s">
        <v>38</v>
      </c>
      <c r="C21" s="200">
        <f>'26년 총원가 배분'!G64</f>
        <v>1304</v>
      </c>
      <c r="D21" s="11">
        <f>TRUNC('고온부품(26)'!G10/1000)</f>
        <v>0</v>
      </c>
      <c r="E21" s="11">
        <f>TRUNC('고온부품(26)'!H10/1000)</f>
        <v>20192</v>
      </c>
      <c r="F21" s="11">
        <f>TRUNC('고온부품(26)'!I10/1000)</f>
        <v>0</v>
      </c>
      <c r="G21" s="11">
        <f>TRUNC('고온부품(26)'!J10/1000)+3000</f>
        <v>17351</v>
      </c>
      <c r="H21" s="11">
        <f>TRUNC('고온부품(26)'!K10/1000)</f>
        <v>0</v>
      </c>
      <c r="I21" s="11">
        <f>TRUNC('고온부품(26)'!L10/1000)</f>
        <v>17583</v>
      </c>
      <c r="J21" s="11">
        <f>TRUNC('고온부품(26)'!M10/1000)</f>
        <v>0</v>
      </c>
      <c r="K21" s="11">
        <f>TRUNC('고온부품(26)'!N10/1000)</f>
        <v>10815</v>
      </c>
      <c r="L21" s="11">
        <f>TRUNC('고온부품(26)'!O10/1000)</f>
        <v>0</v>
      </c>
    </row>
    <row r="22" spans="1:16">
      <c r="A22" s="254"/>
      <c r="B22" s="37" t="s">
        <v>39</v>
      </c>
      <c r="C22" s="200">
        <f>'26년 총원가 배분'!G65</f>
        <v>1939</v>
      </c>
      <c r="D22" s="10">
        <v>18</v>
      </c>
      <c r="E22" s="10">
        <f>1770*(1.015)^(E4-22)</f>
        <v>1935.3945771784722</v>
      </c>
      <c r="F22" s="10">
        <v>18</v>
      </c>
      <c r="G22" s="10">
        <f>558*(1.015)^(G4-23)</f>
        <v>619.29346139919278</v>
      </c>
      <c r="H22" s="10">
        <v>18</v>
      </c>
      <c r="I22" s="10">
        <f>558*(1.015)^(I4-23)</f>
        <v>638.01160626998319</v>
      </c>
      <c r="J22" s="10">
        <v>18</v>
      </c>
      <c r="K22" s="10">
        <f>1770*(1.015)^(K4-22)</f>
        <v>2116.2441634869137</v>
      </c>
      <c r="L22" s="10">
        <f>1770*(1.015)^(L4-22)</f>
        <v>2147.9878259392176</v>
      </c>
    </row>
    <row r="23" spans="1:16">
      <c r="A23" s="38" t="s">
        <v>67</v>
      </c>
      <c r="B23" s="38" t="s">
        <v>37</v>
      </c>
      <c r="C23" s="200">
        <f>'26년 총원가 배분'!G66</f>
        <v>343</v>
      </c>
      <c r="D23" s="10">
        <v>126</v>
      </c>
      <c r="E23" s="10">
        <v>155</v>
      </c>
      <c r="F23" s="10">
        <v>126</v>
      </c>
      <c r="G23" s="10">
        <v>155</v>
      </c>
      <c r="H23" s="10">
        <v>126</v>
      </c>
      <c r="I23" s="10">
        <v>155</v>
      </c>
      <c r="J23" s="36">
        <v>126</v>
      </c>
      <c r="K23" s="36">
        <v>155</v>
      </c>
      <c r="L23" s="36">
        <v>155</v>
      </c>
    </row>
    <row r="24" spans="1:16">
      <c r="A24" s="257" t="s">
        <v>78</v>
      </c>
      <c r="B24" s="257"/>
      <c r="C24" s="36">
        <f>SUM(C15:C23)</f>
        <v>11964</v>
      </c>
      <c r="D24" s="36">
        <f t="shared" ref="D24:K24" si="8">SUM(D15:D23)</f>
        <v>4999.3380935931236</v>
      </c>
      <c r="E24" s="36">
        <f t="shared" si="8"/>
        <v>35096.589682648577</v>
      </c>
      <c r="F24" s="36">
        <f t="shared" si="8"/>
        <v>3922.0182874719758</v>
      </c>
      <c r="G24" s="36">
        <f t="shared" si="8"/>
        <v>19609.283891154977</v>
      </c>
      <c r="H24" s="36">
        <f t="shared" si="8"/>
        <v>3879.079165210816</v>
      </c>
      <c r="I24" s="36">
        <f t="shared" si="8"/>
        <v>19904.855646765132</v>
      </c>
      <c r="J24" s="36">
        <f t="shared" si="8"/>
        <v>4673.562457979313</v>
      </c>
      <c r="K24" s="36">
        <f t="shared" si="8"/>
        <v>27097.839484409949</v>
      </c>
      <c r="L24" s="36">
        <f t="shared" ref="L24" si="9">SUM(L15:L23)</f>
        <v>6634.4989842109553</v>
      </c>
      <c r="M24" s="7"/>
      <c r="N24" s="7"/>
      <c r="O24" s="7"/>
      <c r="P24" s="7"/>
    </row>
    <row r="25" spans="1:16">
      <c r="A25" s="222" t="s">
        <v>282</v>
      </c>
      <c r="B25" s="222" t="s">
        <v>354</v>
      </c>
      <c r="C25" s="223">
        <f>'26년 총원가 배분'!G67</f>
        <v>0</v>
      </c>
      <c r="D25" s="223">
        <f>20000</f>
        <v>20000</v>
      </c>
      <c r="E25" s="236">
        <f>투자비!E65*1.015*1.015^(E$4-D$4)</f>
        <v>442.06954749999989</v>
      </c>
      <c r="F25" s="236">
        <f>E$25*1.015^(F$4-E$4)</f>
        <v>448.70059071249983</v>
      </c>
      <c r="G25" s="236">
        <f t="shared" ref="G25:L25" si="10">F$25*1.015^(G$4-F$4)</f>
        <v>455.43109957318728</v>
      </c>
      <c r="H25" s="236">
        <f t="shared" si="10"/>
        <v>462.26256606678504</v>
      </c>
      <c r="I25" s="236">
        <f t="shared" si="10"/>
        <v>469.1965045577868</v>
      </c>
      <c r="J25" s="236">
        <f t="shared" si="10"/>
        <v>476.23445212615354</v>
      </c>
      <c r="K25" s="236">
        <f t="shared" si="10"/>
        <v>483.37796890804577</v>
      </c>
      <c r="L25" s="236">
        <f t="shared" si="10"/>
        <v>490.6286384416664</v>
      </c>
    </row>
    <row r="26" spans="1:1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>
      <c r="J27" s="43"/>
      <c r="K27" s="43"/>
      <c r="L27" s="43"/>
    </row>
    <row r="28" spans="1:16">
      <c r="C28" s="31"/>
      <c r="D28" s="31"/>
      <c r="E28" s="31"/>
      <c r="F28" s="31"/>
      <c r="G28" s="31"/>
      <c r="H28" s="31"/>
    </row>
    <row r="29" spans="1:16">
      <c r="C29" s="31"/>
      <c r="D29" s="31"/>
      <c r="E29" s="31"/>
      <c r="F29" s="31"/>
      <c r="G29" s="31"/>
      <c r="H29" s="31"/>
    </row>
    <row r="30" spans="1:16">
      <c r="C30" s="31"/>
      <c r="D30" s="31"/>
      <c r="E30" s="31"/>
      <c r="F30" s="31"/>
      <c r="G30" s="31"/>
      <c r="H30" s="31"/>
    </row>
  </sheetData>
  <mergeCells count="10">
    <mergeCell ref="A21:A22"/>
    <mergeCell ref="A24:B24"/>
    <mergeCell ref="A4:B4"/>
    <mergeCell ref="A5:B5"/>
    <mergeCell ref="A15:B15"/>
    <mergeCell ref="A16:B16"/>
    <mergeCell ref="A20:B20"/>
    <mergeCell ref="A14:B14"/>
    <mergeCell ref="A17:A18"/>
    <mergeCell ref="A6:A12"/>
  </mergeCells>
  <phoneticPr fontId="1" type="noConversion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>
    <tabColor theme="5"/>
  </sheetPr>
  <dimension ref="A3:P27"/>
  <sheetViews>
    <sheetView zoomScaleNormal="100" workbookViewId="0">
      <selection activeCell="D25" sqref="D25"/>
    </sheetView>
  </sheetViews>
  <sheetFormatPr defaultRowHeight="16.899999999999999"/>
  <cols>
    <col min="1" max="1" width="12.625" customWidth="1"/>
    <col min="2" max="2" width="21.875" customWidth="1"/>
    <col min="3" max="4" width="15.875" customWidth="1"/>
    <col min="5" max="5" width="18.75" customWidth="1"/>
    <col min="6" max="6" width="15" customWidth="1"/>
    <col min="7" max="7" width="17.625" customWidth="1"/>
    <col min="8" max="8" width="16.875" customWidth="1"/>
    <col min="9" max="12" width="16.5" customWidth="1"/>
  </cols>
  <sheetData>
    <row r="3" spans="1:14">
      <c r="L3" s="9" t="s">
        <v>77</v>
      </c>
    </row>
    <row r="4" spans="1:14">
      <c r="A4" s="254" t="s">
        <v>4</v>
      </c>
      <c r="B4" s="254"/>
      <c r="C4" s="1">
        <v>26</v>
      </c>
      <c r="D4" s="1">
        <v>27</v>
      </c>
      <c r="E4" s="1">
        <v>28</v>
      </c>
      <c r="F4" s="1">
        <v>29</v>
      </c>
      <c r="G4" s="1">
        <v>30</v>
      </c>
      <c r="H4" s="1">
        <v>31</v>
      </c>
      <c r="I4" s="37">
        <v>32</v>
      </c>
      <c r="J4" s="120">
        <v>33</v>
      </c>
      <c r="K4" s="120">
        <v>34</v>
      </c>
      <c r="L4" s="201">
        <v>35</v>
      </c>
      <c r="M4" s="121" t="s">
        <v>79</v>
      </c>
    </row>
    <row r="5" spans="1:14">
      <c r="A5" s="254" t="s">
        <v>68</v>
      </c>
      <c r="B5" s="254"/>
      <c r="C5" s="199" t="s">
        <v>53</v>
      </c>
      <c r="D5" s="1" t="s">
        <v>46</v>
      </c>
      <c r="E5" s="1" t="s">
        <v>226</v>
      </c>
      <c r="F5" s="1" t="s">
        <v>46</v>
      </c>
      <c r="G5" s="1" t="s">
        <v>106</v>
      </c>
      <c r="H5" s="199" t="s">
        <v>82</v>
      </c>
      <c r="I5" s="37" t="s">
        <v>104</v>
      </c>
      <c r="J5" s="199" t="s">
        <v>226</v>
      </c>
      <c r="K5" s="120" t="s">
        <v>82</v>
      </c>
      <c r="L5" s="199" t="s">
        <v>53</v>
      </c>
      <c r="M5" s="40" t="s">
        <v>80</v>
      </c>
    </row>
    <row r="6" spans="1:14">
      <c r="A6" s="266" t="s">
        <v>93</v>
      </c>
      <c r="B6" s="37" t="s">
        <v>94</v>
      </c>
      <c r="C6" s="200">
        <f>'26년 총원가 배분'!H48</f>
        <v>44</v>
      </c>
      <c r="D6" s="117">
        <f>$C6*1.015^(D$4-$C$4)</f>
        <v>44.66</v>
      </c>
      <c r="E6" s="200">
        <f t="shared" ref="E6:L6" si="0">$C6*1.015^(E$4-$C$4)</f>
        <v>45.329899999999988</v>
      </c>
      <c r="F6" s="200">
        <f t="shared" si="0"/>
        <v>46.009848499999983</v>
      </c>
      <c r="G6" s="200">
        <f t="shared" si="0"/>
        <v>46.699996227499973</v>
      </c>
      <c r="H6" s="200">
        <f t="shared" si="0"/>
        <v>47.400496170912469</v>
      </c>
      <c r="I6" s="200">
        <f t="shared" si="0"/>
        <v>48.111503613476145</v>
      </c>
      <c r="J6" s="200">
        <f t="shared" si="0"/>
        <v>48.833176167678282</v>
      </c>
      <c r="K6" s="200">
        <f t="shared" si="0"/>
        <v>49.565673810193452</v>
      </c>
      <c r="L6" s="200">
        <f t="shared" si="0"/>
        <v>50.309158917346345</v>
      </c>
      <c r="M6" s="12"/>
    </row>
    <row r="7" spans="1:14">
      <c r="A7" s="270"/>
      <c r="B7" s="37" t="s">
        <v>95</v>
      </c>
      <c r="C7" s="200">
        <f>'26년 총원가 배분'!H49</f>
        <v>1391</v>
      </c>
      <c r="D7" s="117">
        <f>910*1.015^(D4-23)</f>
        <v>965.84083106874948</v>
      </c>
      <c r="E7" s="59">
        <f>1698*1.015^(E4-25)</f>
        <v>1775.5618807499993</v>
      </c>
      <c r="F7" s="209">
        <f>910*1.015^(F4-23)</f>
        <v>995.03337018780212</v>
      </c>
      <c r="G7" s="117">
        <f>1045*1.015^(G4-25)</f>
        <v>1125.7617840591711</v>
      </c>
      <c r="H7" s="209">
        <f>910*1.015^(H4-23)</f>
        <v>1025.1082538017281</v>
      </c>
      <c r="I7" s="209">
        <f>910*1.015^(I4-23)</f>
        <v>1040.484877608754</v>
      </c>
      <c r="J7" s="117">
        <f>1698*1.015^(J4-25)</f>
        <v>1912.784412038829</v>
      </c>
      <c r="K7" s="209">
        <f>910*1.015^(K4-23)</f>
        <v>1071.9335330344784</v>
      </c>
      <c r="L7" s="200">
        <f>C7*1.015^(L4-23)</f>
        <v>1663.1048765029927</v>
      </c>
      <c r="M7" s="12"/>
    </row>
    <row r="8" spans="1:14">
      <c r="A8" s="270"/>
      <c r="B8" s="37" t="s">
        <v>96</v>
      </c>
      <c r="C8" s="200">
        <f>'26년 총원가 배분'!H50</f>
        <v>2366</v>
      </c>
      <c r="D8" s="209">
        <f>$C8*1.015^(D$4-25)</f>
        <v>2437.5123499999995</v>
      </c>
      <c r="E8" s="225">
        <f t="shared" ref="E8:L8" si="1">$C8*1.015^(E$4-25)</f>
        <v>2474.075035249999</v>
      </c>
      <c r="F8" s="225">
        <f t="shared" si="1"/>
        <v>2511.1861607787487</v>
      </c>
      <c r="G8" s="225">
        <f t="shared" si="1"/>
        <v>2548.8539531904294</v>
      </c>
      <c r="H8" s="225">
        <f t="shared" si="1"/>
        <v>2587.0867624882853</v>
      </c>
      <c r="I8" s="225">
        <f t="shared" si="1"/>
        <v>2625.8930639256096</v>
      </c>
      <c r="J8" s="225">
        <f t="shared" si="1"/>
        <v>2665.2814598844934</v>
      </c>
      <c r="K8" s="225">
        <f t="shared" si="1"/>
        <v>2705.2606817827605</v>
      </c>
      <c r="L8" s="225">
        <f t="shared" si="1"/>
        <v>2745.8395920095013</v>
      </c>
      <c r="M8" s="12"/>
    </row>
    <row r="9" spans="1:14">
      <c r="A9" s="270"/>
      <c r="B9" s="37" t="s">
        <v>97</v>
      </c>
      <c r="C9" s="200">
        <f>'26년 총원가 배분'!H51</f>
        <v>188</v>
      </c>
      <c r="D9" s="200">
        <f>$C9*1.015^(D$4-$C$4)+800</f>
        <v>990.81999999999994</v>
      </c>
      <c r="E9" s="200">
        <f>$C9*1.015^(E$4-$C$4)+800</f>
        <v>993.68229999999994</v>
      </c>
      <c r="F9" s="200">
        <f t="shared" ref="F9:L9" si="2">$C9*1.015^(F$4-$C$4)</f>
        <v>196.58753449999992</v>
      </c>
      <c r="G9" s="200">
        <f t="shared" si="2"/>
        <v>199.53634751749991</v>
      </c>
      <c r="H9" s="200">
        <f t="shared" si="2"/>
        <v>202.52939273026237</v>
      </c>
      <c r="I9" s="200">
        <f t="shared" si="2"/>
        <v>205.56733362121625</v>
      </c>
      <c r="J9" s="200">
        <f t="shared" si="2"/>
        <v>208.65084362553446</v>
      </c>
      <c r="K9" s="200">
        <f t="shared" si="2"/>
        <v>211.78060627991746</v>
      </c>
      <c r="L9" s="200">
        <f t="shared" si="2"/>
        <v>214.95731537411621</v>
      </c>
      <c r="M9" s="12"/>
    </row>
    <row r="10" spans="1:14">
      <c r="A10" s="270"/>
      <c r="B10" s="37" t="s">
        <v>281</v>
      </c>
      <c r="C10" s="200">
        <f>'26년 총원가 배분'!H52</f>
        <v>1242</v>
      </c>
      <c r="D10" s="200">
        <f>$C10*1.015^(D$4-26)</f>
        <v>1260.6299999999999</v>
      </c>
      <c r="E10" s="200">
        <f t="shared" ref="E10:L10" si="3">$C10*1.015^(E$4-26)</f>
        <v>1279.5394499999998</v>
      </c>
      <c r="F10" s="200">
        <f t="shared" si="3"/>
        <v>1298.7325417499994</v>
      </c>
      <c r="G10" s="200">
        <f t="shared" si="3"/>
        <v>1318.2135298762494</v>
      </c>
      <c r="H10" s="200">
        <f t="shared" si="3"/>
        <v>1337.9867328243929</v>
      </c>
      <c r="I10" s="200">
        <f t="shared" si="3"/>
        <v>1358.0565338167585</v>
      </c>
      <c r="J10" s="200">
        <f t="shared" si="3"/>
        <v>1378.4273818240097</v>
      </c>
      <c r="K10" s="200">
        <f t="shared" si="3"/>
        <v>1399.1037925513697</v>
      </c>
      <c r="L10" s="200">
        <f t="shared" si="3"/>
        <v>1420.09034943964</v>
      </c>
      <c r="M10" s="12"/>
    </row>
    <row r="11" spans="1:14">
      <c r="A11" s="270"/>
      <c r="B11" s="201" t="s">
        <v>351</v>
      </c>
      <c r="C11" s="200">
        <f>'26년 총원가 배분'!H53</f>
        <v>83</v>
      </c>
      <c r="D11" s="209">
        <f>220*1.015^(D$4-$C$4)</f>
        <v>223.29999999999998</v>
      </c>
      <c r="E11" s="200">
        <f>$D11*1.015^(E$4-$C$4)</f>
        <v>230.04924249999993</v>
      </c>
      <c r="F11" s="223">
        <f t="shared" ref="F11:L12" si="4">$D11*1.015^(F$4-$C$4)</f>
        <v>233.4999811374999</v>
      </c>
      <c r="G11" s="223">
        <f t="shared" si="4"/>
        <v>237.00248085456235</v>
      </c>
      <c r="H11" s="223">
        <f t="shared" si="4"/>
        <v>240.55751806738076</v>
      </c>
      <c r="I11" s="223">
        <f t="shared" si="4"/>
        <v>244.16588083839142</v>
      </c>
      <c r="J11" s="223">
        <f t="shared" si="4"/>
        <v>247.82836905096727</v>
      </c>
      <c r="K11" s="223">
        <f t="shared" si="4"/>
        <v>251.54579458673174</v>
      </c>
      <c r="L11" s="223">
        <f t="shared" si="4"/>
        <v>255.31898150553269</v>
      </c>
      <c r="M11" s="12"/>
    </row>
    <row r="12" spans="1:14">
      <c r="A12" s="267"/>
      <c r="B12" s="201" t="s">
        <v>352</v>
      </c>
      <c r="C12" s="200">
        <f>'26년 총원가 배분'!H54</f>
        <v>11</v>
      </c>
      <c r="D12" s="209">
        <f>24*1.015^(D$4-$C$4)</f>
        <v>24.36</v>
      </c>
      <c r="E12" s="200">
        <f>$D12*1.015^(E$4-$C$4)</f>
        <v>25.096280999999994</v>
      </c>
      <c r="F12" s="223">
        <f t="shared" si="4"/>
        <v>25.47272521499999</v>
      </c>
      <c r="G12" s="223">
        <f t="shared" si="4"/>
        <v>25.854816093224986</v>
      </c>
      <c r="H12" s="223">
        <f t="shared" si="4"/>
        <v>26.242638334623358</v>
      </c>
      <c r="I12" s="223">
        <f t="shared" si="4"/>
        <v>26.6362779096427</v>
      </c>
      <c r="J12" s="223">
        <f t="shared" si="4"/>
        <v>27.035822078287339</v>
      </c>
      <c r="K12" s="223">
        <f t="shared" si="4"/>
        <v>27.441359409461647</v>
      </c>
      <c r="L12" s="223">
        <f t="shared" si="4"/>
        <v>27.852979800603567</v>
      </c>
      <c r="M12" s="12"/>
    </row>
    <row r="13" spans="1:14">
      <c r="A13" s="37" t="s">
        <v>98</v>
      </c>
      <c r="B13" s="37" t="s">
        <v>99</v>
      </c>
      <c r="C13" s="200">
        <f>'26년 총원가 배분'!H55</f>
        <v>234</v>
      </c>
      <c r="D13" s="209">
        <f t="shared" ref="D13:L13" si="5">$C13*1.015^(D$4-$C$4)</f>
        <v>237.51</v>
      </c>
      <c r="E13" s="209">
        <f t="shared" si="5"/>
        <v>241.07264999999992</v>
      </c>
      <c r="F13" s="209">
        <f t="shared" si="5"/>
        <v>244.68873974999991</v>
      </c>
      <c r="G13" s="209">
        <f t="shared" si="5"/>
        <v>248.35907084624986</v>
      </c>
      <c r="H13" s="209">
        <f t="shared" si="5"/>
        <v>252.08445690894359</v>
      </c>
      <c r="I13" s="209">
        <f t="shared" si="5"/>
        <v>255.86572376257769</v>
      </c>
      <c r="J13" s="209">
        <f t="shared" si="5"/>
        <v>259.70370961901631</v>
      </c>
      <c r="K13" s="209">
        <f t="shared" si="5"/>
        <v>263.59926526330156</v>
      </c>
      <c r="L13" s="209">
        <f t="shared" si="5"/>
        <v>267.553254242251</v>
      </c>
      <c r="M13" s="12"/>
      <c r="N13">
        <v>1600</v>
      </c>
    </row>
    <row r="14" spans="1:14">
      <c r="A14" s="268" t="s">
        <v>105</v>
      </c>
      <c r="B14" s="269"/>
      <c r="C14" s="14">
        <f t="shared" ref="C14:L14" si="6">SUM(C6:C13)</f>
        <v>5559</v>
      </c>
      <c r="D14" s="14">
        <f t="shared" si="6"/>
        <v>6184.6331810687489</v>
      </c>
      <c r="E14" s="14">
        <f t="shared" si="6"/>
        <v>7064.4067394999993</v>
      </c>
      <c r="F14" s="14">
        <f t="shared" si="6"/>
        <v>5551.2109018190495</v>
      </c>
      <c r="G14" s="14">
        <f t="shared" si="6"/>
        <v>5750.281978664887</v>
      </c>
      <c r="H14" s="14">
        <f t="shared" si="6"/>
        <v>5718.9962513265291</v>
      </c>
      <c r="I14" s="14">
        <f t="shared" si="6"/>
        <v>5804.781195096426</v>
      </c>
      <c r="J14" s="35">
        <f t="shared" si="6"/>
        <v>6748.5451742888154</v>
      </c>
      <c r="K14" s="35">
        <f t="shared" si="6"/>
        <v>5980.2307067182137</v>
      </c>
      <c r="L14" s="35">
        <f t="shared" si="6"/>
        <v>6645.0265077919839</v>
      </c>
      <c r="M14" s="12"/>
    </row>
    <row r="15" spans="1:14">
      <c r="A15" s="254" t="s">
        <v>65</v>
      </c>
      <c r="B15" s="254"/>
      <c r="C15" s="200">
        <f>'26년 총원가 배분'!H58</f>
        <v>28</v>
      </c>
      <c r="D15" s="10">
        <v>28</v>
      </c>
      <c r="E15" s="10">
        <v>28</v>
      </c>
      <c r="F15" s="10">
        <v>28</v>
      </c>
      <c r="G15" s="10">
        <v>28</v>
      </c>
      <c r="H15" s="10">
        <v>28</v>
      </c>
      <c r="I15" s="10">
        <v>28</v>
      </c>
      <c r="J15" s="10">
        <v>28</v>
      </c>
      <c r="K15" s="10">
        <v>28</v>
      </c>
      <c r="L15" s="10">
        <v>28</v>
      </c>
    </row>
    <row r="16" spans="1:14">
      <c r="A16" s="254" t="s">
        <v>66</v>
      </c>
      <c r="B16" s="254"/>
      <c r="C16" s="200">
        <f>'26년 총원가 배분'!H59</f>
        <v>0</v>
      </c>
      <c r="D16" s="10">
        <f>'26년 총원가 배분'!J59</f>
        <v>0</v>
      </c>
      <c r="E16" s="10">
        <f>'26년 총원가 배분'!K59</f>
        <v>0</v>
      </c>
      <c r="F16" s="10">
        <f>'26년 총원가 배분'!L59</f>
        <v>0</v>
      </c>
      <c r="G16" s="10">
        <f>'26년 총원가 배분'!M59</f>
        <v>0</v>
      </c>
      <c r="H16" s="10">
        <f>'26년 총원가 배분'!N59</f>
        <v>50</v>
      </c>
      <c r="I16" s="10">
        <f>'26년 총원가 배분'!O59</f>
        <v>0</v>
      </c>
      <c r="J16" s="10">
        <f>'26년 총원가 배분'!P59</f>
        <v>0</v>
      </c>
      <c r="K16" s="10">
        <f>'26년 총원가 배분'!Q59</f>
        <v>0</v>
      </c>
      <c r="L16" s="10">
        <f>'26년 총원가 배분'!R59</f>
        <v>0</v>
      </c>
    </row>
    <row r="17" spans="1:16">
      <c r="A17" s="266" t="s">
        <v>34</v>
      </c>
      <c r="B17" s="123" t="s">
        <v>60</v>
      </c>
      <c r="C17" s="200">
        <f>'26년 총원가 배분'!H60</f>
        <v>1327</v>
      </c>
      <c r="D17" s="11">
        <f>TRUNC('고온부품(26)'!G15/1000)</f>
        <v>63</v>
      </c>
      <c r="E17" s="11">
        <f>TRUNC('고온부품(26)'!H15/1000)</f>
        <v>0</v>
      </c>
      <c r="F17" s="11">
        <f>TRUNC('고온부품(26)'!I15/1000)</f>
        <v>1547</v>
      </c>
      <c r="G17" s="11">
        <f>TRUNC('고온부품(26)'!J15/1000)</f>
        <v>0</v>
      </c>
      <c r="H17" s="11">
        <f>TRUNC('고온부품(26)'!K15/1000)</f>
        <v>812</v>
      </c>
      <c r="I17" s="11">
        <f>TRUNC('고온부품(26)'!L15/1000)</f>
        <v>0</v>
      </c>
      <c r="J17" s="11">
        <f>TRUNC('고온부품(26)'!M15/1000)</f>
        <v>0</v>
      </c>
      <c r="K17" s="11">
        <f>TRUNC('고온부품(26)'!N15/1000)</f>
        <v>0</v>
      </c>
      <c r="L17" s="11">
        <f>TRUNC('고온부품(26)'!O15/1000)</f>
        <v>0</v>
      </c>
    </row>
    <row r="18" spans="1:16">
      <c r="A18" s="267"/>
      <c r="B18" s="1" t="s">
        <v>64</v>
      </c>
      <c r="C18" s="200">
        <f>'26년 총원가 배분'!H61</f>
        <v>7345</v>
      </c>
      <c r="D18" s="10">
        <f>684*1.015^(D4-23)</f>
        <v>725.97266862749962</v>
      </c>
      <c r="E18" s="10">
        <f>955*(1.015^(E4-22))</f>
        <v>1044.2383170652208</v>
      </c>
      <c r="F18" s="10">
        <f t="shared" ref="F18:L18" si="7">684*1.015^(F4-23)</f>
        <v>747.91519253676552</v>
      </c>
      <c r="G18" s="10">
        <f>956*1.015^(G4-22)</f>
        <v>1076.9269127851123</v>
      </c>
      <c r="H18" s="10">
        <f t="shared" si="7"/>
        <v>770.52092923118914</v>
      </c>
      <c r="I18" s="10">
        <f t="shared" si="7"/>
        <v>782.07874316965683</v>
      </c>
      <c r="J18" s="10">
        <f t="shared" si="7"/>
        <v>793.80992431720165</v>
      </c>
      <c r="K18" s="10">
        <f t="shared" si="7"/>
        <v>805.71707318195956</v>
      </c>
      <c r="L18" s="10">
        <f t="shared" si="7"/>
        <v>817.80282927968881</v>
      </c>
    </row>
    <row r="19" spans="1:16">
      <c r="A19" s="37" t="s">
        <v>102</v>
      </c>
      <c r="B19" s="37" t="s">
        <v>103</v>
      </c>
      <c r="C19" s="200">
        <f>'26년 총원가 배분'!H62</f>
        <v>0</v>
      </c>
      <c r="D19" s="10">
        <v>0</v>
      </c>
      <c r="E19" s="10">
        <v>0</v>
      </c>
      <c r="F19" s="10">
        <v>0</v>
      </c>
      <c r="G19" s="10">
        <f>3449*1.015^(30-22)</f>
        <v>3885.2729311672092</v>
      </c>
      <c r="H19" s="10">
        <v>0</v>
      </c>
      <c r="I19" s="10">
        <v>0</v>
      </c>
      <c r="J19" s="10">
        <v>0</v>
      </c>
      <c r="K19" s="10"/>
      <c r="L19" s="10"/>
    </row>
    <row r="20" spans="1:16">
      <c r="A20" s="254" t="s">
        <v>63</v>
      </c>
      <c r="B20" s="254"/>
      <c r="C20" s="200">
        <f>'26년 총원가 배분'!H63</f>
        <v>26</v>
      </c>
      <c r="D20" s="10">
        <v>11.850124042728117</v>
      </c>
      <c r="E20" s="10">
        <v>60.599668695894465</v>
      </c>
      <c r="F20" s="10">
        <v>12.20829404191957</v>
      </c>
      <c r="G20" s="10">
        <v>12.391418452548363</v>
      </c>
      <c r="H20" s="10">
        <v>12.577289729336586</v>
      </c>
      <c r="I20" s="10">
        <v>13</v>
      </c>
      <c r="J20" s="6">
        <v>13</v>
      </c>
      <c r="K20" s="6">
        <v>13</v>
      </c>
      <c r="L20" s="6">
        <v>13</v>
      </c>
    </row>
    <row r="21" spans="1:16">
      <c r="A21" s="254" t="s">
        <v>61</v>
      </c>
      <c r="B21" s="123" t="s">
        <v>38</v>
      </c>
      <c r="C21" s="200">
        <f>'26년 총원가 배분'!H64</f>
        <v>0</v>
      </c>
      <c r="D21" s="11">
        <f>TRUNC('고온부품(26)'!G16/1000)</f>
        <v>8182</v>
      </c>
      <c r="E21" s="11">
        <f>TRUNC('고온부품(26)'!H16/1000)</f>
        <v>175</v>
      </c>
      <c r="F21" s="11">
        <f>TRUNC('고온부품(26)'!I16/1000)</f>
        <v>0</v>
      </c>
      <c r="G21" s="11">
        <f>TRUNC('고온부품(26)'!J16/1000)</f>
        <v>13568</v>
      </c>
      <c r="H21" s="11">
        <f>TRUNC('고온부품(26)'!K16/1000)</f>
        <v>0</v>
      </c>
      <c r="I21" s="11">
        <f>TRUNC('고온부품(26)'!L16/1000)</f>
        <v>0</v>
      </c>
      <c r="J21" s="11">
        <f>TRUNC('고온부품(26)'!M16/1000)</f>
        <v>5221</v>
      </c>
      <c r="K21" s="11">
        <f>TRUNC('고온부품(26)'!N16/1000)</f>
        <v>0</v>
      </c>
      <c r="L21" s="11">
        <f>TRUNC('고온부품(26)'!O16/1000)</f>
        <v>3412</v>
      </c>
    </row>
    <row r="22" spans="1:16">
      <c r="A22" s="254"/>
      <c r="B22" s="1" t="s">
        <v>39</v>
      </c>
      <c r="C22" s="200">
        <f>'26년 총원가 배분'!H65</f>
        <v>824</v>
      </c>
      <c r="D22" s="10">
        <f>142*1.015^(D4-20)</f>
        <v>157.59797763205265</v>
      </c>
      <c r="E22" s="10">
        <f>214*1.015^(E4-19)</f>
        <v>244.68545473436632</v>
      </c>
      <c r="F22" s="10">
        <f>142*1.015^(F4-20)</f>
        <v>162.36137650598138</v>
      </c>
      <c r="G22" s="10">
        <f>142*1.015^(G4-20)</f>
        <v>164.79679715357111</v>
      </c>
      <c r="H22" s="10">
        <f>142*1.015^(H4-20)</f>
        <v>167.26874911087464</v>
      </c>
      <c r="I22" s="10">
        <f>142*1.015^(I4-20)</f>
        <v>169.77778034753771</v>
      </c>
      <c r="J22" s="6">
        <v>170</v>
      </c>
      <c r="K22" s="6">
        <v>170</v>
      </c>
      <c r="L22" s="6">
        <v>170</v>
      </c>
    </row>
    <row r="23" spans="1:16">
      <c r="A23" s="8" t="s">
        <v>67</v>
      </c>
      <c r="B23" s="8" t="s">
        <v>37</v>
      </c>
      <c r="C23" s="200">
        <f>'26년 총원가 배분'!H66</f>
        <v>398</v>
      </c>
      <c r="D23" s="10">
        <v>13</v>
      </c>
      <c r="E23" s="10">
        <f>114*1.015^(E4-22)</f>
        <v>124.65253208946092</v>
      </c>
      <c r="F23" s="10">
        <v>13</v>
      </c>
      <c r="G23" s="10">
        <v>13</v>
      </c>
      <c r="H23" s="10">
        <f>114*1.015^(H4-22)</f>
        <v>130.34645719494281</v>
      </c>
      <c r="I23" s="10">
        <v>13</v>
      </c>
      <c r="J23" s="41">
        <v>13</v>
      </c>
      <c r="K23" s="41">
        <v>13</v>
      </c>
      <c r="L23" s="41">
        <v>13</v>
      </c>
    </row>
    <row r="24" spans="1:16">
      <c r="A24" s="257" t="s">
        <v>78</v>
      </c>
      <c r="B24" s="257"/>
      <c r="C24" s="14">
        <f t="shared" ref="C24:H24" si="8">SUM(C15:C23)</f>
        <v>9948</v>
      </c>
      <c r="D24" s="14">
        <f t="shared" si="8"/>
        <v>9181.4207703022803</v>
      </c>
      <c r="E24" s="14">
        <f t="shared" si="8"/>
        <v>1677.1759725849427</v>
      </c>
      <c r="F24" s="14">
        <f t="shared" si="8"/>
        <v>2510.4848630846664</v>
      </c>
      <c r="G24" s="14">
        <f t="shared" si="8"/>
        <v>18748.388059558441</v>
      </c>
      <c r="H24" s="14">
        <f t="shared" si="8"/>
        <v>1970.7134252663434</v>
      </c>
      <c r="I24" s="14">
        <f t="shared" ref="I24" si="9">SUM(I15:I23)</f>
        <v>1005.8565235171945</v>
      </c>
      <c r="J24" s="14">
        <f>SUM(J15:J23)</f>
        <v>6238.8099243172019</v>
      </c>
      <c r="K24" s="14">
        <f t="shared" ref="K24:L24" si="10">SUM(K15:K23)</f>
        <v>1029.7170731819597</v>
      </c>
      <c r="L24" s="14">
        <f t="shared" si="10"/>
        <v>4453.8028292796889</v>
      </c>
      <c r="M24" s="242"/>
      <c r="N24" s="7"/>
      <c r="O24" s="7"/>
      <c r="P24" s="7"/>
    </row>
    <row r="25" spans="1:16">
      <c r="A25" s="222" t="s">
        <v>282</v>
      </c>
      <c r="B25" s="222" t="s">
        <v>354</v>
      </c>
      <c r="C25" s="223">
        <f>'26년 총원가 배분'!H67</f>
        <v>0</v>
      </c>
      <c r="D25" s="223">
        <f>투자비!F65*1.015</f>
        <v>140.07</v>
      </c>
      <c r="E25" s="236">
        <f>D$25*1.015^(E$4-D$4)</f>
        <v>142.17104999999998</v>
      </c>
      <c r="F25" s="236">
        <f t="shared" ref="F25:L25" si="11">E$25*1.015^(F$4-E$4)</f>
        <v>144.30361574999998</v>
      </c>
      <c r="G25" s="236">
        <f t="shared" si="11"/>
        <v>146.46816998624996</v>
      </c>
      <c r="H25" s="236">
        <f t="shared" si="11"/>
        <v>148.66519253604369</v>
      </c>
      <c r="I25" s="236">
        <f t="shared" si="11"/>
        <v>150.89517042408434</v>
      </c>
      <c r="J25" s="236">
        <f t="shared" si="11"/>
        <v>153.15859798044559</v>
      </c>
      <c r="K25" s="236">
        <f t="shared" si="11"/>
        <v>155.45597695015226</v>
      </c>
      <c r="L25" s="236">
        <f t="shared" si="11"/>
        <v>157.78781660440453</v>
      </c>
    </row>
    <row r="26" spans="1:1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>
      <c r="A27" s="3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</sheetData>
  <mergeCells count="10">
    <mergeCell ref="A21:A22"/>
    <mergeCell ref="A24:B24"/>
    <mergeCell ref="A4:B4"/>
    <mergeCell ref="A5:B5"/>
    <mergeCell ref="A15:B15"/>
    <mergeCell ref="A16:B16"/>
    <mergeCell ref="A20:B20"/>
    <mergeCell ref="A14:B14"/>
    <mergeCell ref="A17:A18"/>
    <mergeCell ref="A6:A12"/>
  </mergeCells>
  <phoneticPr fontId="1" type="noConversion"/>
  <pageMargins left="0.7" right="0.7" top="0.75" bottom="0.75" header="0.3" footer="0.3"/>
  <ignoredErrors>
    <ignoredError sqref="E10" formula="1"/>
  </ignoredErrors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5"/>
  </sheetPr>
  <dimension ref="A3:P26"/>
  <sheetViews>
    <sheetView zoomScale="85" zoomScaleNormal="85" workbookViewId="0">
      <selection activeCell="D25" sqref="D25"/>
    </sheetView>
  </sheetViews>
  <sheetFormatPr defaultRowHeight="16.899999999999999"/>
  <cols>
    <col min="1" max="1" width="12.625" customWidth="1"/>
    <col min="2" max="2" width="21.875" customWidth="1"/>
    <col min="3" max="4" width="15.875" customWidth="1"/>
    <col min="5" max="5" width="18.75" customWidth="1"/>
    <col min="6" max="6" width="15" customWidth="1"/>
    <col min="7" max="7" width="17.625" customWidth="1"/>
    <col min="8" max="8" width="16.875" customWidth="1"/>
    <col min="9" max="12" width="16.5" customWidth="1"/>
  </cols>
  <sheetData>
    <row r="3" spans="1:13">
      <c r="L3" s="9" t="s">
        <v>77</v>
      </c>
    </row>
    <row r="4" spans="1:13">
      <c r="A4" s="254" t="s">
        <v>6</v>
      </c>
      <c r="B4" s="254"/>
      <c r="C4" s="116">
        <v>26</v>
      </c>
      <c r="D4" s="116">
        <v>27</v>
      </c>
      <c r="E4" s="116">
        <v>28</v>
      </c>
      <c r="F4" s="116">
        <v>29</v>
      </c>
      <c r="G4" s="116">
        <v>30</v>
      </c>
      <c r="H4" s="116">
        <v>31</v>
      </c>
      <c r="I4" s="116">
        <v>32</v>
      </c>
      <c r="J4" s="120">
        <v>33</v>
      </c>
      <c r="K4" s="120">
        <v>34</v>
      </c>
      <c r="L4" s="201">
        <v>35</v>
      </c>
      <c r="M4" s="121" t="s">
        <v>368</v>
      </c>
    </row>
    <row r="5" spans="1:13">
      <c r="A5" s="254" t="s">
        <v>68</v>
      </c>
      <c r="B5" s="254"/>
      <c r="C5" s="116" t="s">
        <v>46</v>
      </c>
      <c r="D5" s="116" t="s">
        <v>46</v>
      </c>
      <c r="E5" s="44" t="s">
        <v>104</v>
      </c>
      <c r="F5" s="116" t="s">
        <v>46</v>
      </c>
      <c r="G5" s="44" t="s">
        <v>107</v>
      </c>
      <c r="H5" s="116" t="s">
        <v>46</v>
      </c>
      <c r="I5" s="116" t="s">
        <v>104</v>
      </c>
      <c r="J5" s="120" t="s">
        <v>144</v>
      </c>
      <c r="K5" s="120" t="s">
        <v>82</v>
      </c>
      <c r="L5" s="201" t="s">
        <v>106</v>
      </c>
      <c r="M5" s="40" t="s">
        <v>80</v>
      </c>
    </row>
    <row r="6" spans="1:13">
      <c r="A6" s="266" t="s">
        <v>93</v>
      </c>
      <c r="B6" s="116" t="s">
        <v>94</v>
      </c>
      <c r="C6" s="200">
        <f>'26년 총원가 배분'!I48</f>
        <v>306</v>
      </c>
      <c r="D6" s="200">
        <f>$C6*1.015^(D$4-$C$4)</f>
        <v>310.58999999999997</v>
      </c>
      <c r="E6" s="200">
        <f t="shared" ref="E6:L6" si="0">$C6*1.015^(E$4-$C$4)</f>
        <v>315.24884999999989</v>
      </c>
      <c r="F6" s="200">
        <f t="shared" si="0"/>
        <v>319.9775827499999</v>
      </c>
      <c r="G6" s="200">
        <f t="shared" si="0"/>
        <v>324.7772464912498</v>
      </c>
      <c r="H6" s="200">
        <f t="shared" si="0"/>
        <v>329.64890518861853</v>
      </c>
      <c r="I6" s="200">
        <f t="shared" si="0"/>
        <v>334.59363876644773</v>
      </c>
      <c r="J6" s="200">
        <f t="shared" si="0"/>
        <v>339.61254334794438</v>
      </c>
      <c r="K6" s="200">
        <f t="shared" si="0"/>
        <v>344.70673149816355</v>
      </c>
      <c r="L6" s="200">
        <f t="shared" si="0"/>
        <v>349.87733247063596</v>
      </c>
      <c r="M6" s="12"/>
    </row>
    <row r="7" spans="1:13">
      <c r="A7" s="270"/>
      <c r="B7" s="116" t="s">
        <v>95</v>
      </c>
      <c r="C7" s="50">
        <f>'26년 총원가 배분'!I49</f>
        <v>706</v>
      </c>
      <c r="D7" s="117">
        <f>827*1.015^(D4-24)</f>
        <v>864.77601612499973</v>
      </c>
      <c r="E7" s="209">
        <f>827*1.015^(E4-24)</f>
        <v>877.74765636687448</v>
      </c>
      <c r="F7" s="209">
        <f>827*1.015^(F4-24)</f>
        <v>890.91387121237756</v>
      </c>
      <c r="G7" s="117">
        <f>1609*1.015^(G4-22)</f>
        <v>1812.5265718318469</v>
      </c>
      <c r="H7" s="209">
        <f>827*1.015^(H4-24)</f>
        <v>917.8417429697713</v>
      </c>
      <c r="I7" s="209">
        <f>827*1.015^(I4-24)</f>
        <v>931.60936911431781</v>
      </c>
      <c r="J7" s="209">
        <f>827*1.015^(J4-24)</f>
        <v>945.5835096510325</v>
      </c>
      <c r="K7" s="209">
        <f>827*1.015^(K4-24)</f>
        <v>959.76726229579788</v>
      </c>
      <c r="L7" s="209">
        <f>1045*1.015^(L4-25)</f>
        <v>1212.7651621512803</v>
      </c>
      <c r="M7" s="12"/>
    </row>
    <row r="8" spans="1:13">
      <c r="A8" s="270"/>
      <c r="B8" s="116" t="s">
        <v>96</v>
      </c>
      <c r="C8" s="200">
        <f>'26년 총원가 배분'!I50</f>
        <v>2456</v>
      </c>
      <c r="D8" s="209">
        <f>$C8*1.015^(D$4-25)</f>
        <v>2530.2325999999994</v>
      </c>
      <c r="E8" s="225">
        <f t="shared" ref="E8:L8" si="1">$C8*1.015^(E$4-25)</f>
        <v>2568.1860889999989</v>
      </c>
      <c r="F8" s="225">
        <f t="shared" si="1"/>
        <v>2606.7088803349984</v>
      </c>
      <c r="G8" s="225">
        <f t="shared" si="1"/>
        <v>2645.8095135400231</v>
      </c>
      <c r="H8" s="225">
        <f t="shared" si="1"/>
        <v>2685.4966562431232</v>
      </c>
      <c r="I8" s="225">
        <f t="shared" si="1"/>
        <v>2725.7791060867694</v>
      </c>
      <c r="J8" s="225">
        <f t="shared" si="1"/>
        <v>2766.6657926780708</v>
      </c>
      <c r="K8" s="225">
        <f t="shared" si="1"/>
        <v>2808.1657795682413</v>
      </c>
      <c r="L8" s="225">
        <f t="shared" si="1"/>
        <v>2850.2882662617649</v>
      </c>
      <c r="M8" s="12"/>
    </row>
    <row r="9" spans="1:13">
      <c r="A9" s="270"/>
      <c r="B9" s="116" t="s">
        <v>97</v>
      </c>
      <c r="C9" s="200">
        <f>'26년 총원가 배분'!I51</f>
        <v>188</v>
      </c>
      <c r="D9" s="200">
        <f>$C9*1.015^(D$4-$C$4)</f>
        <v>190.82</v>
      </c>
      <c r="E9" s="200">
        <f t="shared" ref="E9:L9" si="2">$C9*1.015^(E$4-$C$4)</f>
        <v>193.68229999999994</v>
      </c>
      <c r="F9" s="200">
        <f t="shared" si="2"/>
        <v>196.58753449999992</v>
      </c>
      <c r="G9" s="200">
        <f t="shared" si="2"/>
        <v>199.53634751749991</v>
      </c>
      <c r="H9" s="200">
        <f t="shared" si="2"/>
        <v>202.52939273026237</v>
      </c>
      <c r="I9" s="200">
        <f t="shared" si="2"/>
        <v>205.56733362121625</v>
      </c>
      <c r="J9" s="200">
        <f t="shared" si="2"/>
        <v>208.65084362553446</v>
      </c>
      <c r="K9" s="200">
        <f t="shared" si="2"/>
        <v>211.78060627991746</v>
      </c>
      <c r="L9" s="200">
        <f t="shared" si="2"/>
        <v>214.95731537411621</v>
      </c>
      <c r="M9" s="12"/>
    </row>
    <row r="10" spans="1:13">
      <c r="A10" s="270"/>
      <c r="B10" s="116" t="s">
        <v>281</v>
      </c>
      <c r="C10" s="200">
        <f>'26년 총원가 배분'!I52</f>
        <v>469</v>
      </c>
      <c r="D10" s="200">
        <f>$C10*1.015^(D$4-26)</f>
        <v>476.03499999999997</v>
      </c>
      <c r="E10" s="200">
        <f t="shared" ref="E10:L10" si="3">$C10*1.015^(E$4-26)</f>
        <v>483.17552499999988</v>
      </c>
      <c r="F10" s="200">
        <f t="shared" si="3"/>
        <v>490.42315787499979</v>
      </c>
      <c r="G10" s="200">
        <f t="shared" si="3"/>
        <v>497.77950524312473</v>
      </c>
      <c r="H10" s="200">
        <f t="shared" si="3"/>
        <v>505.24619782177155</v>
      </c>
      <c r="I10" s="200">
        <f t="shared" si="3"/>
        <v>512.82489078909805</v>
      </c>
      <c r="J10" s="200">
        <f t="shared" si="3"/>
        <v>520.51726415093435</v>
      </c>
      <c r="K10" s="200">
        <f t="shared" si="3"/>
        <v>528.32502311319843</v>
      </c>
      <c r="L10" s="200">
        <f t="shared" si="3"/>
        <v>536.24989845989626</v>
      </c>
      <c r="M10" s="12"/>
    </row>
    <row r="11" spans="1:13">
      <c r="A11" s="270"/>
      <c r="B11" s="201" t="s">
        <v>351</v>
      </c>
      <c r="C11" s="200">
        <f>'26년 총원가 배분'!I53</f>
        <v>86</v>
      </c>
      <c r="D11" s="209">
        <f>229*1.015^(D$4-$C$4)</f>
        <v>232.43499999999997</v>
      </c>
      <c r="E11" s="200">
        <f>$D11*1.015^(E$4-$C$4)</f>
        <v>239.46034787499991</v>
      </c>
      <c r="F11" s="223">
        <f t="shared" ref="F11:L12" si="4">$D11*1.015^(F$4-$C$4)</f>
        <v>243.05225309312488</v>
      </c>
      <c r="G11" s="223">
        <f t="shared" si="4"/>
        <v>246.69803688952172</v>
      </c>
      <c r="H11" s="223">
        <f t="shared" si="4"/>
        <v>250.39850744286451</v>
      </c>
      <c r="I11" s="223">
        <f t="shared" si="4"/>
        <v>254.15448505450743</v>
      </c>
      <c r="J11" s="223">
        <f t="shared" si="4"/>
        <v>257.96680233032498</v>
      </c>
      <c r="K11" s="223">
        <f t="shared" si="4"/>
        <v>261.83630436527983</v>
      </c>
      <c r="L11" s="223">
        <f t="shared" si="4"/>
        <v>265.76384893075902</v>
      </c>
      <c r="M11" s="12"/>
    </row>
    <row r="12" spans="1:13">
      <c r="A12" s="267"/>
      <c r="B12" s="201" t="s">
        <v>352</v>
      </c>
      <c r="C12" s="200">
        <f>'26년 총원가 배분'!I54</f>
        <v>11</v>
      </c>
      <c r="D12" s="209">
        <f>25*1.015^(D$4-$C$4)</f>
        <v>25.374999999999996</v>
      </c>
      <c r="E12" s="200">
        <f>$D12*1.015^(E$4-$C$4)</f>
        <v>26.141959374999988</v>
      </c>
      <c r="F12" s="223">
        <f t="shared" si="4"/>
        <v>26.534088765624986</v>
      </c>
      <c r="G12" s="223">
        <f t="shared" si="4"/>
        <v>26.932100097109355</v>
      </c>
      <c r="H12" s="223">
        <f t="shared" si="4"/>
        <v>27.336081598565993</v>
      </c>
      <c r="I12" s="223">
        <f t="shared" si="4"/>
        <v>27.746122822544478</v>
      </c>
      <c r="J12" s="223">
        <f t="shared" si="4"/>
        <v>28.16231466488264</v>
      </c>
      <c r="K12" s="223">
        <f t="shared" si="4"/>
        <v>28.584749384855879</v>
      </c>
      <c r="L12" s="223">
        <f t="shared" si="4"/>
        <v>29.013520625628711</v>
      </c>
      <c r="M12" s="12"/>
    </row>
    <row r="13" spans="1:13">
      <c r="A13" s="116" t="s">
        <v>98</v>
      </c>
      <c r="B13" s="116" t="s">
        <v>99</v>
      </c>
      <c r="C13" s="200">
        <f>'26년 총원가 배분'!I55</f>
        <v>214</v>
      </c>
      <c r="D13" s="209">
        <f t="shared" ref="D13:L13" si="5">$C13*1.015^(D$4-$C$4)</f>
        <v>217.20999999999998</v>
      </c>
      <c r="E13" s="209">
        <f t="shared" si="5"/>
        <v>220.46814999999995</v>
      </c>
      <c r="F13" s="209">
        <f t="shared" si="5"/>
        <v>223.77517224999991</v>
      </c>
      <c r="G13" s="209">
        <f t="shared" si="5"/>
        <v>227.13179983374988</v>
      </c>
      <c r="H13" s="209">
        <f t="shared" si="5"/>
        <v>230.53877683125609</v>
      </c>
      <c r="I13" s="209">
        <f t="shared" si="5"/>
        <v>233.99685848372491</v>
      </c>
      <c r="J13" s="209">
        <f t="shared" si="5"/>
        <v>237.50681136098072</v>
      </c>
      <c r="K13" s="209">
        <f t="shared" si="5"/>
        <v>241.06941353139541</v>
      </c>
      <c r="L13" s="209">
        <f t="shared" si="5"/>
        <v>244.68545473436632</v>
      </c>
      <c r="M13" s="12"/>
    </row>
    <row r="14" spans="1:13">
      <c r="A14" s="254" t="s">
        <v>105</v>
      </c>
      <c r="B14" s="254"/>
      <c r="C14" s="117">
        <f t="shared" ref="C14:L14" si="6">SUM(C6:C13)</f>
        <v>4436</v>
      </c>
      <c r="D14" s="117">
        <f t="shared" si="6"/>
        <v>4847.4736161250003</v>
      </c>
      <c r="E14" s="117">
        <f t="shared" si="6"/>
        <v>4924.1108776168721</v>
      </c>
      <c r="F14" s="117">
        <f t="shared" si="6"/>
        <v>4997.9725407811247</v>
      </c>
      <c r="G14" s="117">
        <f t="shared" si="6"/>
        <v>5981.1911214441261</v>
      </c>
      <c r="H14" s="117">
        <f t="shared" si="6"/>
        <v>5149.036260826234</v>
      </c>
      <c r="I14" s="117">
        <f t="shared" si="6"/>
        <v>5226.2718047386279</v>
      </c>
      <c r="J14" s="35">
        <f t="shared" si="6"/>
        <v>5304.6658818097048</v>
      </c>
      <c r="K14" s="35">
        <f t="shared" si="6"/>
        <v>5384.2358700368495</v>
      </c>
      <c r="L14" s="35">
        <f t="shared" si="6"/>
        <v>5703.6007990084481</v>
      </c>
      <c r="M14" s="12"/>
    </row>
    <row r="15" spans="1:13">
      <c r="A15" s="254" t="s">
        <v>65</v>
      </c>
      <c r="B15" s="254"/>
      <c r="C15" s="200">
        <f>'26년 총원가 배분'!I58</f>
        <v>6</v>
      </c>
      <c r="D15" s="10">
        <f t="shared" ref="D15:L15" si="7">C15</f>
        <v>6</v>
      </c>
      <c r="E15" s="10">
        <f t="shared" si="7"/>
        <v>6</v>
      </c>
      <c r="F15" s="10">
        <f t="shared" si="7"/>
        <v>6</v>
      </c>
      <c r="G15" s="10">
        <f t="shared" si="7"/>
        <v>6</v>
      </c>
      <c r="H15" s="10">
        <f t="shared" si="7"/>
        <v>6</v>
      </c>
      <c r="I15" s="10">
        <f t="shared" si="7"/>
        <v>6</v>
      </c>
      <c r="J15" s="10">
        <f t="shared" si="7"/>
        <v>6</v>
      </c>
      <c r="K15" s="10">
        <f t="shared" si="7"/>
        <v>6</v>
      </c>
      <c r="L15" s="10">
        <f t="shared" si="7"/>
        <v>6</v>
      </c>
    </row>
    <row r="16" spans="1:13">
      <c r="A16" s="254" t="s">
        <v>66</v>
      </c>
      <c r="B16" s="254"/>
      <c r="C16" s="200">
        <f>'26년 총원가 배분'!I59</f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6">
        <v>0</v>
      </c>
      <c r="K16" s="6"/>
      <c r="L16" s="6"/>
    </row>
    <row r="17" spans="1:16">
      <c r="A17" s="254" t="s">
        <v>34</v>
      </c>
      <c r="B17" s="123" t="s">
        <v>60</v>
      </c>
      <c r="C17" s="200">
        <f>'26년 총원가 배분'!I60</f>
        <v>0</v>
      </c>
      <c r="D17" s="11">
        <f>TRUNC('고온부품(26)'!G17/1000)</f>
        <v>0</v>
      </c>
      <c r="E17" s="11">
        <f>TRUNC('고온부품(26)'!H17/1000)</f>
        <v>0</v>
      </c>
      <c r="F17" s="11">
        <f>TRUNC('고온부품(26)'!I17/1000)</f>
        <v>0</v>
      </c>
      <c r="G17" s="11">
        <f>TRUNC('고온부품(26)'!J17/1000)</f>
        <v>0</v>
      </c>
      <c r="H17" s="11">
        <f>TRUNC('고온부품(26)'!K17/1000)</f>
        <v>2011</v>
      </c>
      <c r="I17" s="11">
        <f>TRUNC('고온부품(26)'!L17/1000)</f>
        <v>0</v>
      </c>
      <c r="J17" s="11">
        <f>TRUNC('고온부품(26)'!M17/1000)</f>
        <v>0</v>
      </c>
      <c r="K17" s="11">
        <f>TRUNC('고온부품(26)'!N17/1000)</f>
        <v>0</v>
      </c>
      <c r="L17" s="11">
        <f>TRUNC('고온부품(26)'!O17/1000)</f>
        <v>0</v>
      </c>
    </row>
    <row r="18" spans="1:16">
      <c r="A18" s="254"/>
      <c r="B18" s="116" t="s">
        <v>64</v>
      </c>
      <c r="C18" s="200">
        <f>'26년 총원가 배분'!I61</f>
        <v>3678</v>
      </c>
      <c r="D18" s="10">
        <f>1112+1000</f>
        <v>2112</v>
      </c>
      <c r="E18" s="10">
        <f>1112*1.015^(E4-24)</f>
        <v>1180.2362682949993</v>
      </c>
      <c r="F18" s="10">
        <f>1112*1.015^(F4-24)</f>
        <v>1197.9398123194242</v>
      </c>
      <c r="G18" s="10">
        <f>1443*1.015^(G4-22)</f>
        <v>1625.5288024570261</v>
      </c>
      <c r="H18" s="10">
        <f>1112*1.015^(H4-24)</f>
        <v>1234.1475431467784</v>
      </c>
      <c r="I18" s="10">
        <f>1112*1.015^(I4-24)</f>
        <v>1252.6597562939799</v>
      </c>
      <c r="J18" s="10">
        <f>1112*1.015^(J4-24)</f>
        <v>1271.4496526383896</v>
      </c>
      <c r="K18" s="10">
        <f>1112*1.015^(K4-24)</f>
        <v>1290.5213974279652</v>
      </c>
      <c r="L18" s="10">
        <f>1718*1.015^(L4-25)</f>
        <v>1993.8091373932052</v>
      </c>
    </row>
    <row r="19" spans="1:16">
      <c r="A19" s="116" t="s">
        <v>102</v>
      </c>
      <c r="B19" s="116" t="s">
        <v>103</v>
      </c>
      <c r="C19" s="200">
        <f>'26년 총원가 배분'!I62</f>
        <v>690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f>3591*1.015^(35-25)</f>
        <v>4167.5021026653085</v>
      </c>
    </row>
    <row r="20" spans="1:16">
      <c r="A20" s="254" t="s">
        <v>63</v>
      </c>
      <c r="B20" s="254"/>
      <c r="C20" s="200">
        <f>'26년 총원가 배분'!I63</f>
        <v>4</v>
      </c>
      <c r="D20" s="10">
        <f>32*1.015^(D4-22)</f>
        <v>34.473088124299977</v>
      </c>
      <c r="E20" s="10">
        <f>32*1.015^(E4-22)</f>
        <v>34.99018444616447</v>
      </c>
      <c r="F20" s="10">
        <f>32*1.015^(F4-22)</f>
        <v>35.515037212856932</v>
      </c>
      <c r="G20" s="10">
        <f>70*1.015^(G4-22)</f>
        <v>78.854481061671393</v>
      </c>
      <c r="H20" s="10">
        <f>32*1.015^(H4-22)</f>
        <v>36.588479212615525</v>
      </c>
      <c r="I20" s="10">
        <f>32*1.015^(I4-22)</f>
        <v>37.137306400804754</v>
      </c>
      <c r="J20" s="10">
        <v>37</v>
      </c>
      <c r="K20" s="10">
        <v>37</v>
      </c>
      <c r="L20" s="10">
        <v>37</v>
      </c>
    </row>
    <row r="21" spans="1:16">
      <c r="A21" s="254" t="s">
        <v>61</v>
      </c>
      <c r="B21" s="123" t="s">
        <v>38</v>
      </c>
      <c r="C21" s="200">
        <f>'26년 총원가 배분'!I64</f>
        <v>500</v>
      </c>
      <c r="D21" s="11">
        <f>TRUNC('고온부품(26)'!G18/1000)</f>
        <v>591</v>
      </c>
      <c r="E21" s="11">
        <f>TRUNC('고온부품(26)'!H18/1000)</f>
        <v>0</v>
      </c>
      <c r="F21" s="11">
        <f>TRUNC('고온부품(26)'!I18/1000)</f>
        <v>0</v>
      </c>
      <c r="G21" s="11">
        <f>TRUNC('고온부품(26)'!J18/1000)</f>
        <v>0</v>
      </c>
      <c r="H21" s="11">
        <f>TRUNC('고온부품(26)'!K18/1000)</f>
        <v>0</v>
      </c>
      <c r="I21" s="11">
        <f>TRUNC('고온부품(26)'!L18/1000)</f>
        <v>0</v>
      </c>
      <c r="J21" s="11">
        <f>TRUNC('고온부품(26)'!M18/1000)</f>
        <v>0</v>
      </c>
      <c r="K21" s="11">
        <f>TRUNC('고온부품(26)'!N18/1000)</f>
        <v>0</v>
      </c>
      <c r="L21" s="11">
        <f>TRUNC('고온부품(26)'!O18/1000)</f>
        <v>0</v>
      </c>
    </row>
    <row r="22" spans="1:16">
      <c r="A22" s="254"/>
      <c r="B22" s="116" t="s">
        <v>39</v>
      </c>
      <c r="C22" s="200">
        <f>'26년 총원가 배분'!I65</f>
        <v>535</v>
      </c>
      <c r="D22" s="10">
        <v>180</v>
      </c>
      <c r="E22" s="10">
        <v>180</v>
      </c>
      <c r="F22" s="10">
        <v>180</v>
      </c>
      <c r="G22" s="10">
        <v>180</v>
      </c>
      <c r="H22" s="10">
        <v>180</v>
      </c>
      <c r="I22" s="10">
        <v>180</v>
      </c>
      <c r="J22" s="10">
        <v>180</v>
      </c>
      <c r="K22" s="10">
        <v>180</v>
      </c>
      <c r="L22" s="10">
        <v>180</v>
      </c>
    </row>
    <row r="23" spans="1:16">
      <c r="A23" s="120" t="s">
        <v>67</v>
      </c>
      <c r="B23" s="120" t="s">
        <v>37</v>
      </c>
      <c r="C23" s="200">
        <f>'26년 총원가 배분'!I66</f>
        <v>175</v>
      </c>
      <c r="D23" s="10">
        <v>54</v>
      </c>
      <c r="E23" s="10">
        <v>54</v>
      </c>
      <c r="F23" s="10">
        <v>54</v>
      </c>
      <c r="G23" s="10">
        <v>144</v>
      </c>
      <c r="H23" s="10">
        <v>54</v>
      </c>
      <c r="I23" s="10">
        <v>54</v>
      </c>
      <c r="J23" s="41">
        <v>54</v>
      </c>
      <c r="K23" s="41">
        <v>54</v>
      </c>
      <c r="L23" s="41">
        <v>54</v>
      </c>
    </row>
    <row r="24" spans="1:16">
      <c r="A24" s="257" t="s">
        <v>78</v>
      </c>
      <c r="B24" s="257"/>
      <c r="C24" s="14">
        <f>SUM(C15:C23)</f>
        <v>5588</v>
      </c>
      <c r="D24" s="14">
        <f t="shared" ref="D24:I24" si="8">SUM(D15:D23)</f>
        <v>2977.4730881242999</v>
      </c>
      <c r="E24" s="14">
        <f t="shared" si="8"/>
        <v>1455.2264527411637</v>
      </c>
      <c r="F24" s="14">
        <f t="shared" si="8"/>
        <v>1473.4548495322811</v>
      </c>
      <c r="G24" s="14">
        <f t="shared" si="8"/>
        <v>2034.3832835186975</v>
      </c>
      <c r="H24" s="14">
        <f t="shared" si="8"/>
        <v>3521.7360223593937</v>
      </c>
      <c r="I24" s="14">
        <f t="shared" si="8"/>
        <v>1529.7970626947847</v>
      </c>
      <c r="J24" s="14">
        <f t="shared" ref="J24:K24" si="9">SUM(J15:J23)</f>
        <v>1548.4496526383896</v>
      </c>
      <c r="K24" s="14">
        <f t="shared" si="9"/>
        <v>1567.5213974279652</v>
      </c>
      <c r="L24" s="14">
        <f t="shared" ref="L24" si="10">SUM(L15:L23)</f>
        <v>6438.3112400585142</v>
      </c>
      <c r="M24" s="7"/>
      <c r="N24" s="7"/>
      <c r="O24" s="7"/>
      <c r="P24" s="7"/>
    </row>
    <row r="25" spans="1:16">
      <c r="A25" s="222" t="s">
        <v>282</v>
      </c>
      <c r="B25" s="222" t="s">
        <v>354</v>
      </c>
      <c r="C25" s="223">
        <f>'26년 총원가 배분'!I67</f>
        <v>4194</v>
      </c>
      <c r="D25" s="223">
        <f>투자비!G65*1.015</f>
        <v>1418.9699999999998</v>
      </c>
      <c r="E25" s="236">
        <f>D$25*1.015^(E$4-D$4)</f>
        <v>1440.2545499999997</v>
      </c>
      <c r="F25" s="236">
        <f t="shared" ref="F25:L25" si="11">E$25*1.015^(F$4-E$4)</f>
        <v>1461.8583682499996</v>
      </c>
      <c r="G25" s="236">
        <f t="shared" si="11"/>
        <v>1483.7862437737494</v>
      </c>
      <c r="H25" s="236">
        <f t="shared" si="11"/>
        <v>1506.0430374303555</v>
      </c>
      <c r="I25" s="236">
        <f t="shared" si="11"/>
        <v>1528.6336829918107</v>
      </c>
      <c r="J25" s="236">
        <f t="shared" si="11"/>
        <v>1551.5631882366877</v>
      </c>
      <c r="K25" s="236">
        <f t="shared" si="11"/>
        <v>1574.8366360602379</v>
      </c>
      <c r="L25" s="236">
        <f t="shared" si="11"/>
        <v>1598.4591856011414</v>
      </c>
    </row>
    <row r="26" spans="1:1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</sheetData>
  <mergeCells count="10">
    <mergeCell ref="A21:A22"/>
    <mergeCell ref="A24:B24"/>
    <mergeCell ref="A4:B4"/>
    <mergeCell ref="A5:B5"/>
    <mergeCell ref="A15:B15"/>
    <mergeCell ref="A16:B16"/>
    <mergeCell ref="A20:B20"/>
    <mergeCell ref="A17:A18"/>
    <mergeCell ref="A14:B14"/>
    <mergeCell ref="A6:A12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5"/>
  </sheetPr>
  <dimension ref="A3:N27"/>
  <sheetViews>
    <sheetView zoomScaleNormal="100" workbookViewId="0">
      <selection activeCell="D25" sqref="D25"/>
    </sheetView>
  </sheetViews>
  <sheetFormatPr defaultRowHeight="16.899999999999999"/>
  <cols>
    <col min="1" max="1" width="12.625" customWidth="1"/>
    <col min="2" max="2" width="21.875" customWidth="1"/>
    <col min="3" max="4" width="15.875" customWidth="1"/>
    <col min="5" max="5" width="18.75" customWidth="1"/>
    <col min="6" max="6" width="15" customWidth="1"/>
    <col min="7" max="7" width="17.625" customWidth="1"/>
    <col min="8" max="8" width="16.875" customWidth="1"/>
    <col min="9" max="9" width="16.5" customWidth="1"/>
    <col min="10" max="10" width="24" customWidth="1"/>
    <col min="11" max="12" width="26.125" customWidth="1"/>
  </cols>
  <sheetData>
    <row r="3" spans="1:14">
      <c r="L3" s="9" t="s">
        <v>77</v>
      </c>
    </row>
    <row r="4" spans="1:14">
      <c r="A4" s="254" t="s">
        <v>71</v>
      </c>
      <c r="B4" s="254"/>
      <c r="C4" s="5">
        <v>26</v>
      </c>
      <c r="D4" s="5">
        <v>27</v>
      </c>
      <c r="E4" s="5">
        <v>28</v>
      </c>
      <c r="F4" s="5">
        <v>29</v>
      </c>
      <c r="G4" s="5">
        <v>30</v>
      </c>
      <c r="H4" s="5">
        <v>31</v>
      </c>
      <c r="I4" s="37">
        <v>32</v>
      </c>
      <c r="J4" s="62">
        <v>33</v>
      </c>
      <c r="K4" s="141">
        <v>34</v>
      </c>
      <c r="L4" s="201">
        <v>35</v>
      </c>
    </row>
    <row r="5" spans="1:14">
      <c r="A5" s="254" t="s">
        <v>68</v>
      </c>
      <c r="B5" s="254"/>
      <c r="C5" s="141" t="s">
        <v>362</v>
      </c>
      <c r="D5" s="201" t="s">
        <v>46</v>
      </c>
      <c r="E5" s="141" t="s">
        <v>46</v>
      </c>
      <c r="F5" s="141" t="s">
        <v>46</v>
      </c>
      <c r="G5" s="141" t="s">
        <v>46</v>
      </c>
      <c r="H5" s="141" t="s">
        <v>363</v>
      </c>
      <c r="I5" s="141" t="s">
        <v>82</v>
      </c>
      <c r="J5" s="141" t="s">
        <v>144</v>
      </c>
      <c r="K5" s="141" t="s">
        <v>82</v>
      </c>
      <c r="L5" s="201" t="s">
        <v>82</v>
      </c>
    </row>
    <row r="6" spans="1:14">
      <c r="A6" s="266" t="s">
        <v>93</v>
      </c>
      <c r="B6" s="6" t="s">
        <v>94</v>
      </c>
      <c r="C6" s="200">
        <f>'26년 총원가 배분'!J48</f>
        <v>287</v>
      </c>
      <c r="D6" s="200">
        <f>$C6*1.015^(D$4-$C$4)</f>
        <v>291.30499999999995</v>
      </c>
      <c r="E6" s="200">
        <f t="shared" ref="E6:L6" si="0">$C6*1.015^(E$4-$C$4)</f>
        <v>295.67457499999995</v>
      </c>
      <c r="F6" s="200">
        <f t="shared" si="0"/>
        <v>300.10969362499986</v>
      </c>
      <c r="G6" s="200">
        <f t="shared" si="0"/>
        <v>304.61133902937485</v>
      </c>
      <c r="H6" s="200">
        <f t="shared" si="0"/>
        <v>309.18050911481544</v>
      </c>
      <c r="I6" s="200">
        <f t="shared" si="0"/>
        <v>313.81821675153759</v>
      </c>
      <c r="J6" s="200">
        <f t="shared" si="0"/>
        <v>318.52549000281061</v>
      </c>
      <c r="K6" s="200">
        <f t="shared" si="0"/>
        <v>323.30337235285276</v>
      </c>
      <c r="L6" s="200">
        <f t="shared" si="0"/>
        <v>328.15292293814548</v>
      </c>
    </row>
    <row r="7" spans="1:14">
      <c r="A7" s="270"/>
      <c r="B7" s="6" t="s">
        <v>95</v>
      </c>
      <c r="C7" s="200">
        <f>'26년 총원가 배분'!J49</f>
        <v>1477</v>
      </c>
      <c r="D7" s="59">
        <f>622*1.015^(D4-25)</f>
        <v>640.79994999999985</v>
      </c>
      <c r="E7" s="209">
        <f>622*1.015^(E4-25)</f>
        <v>650.41194924999979</v>
      </c>
      <c r="F7" s="209">
        <f>622*1.015^(F4-25)</f>
        <v>660.16812848874963</v>
      </c>
      <c r="G7" s="209">
        <f>622*1.015^(G4-25)</f>
        <v>670.07065041608075</v>
      </c>
      <c r="H7" s="143">
        <f>1371*1.015^(H4-19)</f>
        <v>1639.192513073762</v>
      </c>
      <c r="I7" s="209">
        <f>622*1.015^(I4-25)</f>
        <v>690.32353582490657</v>
      </c>
      <c r="J7" s="209">
        <f>622*1.015^(J4-25)</f>
        <v>700.67838886228014</v>
      </c>
      <c r="K7" s="209">
        <f>622*1.015^(K4-25)</f>
        <v>711.18856469521427</v>
      </c>
      <c r="L7" s="209">
        <f>622*1.015^(L4-25)</f>
        <v>721.85639316564243</v>
      </c>
    </row>
    <row r="8" spans="1:14">
      <c r="A8" s="270"/>
      <c r="B8" s="6" t="s">
        <v>96</v>
      </c>
      <c r="C8" s="200">
        <f>'26년 총원가 배분'!J50</f>
        <v>1772</v>
      </c>
      <c r="D8" s="209">
        <f>$C8*1.015^(D$4-25)</f>
        <v>1825.5586999999996</v>
      </c>
      <c r="E8" s="225">
        <f t="shared" ref="E8:L8" si="1">$C8*1.015^(E$4-25)</f>
        <v>1852.9420804999993</v>
      </c>
      <c r="F8" s="225">
        <f t="shared" si="1"/>
        <v>1880.736211707499</v>
      </c>
      <c r="G8" s="225">
        <f t="shared" si="1"/>
        <v>1908.9472548831113</v>
      </c>
      <c r="H8" s="225">
        <f t="shared" si="1"/>
        <v>1937.5814637063575</v>
      </c>
      <c r="I8" s="225">
        <f t="shared" si="1"/>
        <v>1966.6451856619526</v>
      </c>
      <c r="J8" s="225">
        <f t="shared" si="1"/>
        <v>1996.1448634468818</v>
      </c>
      <c r="K8" s="225">
        <f t="shared" si="1"/>
        <v>2026.0870363985846</v>
      </c>
      <c r="L8" s="225">
        <f t="shared" si="1"/>
        <v>2056.4783419445635</v>
      </c>
    </row>
    <row r="9" spans="1:14">
      <c r="A9" s="270"/>
      <c r="B9" s="6" t="s">
        <v>97</v>
      </c>
      <c r="C9" s="200">
        <f>'26년 총원가 배분'!J51</f>
        <v>159</v>
      </c>
      <c r="D9" s="200">
        <f>$C9*1.015^(D$4-$C$4)</f>
        <v>161.38499999999999</v>
      </c>
      <c r="E9" s="200">
        <f t="shared" ref="E9:L9" si="2">$C9*1.015^(E$4-$C$4)</f>
        <v>163.80577499999995</v>
      </c>
      <c r="F9" s="200">
        <f t="shared" si="2"/>
        <v>166.26286162499994</v>
      </c>
      <c r="G9" s="200">
        <f t="shared" si="2"/>
        <v>168.75680454937492</v>
      </c>
      <c r="H9" s="200">
        <f t="shared" si="2"/>
        <v>171.2881566176155</v>
      </c>
      <c r="I9" s="200">
        <f t="shared" si="2"/>
        <v>173.85747896687971</v>
      </c>
      <c r="J9" s="200">
        <f t="shared" si="2"/>
        <v>176.46534115138289</v>
      </c>
      <c r="K9" s="200">
        <f t="shared" si="2"/>
        <v>179.1123212686536</v>
      </c>
      <c r="L9" s="200">
        <f t="shared" si="2"/>
        <v>181.79900608768338</v>
      </c>
    </row>
    <row r="10" spans="1:14">
      <c r="A10" s="270"/>
      <c r="B10" s="6" t="s">
        <v>281</v>
      </c>
      <c r="C10" s="200">
        <f>'26년 총원가 배분'!J52</f>
        <v>392</v>
      </c>
      <c r="D10" s="209">
        <f>$C10*1.015^(D$4-26)</f>
        <v>397.87999999999994</v>
      </c>
      <c r="E10" s="209">
        <f t="shared" ref="E10:L10" si="3">$C10*1.015^(E$4-26)</f>
        <v>403.84819999999991</v>
      </c>
      <c r="F10" s="209">
        <f t="shared" si="3"/>
        <v>409.90592299999986</v>
      </c>
      <c r="G10" s="209">
        <f t="shared" si="3"/>
        <v>416.05451184499975</v>
      </c>
      <c r="H10" s="209">
        <f t="shared" si="3"/>
        <v>422.29532952267471</v>
      </c>
      <c r="I10" s="209">
        <f t="shared" si="3"/>
        <v>428.62975946551478</v>
      </c>
      <c r="J10" s="209">
        <f t="shared" si="3"/>
        <v>435.05920585749743</v>
      </c>
      <c r="K10" s="209">
        <f t="shared" si="3"/>
        <v>441.58509394535986</v>
      </c>
      <c r="L10" s="209">
        <f t="shared" si="3"/>
        <v>448.20887035454018</v>
      </c>
    </row>
    <row r="11" spans="1:14">
      <c r="A11" s="270"/>
      <c r="B11" s="201" t="s">
        <v>351</v>
      </c>
      <c r="C11" s="200">
        <f>'26년 총원가 배분'!J53</f>
        <v>62</v>
      </c>
      <c r="D11" s="209">
        <f>50*1.015^(D$4-$C$4)</f>
        <v>50.749999999999993</v>
      </c>
      <c r="E11" s="200">
        <f>$D11*1.015^(E$4-$C$4)</f>
        <v>52.283918749999977</v>
      </c>
      <c r="F11" s="223">
        <f t="shared" ref="F11:L12" si="4">$D11*1.015^(F$4-$C$4)</f>
        <v>53.068177531249972</v>
      </c>
      <c r="G11" s="223">
        <f t="shared" si="4"/>
        <v>53.864200194218711</v>
      </c>
      <c r="H11" s="223">
        <f t="shared" si="4"/>
        <v>54.672163197131987</v>
      </c>
      <c r="I11" s="223">
        <f t="shared" si="4"/>
        <v>55.492245645088957</v>
      </c>
      <c r="J11" s="223">
        <f t="shared" si="4"/>
        <v>56.32462932976528</v>
      </c>
      <c r="K11" s="223">
        <f t="shared" si="4"/>
        <v>57.169498769711758</v>
      </c>
      <c r="L11" s="223">
        <f t="shared" si="4"/>
        <v>58.027041251257423</v>
      </c>
    </row>
    <row r="12" spans="1:14">
      <c r="A12" s="267"/>
      <c r="B12" s="201" t="s">
        <v>352</v>
      </c>
      <c r="C12" s="200">
        <f>'26년 총원가 배분'!J54</f>
        <v>8</v>
      </c>
      <c r="D12" s="209">
        <f>6*1.015^(D$4-$C$4)</f>
        <v>6.09</v>
      </c>
      <c r="E12" s="200">
        <f>$D12*1.015^(E$4-$C$4)</f>
        <v>6.2740702499999985</v>
      </c>
      <c r="F12" s="223">
        <f t="shared" si="4"/>
        <v>6.3681813037499975</v>
      </c>
      <c r="G12" s="223">
        <f t="shared" si="4"/>
        <v>6.4637040233062466</v>
      </c>
      <c r="H12" s="223">
        <f t="shared" si="4"/>
        <v>6.5606595836558395</v>
      </c>
      <c r="I12" s="223">
        <f t="shared" si="4"/>
        <v>6.6590694774106751</v>
      </c>
      <c r="J12" s="223">
        <f t="shared" si="4"/>
        <v>6.7589555195718347</v>
      </c>
      <c r="K12" s="223">
        <f t="shared" si="4"/>
        <v>6.8603398523654118</v>
      </c>
      <c r="L12" s="223">
        <f t="shared" si="4"/>
        <v>6.9632449501508917</v>
      </c>
    </row>
    <row r="13" spans="1:14">
      <c r="A13" s="6" t="s">
        <v>98</v>
      </c>
      <c r="B13" s="6" t="s">
        <v>99</v>
      </c>
      <c r="C13" s="200">
        <f>'26년 총원가 배분'!J55</f>
        <v>229</v>
      </c>
      <c r="D13" s="209">
        <f t="shared" ref="D13:L13" si="5">$C13*1.015^(D$4-$C$4)</f>
        <v>232.43499999999997</v>
      </c>
      <c r="E13" s="209">
        <f t="shared" si="5"/>
        <v>235.92152499999995</v>
      </c>
      <c r="F13" s="209">
        <f t="shared" si="5"/>
        <v>239.46034787499991</v>
      </c>
      <c r="G13" s="209">
        <f t="shared" si="5"/>
        <v>243.05225309312488</v>
      </c>
      <c r="H13" s="209">
        <f t="shared" si="5"/>
        <v>246.69803688952172</v>
      </c>
      <c r="I13" s="209">
        <f t="shared" si="5"/>
        <v>250.39850744286449</v>
      </c>
      <c r="J13" s="209">
        <f t="shared" si="5"/>
        <v>254.1544850545074</v>
      </c>
      <c r="K13" s="209">
        <f t="shared" si="5"/>
        <v>257.96680233032498</v>
      </c>
      <c r="L13" s="209">
        <f t="shared" si="5"/>
        <v>261.83630436527983</v>
      </c>
    </row>
    <row r="14" spans="1:14">
      <c r="A14" s="268" t="s">
        <v>105</v>
      </c>
      <c r="B14" s="269"/>
      <c r="C14" s="59">
        <f t="shared" ref="C14:L14" si="6">SUM(C6:C13)</f>
        <v>4386</v>
      </c>
      <c r="D14" s="59">
        <f t="shared" si="6"/>
        <v>3606.2036499999999</v>
      </c>
      <c r="E14" s="59">
        <f t="shared" si="6"/>
        <v>3661.1620937499983</v>
      </c>
      <c r="F14" s="59">
        <f t="shared" si="6"/>
        <v>3716.0795251562486</v>
      </c>
      <c r="G14" s="59">
        <f t="shared" si="6"/>
        <v>3771.8207180335917</v>
      </c>
      <c r="H14" s="59">
        <f t="shared" si="6"/>
        <v>4787.4688317055352</v>
      </c>
      <c r="I14" s="59">
        <f t="shared" si="6"/>
        <v>3885.8239992361559</v>
      </c>
      <c r="J14" s="35">
        <f t="shared" si="6"/>
        <v>3944.111359224697</v>
      </c>
      <c r="K14" s="35">
        <f t="shared" si="6"/>
        <v>4003.2730296130676</v>
      </c>
      <c r="L14" s="35">
        <f t="shared" si="6"/>
        <v>4063.3221250572628</v>
      </c>
    </row>
    <row r="15" spans="1:14">
      <c r="A15" s="254" t="s">
        <v>65</v>
      </c>
      <c r="B15" s="254"/>
      <c r="C15" s="200">
        <f>'26년 총원가 배분'!J58</f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6">
        <v>0</v>
      </c>
      <c r="K15" s="6">
        <v>0</v>
      </c>
      <c r="L15" s="6">
        <v>0</v>
      </c>
    </row>
    <row r="16" spans="1:14">
      <c r="A16" s="254" t="s">
        <v>66</v>
      </c>
      <c r="B16" s="254"/>
      <c r="C16" s="200">
        <f>'26년 총원가 배분'!J59</f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6">
        <v>0</v>
      </c>
      <c r="K16" s="6">
        <v>0</v>
      </c>
      <c r="L16" s="6">
        <v>0</v>
      </c>
      <c r="N16" t="s">
        <v>150</v>
      </c>
    </row>
    <row r="17" spans="1:14">
      <c r="A17" s="266" t="s">
        <v>34</v>
      </c>
      <c r="B17" s="147" t="s">
        <v>81</v>
      </c>
      <c r="C17" s="200">
        <f>'26년 총원가 배분'!J60</f>
        <v>0</v>
      </c>
      <c r="D17" s="11">
        <f>TRUNC('고온부품(26)'!G11/1000)</f>
        <v>713</v>
      </c>
      <c r="E17" s="11">
        <f>TRUNC('고온부품(26)'!H11/1000)</f>
        <v>0</v>
      </c>
      <c r="F17" s="11">
        <f>TRUNC('고온부품(26)'!I11/1000)</f>
        <v>0</v>
      </c>
      <c r="G17" s="11">
        <f>TRUNC('고온부품(26)'!J11/1000)</f>
        <v>0</v>
      </c>
      <c r="H17" s="11">
        <f>TRUNC('고온부품(26)'!K11/1000)</f>
        <v>0</v>
      </c>
      <c r="I17" s="11">
        <f>TRUNC('고온부품(26)'!L11/1000)</f>
        <v>788</v>
      </c>
      <c r="J17" s="11">
        <f>TRUNC('고온부품(26)'!M11/1000)</f>
        <v>0</v>
      </c>
      <c r="K17" s="11">
        <f>TRUNC('고온부품(26)'!N11/1000)</f>
        <v>0</v>
      </c>
      <c r="L17" s="11">
        <f>TRUNC('고온부품(26)'!O11/1000)</f>
        <v>0</v>
      </c>
    </row>
    <row r="18" spans="1:14">
      <c r="A18" s="267"/>
      <c r="B18" s="5" t="s">
        <v>64</v>
      </c>
      <c r="C18" s="200">
        <f>'26년 총원가 배분'!J61</f>
        <v>1196</v>
      </c>
      <c r="D18" s="10">
        <f>750*1.015^(D4-19)</f>
        <v>844.86943994647925</v>
      </c>
      <c r="E18" s="10">
        <f t="shared" ref="E18:L18" si="7">266*1.015^(E4-22)</f>
        <v>290.85590820874216</v>
      </c>
      <c r="F18" s="10">
        <f t="shared" si="7"/>
        <v>295.21874683187326</v>
      </c>
      <c r="G18" s="10">
        <f t="shared" si="7"/>
        <v>299.64702803435131</v>
      </c>
      <c r="H18" s="10">
        <f t="shared" si="7"/>
        <v>304.14173345486654</v>
      </c>
      <c r="I18" s="10">
        <f t="shared" si="7"/>
        <v>308.70385945668949</v>
      </c>
      <c r="J18" s="10">
        <f t="shared" si="7"/>
        <v>313.33441734853983</v>
      </c>
      <c r="K18" s="10">
        <f t="shared" si="7"/>
        <v>318.03443360876787</v>
      </c>
      <c r="L18" s="10">
        <f t="shared" si="7"/>
        <v>322.80495011289935</v>
      </c>
    </row>
    <row r="19" spans="1:14">
      <c r="A19" s="37" t="s">
        <v>102</v>
      </c>
      <c r="B19" s="37" t="s">
        <v>103</v>
      </c>
      <c r="C19" s="200">
        <f>'26년 총원가 배분'!J62</f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6">
        <v>0</v>
      </c>
      <c r="K19" s="6">
        <v>0</v>
      </c>
      <c r="L19" s="6">
        <v>0</v>
      </c>
    </row>
    <row r="20" spans="1:14">
      <c r="A20" s="254" t="s">
        <v>63</v>
      </c>
      <c r="B20" s="254"/>
      <c r="C20" s="200">
        <f>'26년 총원가 배분'!J63</f>
        <v>0</v>
      </c>
      <c r="D20" s="19">
        <v>19</v>
      </c>
      <c r="E20" s="19">
        <v>19</v>
      </c>
      <c r="F20" s="19">
        <v>19</v>
      </c>
      <c r="G20" s="19">
        <v>19</v>
      </c>
      <c r="H20" s="19">
        <v>19</v>
      </c>
      <c r="I20" s="19">
        <v>19</v>
      </c>
      <c r="J20" s="19">
        <v>19</v>
      </c>
      <c r="K20" s="19">
        <v>19</v>
      </c>
      <c r="L20" s="19">
        <v>19</v>
      </c>
    </row>
    <row r="21" spans="1:14">
      <c r="A21" s="254" t="s">
        <v>61</v>
      </c>
      <c r="B21" s="147" t="s">
        <v>38</v>
      </c>
      <c r="C21" s="200">
        <f>'26년 총원가 배분'!J64</f>
        <v>0</v>
      </c>
      <c r="D21" s="11">
        <f>TRUNC('고온부품(26)'!G12/1000)</f>
        <v>0</v>
      </c>
      <c r="E21" s="11">
        <f>TRUNC('고온부품(26)'!H12/1000)</f>
        <v>0</v>
      </c>
      <c r="F21" s="11">
        <f>TRUNC('고온부품(26)'!I12/1000)</f>
        <v>0</v>
      </c>
      <c r="G21" s="11">
        <f>TRUNC('고온부품(26)'!J12/1000)</f>
        <v>0</v>
      </c>
      <c r="H21" s="11">
        <f>TRUNC('고온부품(26)'!K12/1000)</f>
        <v>0</v>
      </c>
      <c r="I21" s="11">
        <f>TRUNC('고온부품(26)'!L12/1000)</f>
        <v>0</v>
      </c>
      <c r="J21" s="11">
        <f>TRUNC('고온부품(26)'!M12/1000)</f>
        <v>0</v>
      </c>
      <c r="K21" s="11">
        <f>TRUNC('고온부품(26)'!N12/1000)</f>
        <v>0</v>
      </c>
      <c r="L21" s="11">
        <f>TRUNC('고온부품(26)'!O12/1000)</f>
        <v>0</v>
      </c>
    </row>
    <row r="22" spans="1:14">
      <c r="A22" s="254"/>
      <c r="B22" s="5" t="s">
        <v>39</v>
      </c>
      <c r="C22" s="200">
        <f>'26년 총원가 배분'!J65</f>
        <v>1519</v>
      </c>
      <c r="D22" s="10">
        <v>100</v>
      </c>
      <c r="E22" s="10">
        <v>50</v>
      </c>
      <c r="F22" s="10">
        <v>50</v>
      </c>
      <c r="G22" s="10">
        <v>50</v>
      </c>
      <c r="H22" s="10">
        <v>50</v>
      </c>
      <c r="I22" s="10">
        <v>50</v>
      </c>
      <c r="J22" s="6">
        <v>50</v>
      </c>
      <c r="K22" s="6">
        <v>50</v>
      </c>
      <c r="L22" s="6">
        <v>50</v>
      </c>
    </row>
    <row r="23" spans="1:14">
      <c r="A23" s="13" t="s">
        <v>67</v>
      </c>
      <c r="B23" s="13" t="s">
        <v>37</v>
      </c>
      <c r="C23" s="200">
        <f>'26년 총원가 배분'!J66</f>
        <v>160</v>
      </c>
      <c r="D23" s="10">
        <v>104</v>
      </c>
      <c r="E23" s="10">
        <v>20</v>
      </c>
      <c r="F23" s="10">
        <v>20</v>
      </c>
      <c r="G23" s="10">
        <v>20</v>
      </c>
      <c r="H23" s="10">
        <v>20</v>
      </c>
      <c r="I23" s="10">
        <v>20</v>
      </c>
      <c r="J23" s="41">
        <v>20</v>
      </c>
      <c r="K23" s="41">
        <v>20</v>
      </c>
      <c r="L23" s="41">
        <v>20</v>
      </c>
    </row>
    <row r="24" spans="1:14">
      <c r="A24" s="257" t="s">
        <v>78</v>
      </c>
      <c r="B24" s="257"/>
      <c r="C24" s="14">
        <f t="shared" ref="C24:H24" si="8">SUM(C15:C23)</f>
        <v>2875</v>
      </c>
      <c r="D24" s="14">
        <f t="shared" si="8"/>
        <v>1780.8694399464794</v>
      </c>
      <c r="E24" s="14">
        <f t="shared" si="8"/>
        <v>379.85590820874216</v>
      </c>
      <c r="F24" s="14">
        <f t="shared" si="8"/>
        <v>384.21874683187326</v>
      </c>
      <c r="G24" s="14">
        <f t="shared" si="8"/>
        <v>388.64702803435131</v>
      </c>
      <c r="H24" s="14">
        <f t="shared" si="8"/>
        <v>393.14173345486654</v>
      </c>
      <c r="I24" s="14">
        <f t="shared" ref="I24" si="9">SUM(I15:I23)</f>
        <v>1185.7038594566895</v>
      </c>
      <c r="J24" s="14">
        <f t="shared" ref="J24:K24" si="10">SUM(J15:J23)</f>
        <v>402.33441734853983</v>
      </c>
      <c r="K24" s="14">
        <f t="shared" si="10"/>
        <v>407.03443360876787</v>
      </c>
      <c r="L24" s="14">
        <f t="shared" ref="L24" si="11">SUM(L15:L23)</f>
        <v>411.80495011289935</v>
      </c>
      <c r="M24" s="7"/>
      <c r="N24" s="7"/>
    </row>
    <row r="25" spans="1:14">
      <c r="A25" s="222" t="s">
        <v>282</v>
      </c>
      <c r="B25" s="222" t="s">
        <v>354</v>
      </c>
      <c r="C25" s="223">
        <f>'26년 총원가 배분'!J67</f>
        <v>0</v>
      </c>
      <c r="D25" s="223">
        <f>투자비!H65*1.015</f>
        <v>719.63499999999988</v>
      </c>
      <c r="E25" s="236">
        <f>D$25*1.015^(E$4-D$4)</f>
        <v>730.42952499999978</v>
      </c>
      <c r="F25" s="236">
        <f t="shared" ref="F25:L25" si="12">E$25*1.015^(F$4-E$4)</f>
        <v>741.38596787499966</v>
      </c>
      <c r="G25" s="236">
        <f t="shared" si="12"/>
        <v>752.50675739312453</v>
      </c>
      <c r="H25" s="236">
        <f t="shared" si="12"/>
        <v>763.79435875402135</v>
      </c>
      <c r="I25" s="236">
        <f t="shared" si="12"/>
        <v>775.25127413533164</v>
      </c>
      <c r="J25" s="236">
        <f t="shared" si="12"/>
        <v>786.88004324736153</v>
      </c>
      <c r="K25" s="236">
        <f t="shared" si="12"/>
        <v>798.68324389607187</v>
      </c>
      <c r="L25" s="236">
        <f t="shared" si="12"/>
        <v>810.66349255451291</v>
      </c>
    </row>
    <row r="26" spans="1:14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1:14">
      <c r="A27" s="3"/>
      <c r="B27" s="12"/>
      <c r="C27" s="15"/>
      <c r="D27" s="15"/>
      <c r="E27" s="15"/>
      <c r="F27" s="15"/>
      <c r="G27" s="15"/>
      <c r="H27" s="15"/>
      <c r="I27" s="7"/>
      <c r="J27" s="7"/>
      <c r="K27" s="7"/>
      <c r="L27" s="7"/>
      <c r="M27" s="7"/>
      <c r="N27" s="7"/>
    </row>
  </sheetData>
  <mergeCells count="10">
    <mergeCell ref="A21:A22"/>
    <mergeCell ref="A24:B24"/>
    <mergeCell ref="A4:B4"/>
    <mergeCell ref="A5:B5"/>
    <mergeCell ref="A15:B15"/>
    <mergeCell ref="A16:B16"/>
    <mergeCell ref="A20:B20"/>
    <mergeCell ref="A14:B14"/>
    <mergeCell ref="A17:A18"/>
    <mergeCell ref="A6:A12"/>
  </mergeCells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5"/>
  </sheetPr>
  <dimension ref="A3:M42"/>
  <sheetViews>
    <sheetView zoomScaleNormal="100" workbookViewId="0">
      <selection activeCell="D25" sqref="D25"/>
    </sheetView>
  </sheetViews>
  <sheetFormatPr defaultRowHeight="16.899999999999999"/>
  <cols>
    <col min="1" max="1" width="12.625" customWidth="1"/>
    <col min="2" max="2" width="21.875" customWidth="1"/>
    <col min="3" max="4" width="15.875" customWidth="1"/>
    <col min="5" max="5" width="18.75" customWidth="1"/>
    <col min="6" max="6" width="15" customWidth="1"/>
    <col min="7" max="7" width="17.625" customWidth="1"/>
    <col min="8" max="8" width="16.875" customWidth="1"/>
    <col min="9" max="9" width="16.5" customWidth="1"/>
    <col min="10" max="10" width="21.5" customWidth="1"/>
    <col min="11" max="12" width="16.5" customWidth="1"/>
  </cols>
  <sheetData>
    <row r="3" spans="1:12">
      <c r="C3" s="20"/>
      <c r="D3" s="20"/>
      <c r="E3" s="20"/>
      <c r="F3" s="20"/>
      <c r="G3" s="20"/>
      <c r="L3" s="9" t="s">
        <v>77</v>
      </c>
    </row>
    <row r="4" spans="1:12">
      <c r="A4" s="254" t="s">
        <v>8</v>
      </c>
      <c r="B4" s="254"/>
      <c r="C4" s="140">
        <v>26</v>
      </c>
      <c r="D4" s="140">
        <v>27</v>
      </c>
      <c r="E4" s="140">
        <v>28</v>
      </c>
      <c r="F4" s="140">
        <v>29</v>
      </c>
      <c r="G4" s="140">
        <v>30</v>
      </c>
      <c r="H4" s="140">
        <v>31</v>
      </c>
      <c r="I4" s="140">
        <v>32</v>
      </c>
      <c r="J4" s="141">
        <v>33</v>
      </c>
      <c r="K4" s="140">
        <v>34</v>
      </c>
      <c r="L4" s="199">
        <v>35</v>
      </c>
    </row>
    <row r="5" spans="1:12">
      <c r="A5" s="254" t="s">
        <v>68</v>
      </c>
      <c r="B5" s="254"/>
      <c r="C5" s="140" t="s">
        <v>82</v>
      </c>
      <c r="D5" s="140" t="s">
        <v>84</v>
      </c>
      <c r="E5" s="140" t="s">
        <v>82</v>
      </c>
      <c r="F5" s="199" t="s">
        <v>82</v>
      </c>
      <c r="G5" s="140" t="s">
        <v>82</v>
      </c>
      <c r="H5" s="140" t="s">
        <v>82</v>
      </c>
      <c r="I5" s="140" t="s">
        <v>106</v>
      </c>
      <c r="J5" s="141" t="s">
        <v>144</v>
      </c>
      <c r="K5" s="201" t="s">
        <v>82</v>
      </c>
      <c r="L5" s="201" t="s">
        <v>82</v>
      </c>
    </row>
    <row r="6" spans="1:12">
      <c r="A6" s="266" t="s">
        <v>93</v>
      </c>
      <c r="B6" s="6" t="s">
        <v>94</v>
      </c>
      <c r="C6" s="200">
        <f>'26년 총원가 배분'!K48</f>
        <v>163</v>
      </c>
      <c r="D6" s="200">
        <f>$C6*1.015^(D$4-$C$4)</f>
        <v>165.44499999999999</v>
      </c>
      <c r="E6" s="200">
        <f t="shared" ref="E6:L6" si="0">$C6*1.015^(E$4-$C$4)</f>
        <v>167.92667499999996</v>
      </c>
      <c r="F6" s="200">
        <f t="shared" si="0"/>
        <v>170.44557512499995</v>
      </c>
      <c r="G6" s="200">
        <f t="shared" si="0"/>
        <v>173.0022587518749</v>
      </c>
      <c r="H6" s="200">
        <f t="shared" si="0"/>
        <v>175.59729263315302</v>
      </c>
      <c r="I6" s="200">
        <f t="shared" si="0"/>
        <v>178.23125202265027</v>
      </c>
      <c r="J6" s="200">
        <f t="shared" si="0"/>
        <v>180.90472080299</v>
      </c>
      <c r="K6" s="200">
        <f t="shared" si="0"/>
        <v>183.61829161503482</v>
      </c>
      <c r="L6" s="200">
        <f t="shared" si="0"/>
        <v>186.37256598926032</v>
      </c>
    </row>
    <row r="7" spans="1:12">
      <c r="A7" s="270"/>
      <c r="B7" s="6" t="s">
        <v>95</v>
      </c>
      <c r="C7" s="200">
        <f>'26년 총원가 배분'!K49</f>
        <v>811</v>
      </c>
      <c r="D7" s="143">
        <f>1609*1.015^(D4-22)</f>
        <v>1733.3499622499583</v>
      </c>
      <c r="E7" s="143">
        <f t="shared" ref="E7:L7" si="1">$C$7*1.015^(E4-$C$4)</f>
        <v>835.51247499999977</v>
      </c>
      <c r="F7" s="209">
        <f t="shared" si="1"/>
        <v>848.04516212499971</v>
      </c>
      <c r="G7" s="209">
        <f t="shared" si="1"/>
        <v>860.76583955687454</v>
      </c>
      <c r="H7" s="209">
        <f t="shared" si="1"/>
        <v>873.6773271502276</v>
      </c>
      <c r="I7" s="209">
        <f t="shared" si="1"/>
        <v>886.78248705748081</v>
      </c>
      <c r="J7" s="209">
        <f t="shared" si="1"/>
        <v>900.08422436334286</v>
      </c>
      <c r="K7" s="209">
        <f t="shared" si="1"/>
        <v>913.58548772879294</v>
      </c>
      <c r="L7" s="209">
        <f t="shared" si="1"/>
        <v>927.28927004472473</v>
      </c>
    </row>
    <row r="8" spans="1:12">
      <c r="A8" s="270"/>
      <c r="B8" s="6" t="s">
        <v>96</v>
      </c>
      <c r="C8" s="200">
        <f>'26년 총원가 배분'!K50</f>
        <v>2208</v>
      </c>
      <c r="D8" s="209">
        <f>$C8*1.015^(D$4-25)</f>
        <v>2274.7367999999992</v>
      </c>
      <c r="E8" s="225">
        <f t="shared" ref="E8:L8" si="2">$C8*1.015^(E$4-25)</f>
        <v>2308.8578519999992</v>
      </c>
      <c r="F8" s="225">
        <f t="shared" si="2"/>
        <v>2343.4907197799989</v>
      </c>
      <c r="G8" s="225">
        <f t="shared" si="2"/>
        <v>2378.6430805766986</v>
      </c>
      <c r="H8" s="225">
        <f t="shared" si="2"/>
        <v>2414.3227267853486</v>
      </c>
      <c r="I8" s="225">
        <f t="shared" si="2"/>
        <v>2450.5375676871281</v>
      </c>
      <c r="J8" s="225">
        <f t="shared" si="2"/>
        <v>2487.2956312024348</v>
      </c>
      <c r="K8" s="225">
        <f t="shared" si="2"/>
        <v>2524.605065670471</v>
      </c>
      <c r="L8" s="225">
        <f t="shared" si="2"/>
        <v>2562.474141655528</v>
      </c>
    </row>
    <row r="9" spans="1:12">
      <c r="A9" s="270"/>
      <c r="B9" s="6" t="s">
        <v>97</v>
      </c>
      <c r="C9" s="200">
        <f>'26년 총원가 배분'!K51</f>
        <v>233</v>
      </c>
      <c r="D9" s="200">
        <f>$C9*1.015^(D$4-$C$4)</f>
        <v>236.49499999999998</v>
      </c>
      <c r="E9" s="200">
        <f t="shared" ref="E9:L9" si="3">$C9*1.015^(E$4-$C$4)</f>
        <v>240.04242499999992</v>
      </c>
      <c r="F9" s="200">
        <f t="shared" si="3"/>
        <v>243.64306137499992</v>
      </c>
      <c r="G9" s="200">
        <f t="shared" si="3"/>
        <v>247.29770729562486</v>
      </c>
      <c r="H9" s="200">
        <f t="shared" si="3"/>
        <v>251.00717290505921</v>
      </c>
      <c r="I9" s="200">
        <f t="shared" si="3"/>
        <v>254.77228049863504</v>
      </c>
      <c r="J9" s="200">
        <f t="shared" si="3"/>
        <v>258.59386470611452</v>
      </c>
      <c r="K9" s="200">
        <f t="shared" si="3"/>
        <v>262.47277267670626</v>
      </c>
      <c r="L9" s="200">
        <f t="shared" si="3"/>
        <v>266.4098642668568</v>
      </c>
    </row>
    <row r="10" spans="1:12">
      <c r="A10" s="270"/>
      <c r="B10" s="6" t="s">
        <v>281</v>
      </c>
      <c r="C10" s="200">
        <f>'26년 총원가 배분'!K52</f>
        <v>895</v>
      </c>
      <c r="D10" s="200">
        <f>$C10*1.015^(D$4-26)</f>
        <v>908.42499999999995</v>
      </c>
      <c r="E10" s="200">
        <f t="shared" ref="E10:L10" si="4">$C10*1.015^(E$4-26)</f>
        <v>922.05137499999978</v>
      </c>
      <c r="F10" s="200">
        <f t="shared" si="4"/>
        <v>935.88214562499968</v>
      </c>
      <c r="G10" s="200">
        <f t="shared" si="4"/>
        <v>949.92037780937449</v>
      </c>
      <c r="H10" s="200">
        <f t="shared" si="4"/>
        <v>964.16918347651495</v>
      </c>
      <c r="I10" s="200">
        <f t="shared" si="4"/>
        <v>978.63172122866251</v>
      </c>
      <c r="J10" s="200">
        <f t="shared" si="4"/>
        <v>993.31119704709226</v>
      </c>
      <c r="K10" s="200">
        <f t="shared" si="4"/>
        <v>1008.2108650027986</v>
      </c>
      <c r="L10" s="200">
        <f t="shared" si="4"/>
        <v>1023.3340279778405</v>
      </c>
    </row>
    <row r="11" spans="1:12">
      <c r="A11" s="270"/>
      <c r="B11" s="201" t="s">
        <v>351</v>
      </c>
      <c r="C11" s="200">
        <f>'26년 총원가 배분'!K53</f>
        <v>77</v>
      </c>
      <c r="D11" s="209">
        <f>205*1.015^(D$4-$C$4)</f>
        <v>208.07499999999999</v>
      </c>
      <c r="E11" s="200">
        <f>$D11*1.015^(E$4-$C$4)</f>
        <v>214.36406687499993</v>
      </c>
      <c r="F11" s="223">
        <f t="shared" ref="F11:L12" si="5">$D11*1.015^(F$4-$C$4)</f>
        <v>217.57952787812491</v>
      </c>
      <c r="G11" s="223">
        <f t="shared" si="5"/>
        <v>220.84322079629675</v>
      </c>
      <c r="H11" s="223">
        <f t="shared" si="5"/>
        <v>224.15586910824118</v>
      </c>
      <c r="I11" s="223">
        <f t="shared" si="5"/>
        <v>227.51820714486473</v>
      </c>
      <c r="J11" s="223">
        <f t="shared" si="5"/>
        <v>230.93098025203767</v>
      </c>
      <c r="K11" s="223">
        <f t="shared" si="5"/>
        <v>234.39494495581823</v>
      </c>
      <c r="L11" s="223">
        <f t="shared" si="5"/>
        <v>237.91086913015548</v>
      </c>
    </row>
    <row r="12" spans="1:12">
      <c r="A12" s="267"/>
      <c r="B12" s="201" t="s">
        <v>352</v>
      </c>
      <c r="C12" s="200">
        <f>'26년 총원가 배분'!K54</f>
        <v>10</v>
      </c>
      <c r="D12" s="209">
        <f>23*1.015^(D$4-$C$4)</f>
        <v>23.344999999999999</v>
      </c>
      <c r="E12" s="200">
        <f>$D12*1.015^(E$4-$C$4)</f>
        <v>24.050602624999993</v>
      </c>
      <c r="F12" s="223">
        <f t="shared" si="5"/>
        <v>24.41136166437499</v>
      </c>
      <c r="G12" s="223">
        <f t="shared" si="5"/>
        <v>24.77753208934061</v>
      </c>
      <c r="H12" s="223">
        <f t="shared" si="5"/>
        <v>25.149195070680715</v>
      </c>
      <c r="I12" s="223">
        <f t="shared" si="5"/>
        <v>25.526432996740922</v>
      </c>
      <c r="J12" s="223">
        <f t="shared" si="5"/>
        <v>25.909329491692031</v>
      </c>
      <c r="K12" s="223">
        <f t="shared" si="5"/>
        <v>26.297969434067411</v>
      </c>
      <c r="L12" s="223">
        <f t="shared" si="5"/>
        <v>26.692438975578419</v>
      </c>
    </row>
    <row r="13" spans="1:12">
      <c r="A13" s="140" t="s">
        <v>98</v>
      </c>
      <c r="B13" s="6" t="s">
        <v>99</v>
      </c>
      <c r="C13" s="200">
        <f>'26년 총원가 배분'!K55</f>
        <v>667</v>
      </c>
      <c r="D13" s="209">
        <f t="shared" ref="D13:L13" si="6">$C13*1.015^(D$4-$C$4)</f>
        <v>677.00499999999988</v>
      </c>
      <c r="E13" s="209">
        <f t="shared" si="6"/>
        <v>687.16007499999978</v>
      </c>
      <c r="F13" s="209">
        <f t="shared" si="6"/>
        <v>697.46747612499973</v>
      </c>
      <c r="G13" s="209">
        <f t="shared" si="6"/>
        <v>707.92948826687461</v>
      </c>
      <c r="H13" s="209">
        <f t="shared" si="6"/>
        <v>718.54843059087762</v>
      </c>
      <c r="I13" s="209">
        <f t="shared" si="6"/>
        <v>729.32665704974067</v>
      </c>
      <c r="J13" s="209">
        <f t="shared" si="6"/>
        <v>740.26655690548671</v>
      </c>
      <c r="K13" s="209">
        <f t="shared" si="6"/>
        <v>751.37055525906896</v>
      </c>
      <c r="L13" s="209">
        <f t="shared" si="6"/>
        <v>762.64111358795481</v>
      </c>
    </row>
    <row r="14" spans="1:12">
      <c r="A14" s="254" t="s">
        <v>110</v>
      </c>
      <c r="B14" s="254"/>
      <c r="C14" s="143">
        <f t="shared" ref="C14:L14" si="7">SUM(C6:C13)</f>
        <v>5064</v>
      </c>
      <c r="D14" s="143">
        <f t="shared" si="7"/>
        <v>6226.8767622499572</v>
      </c>
      <c r="E14" s="143">
        <f t="shared" si="7"/>
        <v>5399.9655464999987</v>
      </c>
      <c r="F14" s="143">
        <f t="shared" si="7"/>
        <v>5480.9650296974987</v>
      </c>
      <c r="G14" s="143">
        <f t="shared" si="7"/>
        <v>5563.1795051429599</v>
      </c>
      <c r="H14" s="143">
        <f t="shared" si="7"/>
        <v>5646.6271977201022</v>
      </c>
      <c r="I14" s="143">
        <f t="shared" si="7"/>
        <v>5731.3266056859029</v>
      </c>
      <c r="J14" s="35">
        <f t="shared" si="7"/>
        <v>5817.2965047711905</v>
      </c>
      <c r="K14" s="35">
        <f t="shared" si="7"/>
        <v>5904.5559523427592</v>
      </c>
      <c r="L14" s="35">
        <f t="shared" si="7"/>
        <v>5993.1242916278989</v>
      </c>
    </row>
    <row r="15" spans="1:12">
      <c r="A15" s="254" t="s">
        <v>65</v>
      </c>
      <c r="B15" s="254"/>
      <c r="C15" s="200">
        <f>'26년 총원가 배분'!K58</f>
        <v>11</v>
      </c>
      <c r="D15" s="10">
        <v>11</v>
      </c>
      <c r="E15" s="10">
        <v>11</v>
      </c>
      <c r="F15" s="10">
        <v>11</v>
      </c>
      <c r="G15" s="10">
        <v>11</v>
      </c>
      <c r="H15" s="10">
        <v>11</v>
      </c>
      <c r="I15" s="10">
        <v>11</v>
      </c>
      <c r="J15" s="10">
        <v>11</v>
      </c>
      <c r="K15" s="10">
        <v>11</v>
      </c>
      <c r="L15" s="10">
        <v>11</v>
      </c>
    </row>
    <row r="16" spans="1:12">
      <c r="A16" s="254" t="s">
        <v>66</v>
      </c>
      <c r="B16" s="254"/>
      <c r="C16" s="200">
        <f>'26년 총원가 배분'!K59</f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</row>
    <row r="17" spans="1:13">
      <c r="A17" s="254" t="s">
        <v>34</v>
      </c>
      <c r="B17" s="147" t="s">
        <v>81</v>
      </c>
      <c r="C17" s="200">
        <f>'26년 총원가 배분'!K60</f>
        <v>0</v>
      </c>
      <c r="D17" s="11">
        <f>TRUNC('고온부품(26)'!G23/1000)</f>
        <v>0</v>
      </c>
      <c r="E17" s="11">
        <f>TRUNC('고온부품(26)'!H23/1000)</f>
        <v>4336</v>
      </c>
      <c r="F17" s="11">
        <f>TRUNC('고온부품(26)'!I23/1000)</f>
        <v>0</v>
      </c>
      <c r="G17" s="11">
        <f>TRUNC('고온부품(26)'!J23/1000)</f>
        <v>0</v>
      </c>
      <c r="H17" s="11">
        <f>TRUNC('고온부품(26)'!K23/1000)</f>
        <v>0</v>
      </c>
      <c r="I17" s="11">
        <f>TRUNC('고온부품(26)'!L23/1000)</f>
        <v>0</v>
      </c>
      <c r="J17" s="11">
        <f>TRUNC('고온부품(26)'!M23/1000)</f>
        <v>0</v>
      </c>
      <c r="K17" s="11">
        <f>TRUNC('고온부품(26)'!N23/1000)</f>
        <v>0</v>
      </c>
      <c r="L17" s="11">
        <f>TRUNC('고온부품(26)'!O23/1000)</f>
        <v>0</v>
      </c>
    </row>
    <row r="18" spans="1:13">
      <c r="A18" s="254"/>
      <c r="B18" s="140" t="s">
        <v>64</v>
      </c>
      <c r="C18" s="200">
        <f>'26년 총원가 배분'!K61</f>
        <v>4141</v>
      </c>
      <c r="D18" s="10">
        <f>D38*1.015^(D4-25)</f>
        <v>913.80957499999977</v>
      </c>
      <c r="E18" s="10">
        <v>180</v>
      </c>
      <c r="F18" s="10">
        <v>180</v>
      </c>
      <c r="G18" s="10">
        <v>180</v>
      </c>
      <c r="H18" s="10">
        <v>180</v>
      </c>
      <c r="I18" s="10">
        <f>H28*1.015^(I4-25)</f>
        <v>1809.0472080299</v>
      </c>
      <c r="J18" s="10">
        <v>180</v>
      </c>
      <c r="K18" s="10">
        <v>180</v>
      </c>
      <c r="L18" s="10">
        <v>180</v>
      </c>
    </row>
    <row r="19" spans="1:13">
      <c r="A19" s="140" t="s">
        <v>102</v>
      </c>
      <c r="B19" s="140" t="s">
        <v>103</v>
      </c>
      <c r="C19" s="200">
        <f>'26년 총원가 배분'!K62</f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f>3591*1.015^(I4-25)</f>
        <v>3985.4530822302886</v>
      </c>
      <c r="J19" s="6">
        <v>0</v>
      </c>
      <c r="K19" s="16"/>
      <c r="L19" s="16"/>
    </row>
    <row r="20" spans="1:13">
      <c r="A20" s="254" t="s">
        <v>63</v>
      </c>
      <c r="B20" s="254"/>
      <c r="C20" s="200">
        <f>'26년 총원가 배분'!K63</f>
        <v>452</v>
      </c>
      <c r="D20" s="10">
        <v>28.725560958180296</v>
      </c>
      <c r="E20" s="10">
        <v>3</v>
      </c>
      <c r="F20" s="10">
        <v>5</v>
      </c>
      <c r="G20" s="10">
        <v>3</v>
      </c>
      <c r="H20" s="10">
        <v>4</v>
      </c>
      <c r="I20" s="10">
        <v>4</v>
      </c>
      <c r="J20" s="6">
        <v>4</v>
      </c>
      <c r="K20" s="6">
        <v>100</v>
      </c>
      <c r="L20" s="6">
        <v>100</v>
      </c>
    </row>
    <row r="21" spans="1:13">
      <c r="A21" s="254" t="s">
        <v>61</v>
      </c>
      <c r="B21" s="147" t="s">
        <v>38</v>
      </c>
      <c r="C21" s="200">
        <f>'26년 총원가 배분'!K64</f>
        <v>0</v>
      </c>
      <c r="D21" s="11">
        <f>TRUNC('고온부품(26)'!G24/1000)</f>
        <v>0</v>
      </c>
      <c r="E21" s="11">
        <f>TRUNC('고온부품(26)'!H24/1000)</f>
        <v>0</v>
      </c>
      <c r="F21" s="11">
        <f>TRUNC('고온부품(26)'!I24/1000)</f>
        <v>0</v>
      </c>
      <c r="G21" s="11">
        <f>TRUNC('고온부품(26)'!J24/1000)</f>
        <v>0</v>
      </c>
      <c r="H21" s="11">
        <f>TRUNC('고온부품(26)'!K24/1000)</f>
        <v>0</v>
      </c>
      <c r="I21" s="11">
        <f>TRUNC('고온부품(26)'!L24/1000)</f>
        <v>0</v>
      </c>
      <c r="J21" s="11">
        <f>TRUNC('고온부품(26)'!M24/1000)</f>
        <v>12273</v>
      </c>
      <c r="K21" s="11">
        <f>TRUNC('고온부품(26)'!N24/1000)</f>
        <v>0</v>
      </c>
      <c r="L21" s="11">
        <f>TRUNC('고온부품(26)'!O24/1000)</f>
        <v>0</v>
      </c>
    </row>
    <row r="22" spans="1:13">
      <c r="A22" s="254"/>
      <c r="B22" s="140" t="s">
        <v>39</v>
      </c>
      <c r="C22" s="200">
        <f>'26년 총원가 배분'!K65</f>
        <v>1467</v>
      </c>
      <c r="D22" s="10">
        <f t="shared" ref="D22:I22" si="8">270/2*1.015^(D4-22)</f>
        <v>145.43334052439053</v>
      </c>
      <c r="E22" s="10">
        <f t="shared" si="8"/>
        <v>147.61484063225635</v>
      </c>
      <c r="F22" s="10">
        <f t="shared" si="8"/>
        <v>149.82906324174019</v>
      </c>
      <c r="G22" s="10">
        <f t="shared" si="8"/>
        <v>152.07649919036626</v>
      </c>
      <c r="H22" s="10">
        <f t="shared" si="8"/>
        <v>154.35764667822176</v>
      </c>
      <c r="I22" s="10">
        <f t="shared" si="8"/>
        <v>156.67301137839505</v>
      </c>
      <c r="J22" s="6">
        <v>157</v>
      </c>
      <c r="K22" s="10">
        <f>D41*1.015^(K4-25)</f>
        <v>1479.5466281601402</v>
      </c>
      <c r="L22" s="10">
        <f>E41*1.015^(L4-25)</f>
        <v>169.43896045367168</v>
      </c>
    </row>
    <row r="23" spans="1:13">
      <c r="A23" s="141" t="s">
        <v>67</v>
      </c>
      <c r="B23" s="141" t="s">
        <v>37</v>
      </c>
      <c r="C23" s="200">
        <f>'26년 총원가 배분'!K66</f>
        <v>91</v>
      </c>
      <c r="D23" s="10">
        <f t="shared" ref="D23:L23" si="9">C23</f>
        <v>91</v>
      </c>
      <c r="E23" s="10">
        <f t="shared" si="9"/>
        <v>91</v>
      </c>
      <c r="F23" s="10">
        <f t="shared" si="9"/>
        <v>91</v>
      </c>
      <c r="G23" s="10">
        <f t="shared" si="9"/>
        <v>91</v>
      </c>
      <c r="H23" s="10">
        <f t="shared" si="9"/>
        <v>91</v>
      </c>
      <c r="I23" s="10">
        <f t="shared" si="9"/>
        <v>91</v>
      </c>
      <c r="J23" s="10">
        <f t="shared" si="9"/>
        <v>91</v>
      </c>
      <c r="K23" s="10">
        <f t="shared" si="9"/>
        <v>91</v>
      </c>
      <c r="L23" s="10">
        <f t="shared" si="9"/>
        <v>91</v>
      </c>
    </row>
    <row r="24" spans="1:13">
      <c r="A24" s="257" t="s">
        <v>78</v>
      </c>
      <c r="B24" s="257"/>
      <c r="C24" s="14">
        <f t="shared" ref="C24:H24" si="10">SUM(C15:C23)</f>
        <v>6162</v>
      </c>
      <c r="D24" s="14">
        <f t="shared" si="10"/>
        <v>1189.9684764825706</v>
      </c>
      <c r="E24" s="14">
        <f t="shared" si="10"/>
        <v>4768.6148406322563</v>
      </c>
      <c r="F24" s="14">
        <f t="shared" si="10"/>
        <v>436.82906324174019</v>
      </c>
      <c r="G24" s="14">
        <f t="shared" si="10"/>
        <v>437.07649919036623</v>
      </c>
      <c r="H24" s="14">
        <f t="shared" si="10"/>
        <v>440.35764667822173</v>
      </c>
      <c r="I24" s="14">
        <f t="shared" ref="I24" si="11">SUM(I15:I23)</f>
        <v>6057.1733016385833</v>
      </c>
      <c r="J24" s="14">
        <f t="shared" ref="J24:K24" si="12">SUM(J15:J23)</f>
        <v>12716</v>
      </c>
      <c r="K24" s="14">
        <f t="shared" si="12"/>
        <v>1861.5466281601402</v>
      </c>
      <c r="L24" s="14">
        <f t="shared" ref="L24" si="13">SUM(L15:L23)</f>
        <v>551.43896045367171</v>
      </c>
      <c r="M24" s="7"/>
    </row>
    <row r="25" spans="1:13">
      <c r="A25" s="222" t="s">
        <v>282</v>
      </c>
      <c r="B25" s="222" t="s">
        <v>354</v>
      </c>
      <c r="C25" s="223">
        <f>'26년 총원가 배분'!K67</f>
        <v>0</v>
      </c>
      <c r="D25" s="223">
        <f>투자비!I65*1.015</f>
        <v>2.0299999999999998</v>
      </c>
      <c r="E25" s="236">
        <f>D$25*1.015^(E$4-D$4)</f>
        <v>2.0604499999999994</v>
      </c>
      <c r="F25" s="236">
        <f t="shared" ref="F25:L25" si="14">E$25*1.015^(F$4-E$4)</f>
        <v>2.0913567499999992</v>
      </c>
      <c r="G25" s="236">
        <f t="shared" si="14"/>
        <v>2.1227271012499989</v>
      </c>
      <c r="H25" s="236">
        <f t="shared" si="14"/>
        <v>2.1545680077687486</v>
      </c>
      <c r="I25" s="236">
        <f t="shared" si="14"/>
        <v>2.1868865278852794</v>
      </c>
      <c r="J25" s="236">
        <f t="shared" si="14"/>
        <v>2.2196898258035582</v>
      </c>
      <c r="K25" s="236">
        <f t="shared" si="14"/>
        <v>2.2529851731906114</v>
      </c>
      <c r="L25" s="236">
        <f t="shared" si="14"/>
        <v>2.2867799507884703</v>
      </c>
    </row>
    <row r="26" spans="1:1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>
      <c r="C27" s="15"/>
      <c r="D27" s="15" t="s">
        <v>253</v>
      </c>
      <c r="E27" s="15" t="s">
        <v>252</v>
      </c>
      <c r="F27" s="15"/>
      <c r="G27" s="15"/>
      <c r="H27" s="15" t="s">
        <v>253</v>
      </c>
      <c r="I27" s="15" t="s">
        <v>252</v>
      </c>
    </row>
    <row r="28" spans="1:13">
      <c r="D28" s="160">
        <v>1609</v>
      </c>
      <c r="E28" s="159">
        <v>146</v>
      </c>
      <c r="G28" s="159" t="s">
        <v>255</v>
      </c>
      <c r="H28" s="160">
        <v>1630</v>
      </c>
      <c r="I28" s="159">
        <v>146</v>
      </c>
    </row>
    <row r="29" spans="1:13">
      <c r="D29" s="160">
        <f>D28*(E29/E28)^0.6</f>
        <v>2326.8189340160143</v>
      </c>
      <c r="E29" s="159">
        <v>270</v>
      </c>
      <c r="G29" s="159" t="s">
        <v>260</v>
      </c>
      <c r="H29" s="160">
        <f>H28*(I29/I28)^0.6</f>
        <v>2357.1876087297101</v>
      </c>
      <c r="I29" s="159">
        <v>270</v>
      </c>
    </row>
    <row r="30" spans="1:13">
      <c r="E30" s="159"/>
      <c r="I30" s="7"/>
    </row>
    <row r="31" spans="1:13">
      <c r="C31" s="159"/>
      <c r="D31" s="159"/>
      <c r="E31" s="159"/>
      <c r="I31" s="7"/>
    </row>
    <row r="32" spans="1:13">
      <c r="C32" s="159" t="s">
        <v>255</v>
      </c>
      <c r="D32" s="160">
        <v>716</v>
      </c>
      <c r="E32" s="159">
        <v>146</v>
      </c>
      <c r="I32" s="7"/>
    </row>
    <row r="33" spans="3:9">
      <c r="C33" s="159" t="s">
        <v>93</v>
      </c>
      <c r="D33" s="160">
        <f>D32*(E33/E32)^0.6</f>
        <v>1035.4271950002897</v>
      </c>
      <c r="E33" s="159">
        <v>270</v>
      </c>
      <c r="G33" t="s">
        <v>259</v>
      </c>
      <c r="I33" s="7"/>
    </row>
    <row r="34" spans="3:9">
      <c r="C34" s="159"/>
      <c r="D34" s="159"/>
      <c r="E34" s="159"/>
      <c r="I34" s="7"/>
    </row>
    <row r="35" spans="3:9">
      <c r="C35" s="159" t="s">
        <v>255</v>
      </c>
      <c r="D35" s="160">
        <v>3098</v>
      </c>
      <c r="E35" s="159">
        <v>146</v>
      </c>
      <c r="I35" s="7"/>
    </row>
    <row r="36" spans="3:9">
      <c r="C36" s="159" t="s">
        <v>256</v>
      </c>
      <c r="D36" s="160">
        <f>D35*(E36/E35)^0.6</f>
        <v>4480.1025839537679</v>
      </c>
      <c r="E36" s="159">
        <v>270</v>
      </c>
      <c r="I36" s="7"/>
    </row>
    <row r="37" spans="3:9">
      <c r="C37" s="159"/>
      <c r="D37" s="159"/>
      <c r="E37" s="159"/>
      <c r="I37" s="7"/>
    </row>
    <row r="38" spans="3:9">
      <c r="C38" s="159" t="s">
        <v>257</v>
      </c>
      <c r="D38" s="160">
        <v>887</v>
      </c>
      <c r="E38" s="159">
        <v>146</v>
      </c>
      <c r="I38" s="7"/>
    </row>
    <row r="39" spans="3:9">
      <c r="C39" s="159" t="s">
        <v>34</v>
      </c>
      <c r="D39" s="160">
        <f>D38*(E39/E38)^0.6</f>
        <v>1282.7149748118115</v>
      </c>
      <c r="E39" s="159">
        <v>270</v>
      </c>
      <c r="I39" s="7"/>
    </row>
    <row r="40" spans="3:9">
      <c r="C40" s="159"/>
      <c r="D40" s="159"/>
      <c r="E40" s="159"/>
      <c r="I40" s="7"/>
    </row>
    <row r="41" spans="3:9">
      <c r="C41" s="159" t="s">
        <v>261</v>
      </c>
      <c r="D41" s="160">
        <v>1294</v>
      </c>
      <c r="E41" s="159">
        <v>146</v>
      </c>
      <c r="I41" s="7"/>
    </row>
    <row r="42" spans="3:9">
      <c r="C42" s="159" t="s">
        <v>39</v>
      </c>
      <c r="D42" s="160">
        <f>D41*(E42/E41)^0.6</f>
        <v>1871.2888133105794</v>
      </c>
      <c r="E42" s="159">
        <v>270</v>
      </c>
      <c r="I42" s="7"/>
    </row>
  </sheetData>
  <mergeCells count="10">
    <mergeCell ref="A21:A22"/>
    <mergeCell ref="A24:B24"/>
    <mergeCell ref="A4:B4"/>
    <mergeCell ref="A5:B5"/>
    <mergeCell ref="A15:B15"/>
    <mergeCell ref="A16:B16"/>
    <mergeCell ref="A20:B20"/>
    <mergeCell ref="A17:A18"/>
    <mergeCell ref="A14:B14"/>
    <mergeCell ref="A6:A12"/>
  </mergeCells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5"/>
  </sheetPr>
  <dimension ref="A3:N50"/>
  <sheetViews>
    <sheetView zoomScale="85" zoomScaleNormal="85" workbookViewId="0">
      <selection activeCell="D25" sqref="D25"/>
    </sheetView>
  </sheetViews>
  <sheetFormatPr defaultRowHeight="16.899999999999999"/>
  <cols>
    <col min="1" max="1" width="12.625" customWidth="1"/>
    <col min="2" max="2" width="21.875" customWidth="1"/>
    <col min="3" max="4" width="15.875" customWidth="1"/>
    <col min="5" max="5" width="18.75" customWidth="1"/>
    <col min="6" max="6" width="15" customWidth="1"/>
    <col min="7" max="7" width="35.875" customWidth="1"/>
    <col min="8" max="8" width="16.875" customWidth="1"/>
    <col min="9" max="9" width="17.5" customWidth="1"/>
    <col min="10" max="12" width="20.625" customWidth="1"/>
  </cols>
  <sheetData>
    <row r="3" spans="1:13">
      <c r="C3" s="20"/>
      <c r="D3" s="20"/>
      <c r="E3" s="20"/>
      <c r="F3" s="20"/>
      <c r="G3" s="20"/>
      <c r="L3" s="9" t="s">
        <v>77</v>
      </c>
    </row>
    <row r="4" spans="1:13">
      <c r="A4" s="254" t="s">
        <v>72</v>
      </c>
      <c r="B4" s="254"/>
      <c r="C4" s="117">
        <v>26</v>
      </c>
      <c r="D4" s="117">
        <v>27</v>
      </c>
      <c r="E4" s="117">
        <v>28</v>
      </c>
      <c r="F4" s="117">
        <v>29</v>
      </c>
      <c r="G4" s="117">
        <v>30</v>
      </c>
      <c r="H4" s="117">
        <v>31</v>
      </c>
      <c r="I4" s="117">
        <v>32</v>
      </c>
      <c r="J4" s="120">
        <v>33</v>
      </c>
      <c r="K4" s="120">
        <v>34</v>
      </c>
      <c r="L4" s="201">
        <v>35</v>
      </c>
    </row>
    <row r="5" spans="1:13">
      <c r="A5" s="254" t="s">
        <v>68</v>
      </c>
      <c r="B5" s="254"/>
      <c r="C5" s="117" t="s">
        <v>82</v>
      </c>
      <c r="D5" s="77" t="s">
        <v>364</v>
      </c>
      <c r="E5" s="200" t="s">
        <v>82</v>
      </c>
      <c r="F5" s="200" t="s">
        <v>82</v>
      </c>
      <c r="G5" s="77" t="s">
        <v>106</v>
      </c>
      <c r="H5" s="117" t="s">
        <v>144</v>
      </c>
      <c r="I5" s="200" t="s">
        <v>82</v>
      </c>
      <c r="J5" s="77" t="s">
        <v>364</v>
      </c>
      <c r="K5" s="200" t="s">
        <v>82</v>
      </c>
      <c r="L5" s="200" t="s">
        <v>82</v>
      </c>
    </row>
    <row r="6" spans="1:13">
      <c r="A6" s="266" t="s">
        <v>93</v>
      </c>
      <c r="B6" s="6" t="s">
        <v>94</v>
      </c>
      <c r="C6" s="200">
        <f>'26년 총원가 배분'!L48</f>
        <v>3</v>
      </c>
      <c r="D6" s="200">
        <f>$C6*1.015^(D$4-$C$4)</f>
        <v>3.0449999999999999</v>
      </c>
      <c r="E6" s="200">
        <f t="shared" ref="E6:L6" si="0">$C6*1.015^(E$4-$C$4)</f>
        <v>3.0906749999999992</v>
      </c>
      <c r="F6" s="200">
        <f t="shared" si="0"/>
        <v>3.1370351249999988</v>
      </c>
      <c r="G6" s="200">
        <f t="shared" si="0"/>
        <v>3.1840906518749983</v>
      </c>
      <c r="H6" s="200">
        <f t="shared" si="0"/>
        <v>3.2318520116531229</v>
      </c>
      <c r="I6" s="200">
        <f t="shared" si="0"/>
        <v>3.2803297918279188</v>
      </c>
      <c r="J6" s="200">
        <f t="shared" si="0"/>
        <v>3.3295347387053376</v>
      </c>
      <c r="K6" s="200">
        <f t="shared" si="0"/>
        <v>3.3794777597859174</v>
      </c>
      <c r="L6" s="200">
        <f t="shared" si="0"/>
        <v>3.4301699261827054</v>
      </c>
    </row>
    <row r="7" spans="1:13">
      <c r="A7" s="270"/>
      <c r="B7" s="6" t="s">
        <v>95</v>
      </c>
      <c r="C7" s="200">
        <f>'26년 총원가 배분'!L49</f>
        <v>2118</v>
      </c>
      <c r="D7" s="209">
        <f>D29*1.015^(D4-22)</f>
        <v>2506.6448175507435</v>
      </c>
      <c r="E7" s="209">
        <f>1076*1.015^(E4-25)</f>
        <v>1125.1499314999996</v>
      </c>
      <c r="F7" s="209">
        <f>1076*1.015^(F4-25)</f>
        <v>1142.0271804724994</v>
      </c>
      <c r="G7" s="117">
        <f>D33*1.015^(G4-25)</f>
        <v>1115.4491543606789</v>
      </c>
      <c r="H7" s="209">
        <f>1076*1.015^(H4-25)</f>
        <v>1176.5449520022803</v>
      </c>
      <c r="I7" s="209">
        <f>1076*1.015^(I4-25)</f>
        <v>1194.1931262823143</v>
      </c>
      <c r="J7" s="209">
        <f>D29*1.015^(J4-22)</f>
        <v>2740.873890847588</v>
      </c>
      <c r="K7" s="209">
        <f>1076*1.015^(K4-25)</f>
        <v>1230.287613524197</v>
      </c>
      <c r="L7" s="209">
        <f>$C7*1.015^(L4-26)</f>
        <v>2421.6999678849902</v>
      </c>
    </row>
    <row r="8" spans="1:13">
      <c r="A8" s="270"/>
      <c r="B8" s="6" t="s">
        <v>96</v>
      </c>
      <c r="C8" s="200">
        <f>'26년 총원가 배분'!L50</f>
        <v>3653</v>
      </c>
      <c r="D8" s="209">
        <f>$C8*1.015^(D$4-25)</f>
        <v>3763.411924999999</v>
      </c>
      <c r="E8" s="225">
        <f t="shared" ref="E8:L8" si="1">$C8*1.015^(E$4-25)</f>
        <v>3819.8631038749986</v>
      </c>
      <c r="F8" s="225">
        <f t="shared" si="1"/>
        <v>3877.1610504331229</v>
      </c>
      <c r="G8" s="225">
        <f t="shared" si="1"/>
        <v>3935.3184661896194</v>
      </c>
      <c r="H8" s="225">
        <f t="shared" si="1"/>
        <v>3994.3482431824627</v>
      </c>
      <c r="I8" s="225">
        <f t="shared" si="1"/>
        <v>4054.2634668301989</v>
      </c>
      <c r="J8" s="225">
        <f t="shared" si="1"/>
        <v>4115.0774188326513</v>
      </c>
      <c r="K8" s="225">
        <f t="shared" si="1"/>
        <v>4176.8035801151409</v>
      </c>
      <c r="L8" s="225">
        <f t="shared" si="1"/>
        <v>4239.4556338168677</v>
      </c>
    </row>
    <row r="9" spans="1:13">
      <c r="A9" s="270"/>
      <c r="B9" s="6" t="s">
        <v>97</v>
      </c>
      <c r="C9" s="200">
        <f>'26년 총원가 배분'!L51</f>
        <v>266</v>
      </c>
      <c r="D9" s="200">
        <f>$C9*1.015^(D$4-$C$4)</f>
        <v>269.98999999999995</v>
      </c>
      <c r="E9" s="200">
        <f t="shared" ref="E9:L9" si="2">$C9*1.015^(E$4-$C$4)</f>
        <v>274.03984999999994</v>
      </c>
      <c r="F9" s="200">
        <f t="shared" si="2"/>
        <v>278.1504477499999</v>
      </c>
      <c r="G9" s="200">
        <f t="shared" si="2"/>
        <v>282.32270446624983</v>
      </c>
      <c r="H9" s="200">
        <f t="shared" si="2"/>
        <v>286.55754503324357</v>
      </c>
      <c r="I9" s="200">
        <f t="shared" si="2"/>
        <v>290.85590820874216</v>
      </c>
      <c r="J9" s="200">
        <f t="shared" si="2"/>
        <v>295.21874683187326</v>
      </c>
      <c r="K9" s="200">
        <f t="shared" si="2"/>
        <v>299.64702803435131</v>
      </c>
      <c r="L9" s="200">
        <f t="shared" si="2"/>
        <v>304.14173345486654</v>
      </c>
    </row>
    <row r="10" spans="1:13">
      <c r="A10" s="270"/>
      <c r="B10" s="6" t="s">
        <v>281</v>
      </c>
      <c r="C10" s="200">
        <f>'26년 총원가 배분'!L52</f>
        <v>772</v>
      </c>
      <c r="D10" s="209">
        <f t="shared" ref="D10:L10" si="3">$C10*1.015^(D$4-$C$4)</f>
        <v>783.57999999999993</v>
      </c>
      <c r="E10" s="209">
        <f t="shared" si="3"/>
        <v>795.33369999999979</v>
      </c>
      <c r="F10" s="209">
        <f t="shared" si="3"/>
        <v>807.26370549999967</v>
      </c>
      <c r="G10" s="209">
        <f t="shared" si="3"/>
        <v>819.37266108249958</v>
      </c>
      <c r="H10" s="209">
        <f t="shared" si="3"/>
        <v>831.663250998737</v>
      </c>
      <c r="I10" s="209">
        <f t="shared" si="3"/>
        <v>844.13819976371781</v>
      </c>
      <c r="J10" s="209">
        <f t="shared" si="3"/>
        <v>856.80027276017347</v>
      </c>
      <c r="K10" s="209">
        <f t="shared" si="3"/>
        <v>869.65227685157606</v>
      </c>
      <c r="L10" s="209">
        <f t="shared" si="3"/>
        <v>882.69706100434951</v>
      </c>
      <c r="M10" t="s">
        <v>151</v>
      </c>
    </row>
    <row r="11" spans="1:13">
      <c r="A11" s="270"/>
      <c r="B11" s="201" t="s">
        <v>351</v>
      </c>
      <c r="C11" s="200">
        <f>'26년 총원가 배분'!L53</f>
        <v>128</v>
      </c>
      <c r="D11" s="209">
        <f>340*1.015^(D$4-$C$4)</f>
        <v>345.09999999999997</v>
      </c>
      <c r="E11" s="200">
        <f>$D11*1.015^(E$4-$C$4)</f>
        <v>355.53064749999987</v>
      </c>
      <c r="F11" s="223">
        <f t="shared" ref="F11:L12" si="4">$D11*1.015^(F$4-$C$4)</f>
        <v>360.8636072124998</v>
      </c>
      <c r="G11" s="223">
        <f t="shared" si="4"/>
        <v>366.27656132068728</v>
      </c>
      <c r="H11" s="223">
        <f t="shared" si="4"/>
        <v>371.77070974049752</v>
      </c>
      <c r="I11" s="223">
        <f t="shared" si="4"/>
        <v>377.34727038660492</v>
      </c>
      <c r="J11" s="223">
        <f t="shared" si="4"/>
        <v>383.00747944240391</v>
      </c>
      <c r="K11" s="223">
        <f t="shared" si="4"/>
        <v>388.75259163403996</v>
      </c>
      <c r="L11" s="223">
        <f t="shared" si="4"/>
        <v>394.58388050855052</v>
      </c>
      <c r="M11" t="s">
        <v>151</v>
      </c>
    </row>
    <row r="12" spans="1:13">
      <c r="A12" s="267"/>
      <c r="B12" s="201" t="s">
        <v>352</v>
      </c>
      <c r="C12" s="200">
        <f>'26년 총원가 배분'!L54</f>
        <v>17</v>
      </c>
      <c r="D12" s="209">
        <f>38*1.015^(D$4-$C$4)</f>
        <v>38.569999999999993</v>
      </c>
      <c r="E12" s="200">
        <f>$D12*1.015^(E$4-$C$4)</f>
        <v>39.735778249999981</v>
      </c>
      <c r="F12" s="223">
        <f t="shared" si="4"/>
        <v>40.331814923749981</v>
      </c>
      <c r="G12" s="223">
        <f t="shared" si="4"/>
        <v>40.936792147606219</v>
      </c>
      <c r="H12" s="223">
        <f t="shared" si="4"/>
        <v>41.550844029820311</v>
      </c>
      <c r="I12" s="223">
        <f t="shared" si="4"/>
        <v>42.174106690267607</v>
      </c>
      <c r="J12" s="223">
        <f t="shared" si="4"/>
        <v>42.80671829062161</v>
      </c>
      <c r="K12" s="223">
        <f t="shared" si="4"/>
        <v>43.448819064980931</v>
      </c>
      <c r="L12" s="223">
        <f t="shared" si="4"/>
        <v>44.100551350955641</v>
      </c>
      <c r="M12" t="s">
        <v>151</v>
      </c>
    </row>
    <row r="13" spans="1:13">
      <c r="A13" s="116" t="s">
        <v>98</v>
      </c>
      <c r="B13" s="6" t="s">
        <v>99</v>
      </c>
      <c r="C13" s="200">
        <f>'26년 총원가 배분'!L55</f>
        <v>422</v>
      </c>
      <c r="D13" s="209">
        <f t="shared" ref="D13:L13" si="5">$C13*1.015^(D$4-$C$4)</f>
        <v>428.33</v>
      </c>
      <c r="E13" s="209">
        <f t="shared" si="5"/>
        <v>434.75494999999989</v>
      </c>
      <c r="F13" s="209">
        <f t="shared" si="5"/>
        <v>441.27627424999986</v>
      </c>
      <c r="G13" s="209">
        <f t="shared" si="5"/>
        <v>447.89541836374974</v>
      </c>
      <c r="H13" s="209">
        <f t="shared" si="5"/>
        <v>454.61384963920597</v>
      </c>
      <c r="I13" s="209">
        <f t="shared" si="5"/>
        <v>461.43305738379394</v>
      </c>
      <c r="J13" s="209">
        <f t="shared" si="5"/>
        <v>468.3545532445508</v>
      </c>
      <c r="K13" s="209">
        <f t="shared" si="5"/>
        <v>475.379871543219</v>
      </c>
      <c r="L13" s="209">
        <f t="shared" si="5"/>
        <v>482.51056961636721</v>
      </c>
      <c r="M13" t="s">
        <v>152</v>
      </c>
    </row>
    <row r="14" spans="1:13">
      <c r="A14" s="254" t="s">
        <v>105</v>
      </c>
      <c r="B14" s="254"/>
      <c r="C14" s="36">
        <f t="shared" ref="C14:L14" si="6">SUM(C6:C13)</f>
        <v>7379</v>
      </c>
      <c r="D14" s="36">
        <f t="shared" si="6"/>
        <v>8138.6717425507422</v>
      </c>
      <c r="E14" s="36">
        <f t="shared" si="6"/>
        <v>6847.4986361249985</v>
      </c>
      <c r="F14" s="36">
        <f t="shared" si="6"/>
        <v>6950.2111156668725</v>
      </c>
      <c r="G14" s="36">
        <f t="shared" si="6"/>
        <v>7010.7558485829659</v>
      </c>
      <c r="H14" s="36">
        <f t="shared" si="6"/>
        <v>7160.2812466378991</v>
      </c>
      <c r="I14" s="36">
        <f t="shared" si="6"/>
        <v>7267.6854653374685</v>
      </c>
      <c r="J14" s="117">
        <f t="shared" si="6"/>
        <v>8905.4686149885692</v>
      </c>
      <c r="K14" s="117">
        <f t="shared" si="6"/>
        <v>7487.3512585272911</v>
      </c>
      <c r="L14" s="200">
        <f t="shared" si="6"/>
        <v>8772.6195675631297</v>
      </c>
    </row>
    <row r="15" spans="1:13">
      <c r="A15" s="254" t="s">
        <v>65</v>
      </c>
      <c r="B15" s="254"/>
      <c r="C15" s="200">
        <f>'26년 총원가 배분'!L58</f>
        <v>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</row>
    <row r="16" spans="1:13">
      <c r="A16" s="254" t="s">
        <v>66</v>
      </c>
      <c r="B16" s="254"/>
      <c r="C16" s="200">
        <f>'26년 총원가 배분'!L59</f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</row>
    <row r="17" spans="1:14">
      <c r="A17" s="254" t="s">
        <v>34</v>
      </c>
      <c r="B17" s="123" t="s">
        <v>81</v>
      </c>
      <c r="C17" s="200">
        <f>'26년 총원가 배분'!L60</f>
        <v>0</v>
      </c>
      <c r="D17" s="11">
        <f>TRUNC('고온부품(26)'!G19/1000)</f>
        <v>0</v>
      </c>
      <c r="E17" s="11">
        <f>TRUNC('고온부품(26)'!H19/1000)</f>
        <v>6636</v>
      </c>
      <c r="F17" s="11">
        <f>TRUNC('고온부품(26)'!I19/1000)</f>
        <v>0</v>
      </c>
      <c r="G17" s="11">
        <f>TRUNC('고온부품(26)'!J19/1000)</f>
        <v>0</v>
      </c>
      <c r="H17" s="11">
        <f>TRUNC('고온부품(26)'!K19/1000)</f>
        <v>0</v>
      </c>
      <c r="I17" s="11">
        <f>TRUNC('고온부품(26)'!L19/1000)</f>
        <v>7042</v>
      </c>
      <c r="J17" s="11">
        <f>TRUNC('고온부품(26)'!M19/1000)</f>
        <v>0</v>
      </c>
      <c r="K17" s="11">
        <f>TRUNC('고온부품(26)'!N19/1000)</f>
        <v>0</v>
      </c>
      <c r="L17" s="11">
        <f>TRUNC('고온부품(26)'!O19/1000)</f>
        <v>0</v>
      </c>
      <c r="N17" s="110">
        <v>2100</v>
      </c>
    </row>
    <row r="18" spans="1:14">
      <c r="A18" s="254"/>
      <c r="B18" s="116" t="s">
        <v>64</v>
      </c>
      <c r="C18" s="200">
        <f>'26년 총원가 배분'!L61</f>
        <v>4729</v>
      </c>
      <c r="D18" s="10">
        <v>2500</v>
      </c>
      <c r="E18" s="19">
        <f>1283*1.015^(E4-22)</f>
        <v>1402.8877076384067</v>
      </c>
      <c r="F18" s="19">
        <f>1283*1.015^(F4-22)</f>
        <v>1423.9310232529826</v>
      </c>
      <c r="G18" s="10">
        <f>H29*1.015^(G4-25)+1000</f>
        <v>3539.360505038976</v>
      </c>
      <c r="H18" s="19">
        <f>1283*1.015^(H4-22)</f>
        <v>1466.9693384308036</v>
      </c>
      <c r="I18" s="19">
        <f>1283*1.015^(I4-22)</f>
        <v>1488.9738785072657</v>
      </c>
      <c r="J18" s="10">
        <f>745+1000</f>
        <v>1745</v>
      </c>
      <c r="K18" s="19">
        <f>1283*1.015^(K4-22)</f>
        <v>1533.9781139851473</v>
      </c>
      <c r="L18" s="19">
        <f>1283*1.015^(L4-22)</f>
        <v>1556.9877856949242</v>
      </c>
    </row>
    <row r="19" spans="1:14">
      <c r="A19" s="116" t="s">
        <v>102</v>
      </c>
      <c r="B19" s="116" t="s">
        <v>103</v>
      </c>
      <c r="C19" s="200">
        <f>'26년 총원가 배분'!L62</f>
        <v>0</v>
      </c>
      <c r="D19" s="19">
        <v>0</v>
      </c>
      <c r="E19" s="19">
        <v>0</v>
      </c>
      <c r="F19" s="53"/>
      <c r="G19" s="53">
        <f>D36*1.015^(G4-25)</f>
        <v>4826.342849454446</v>
      </c>
      <c r="H19" s="19"/>
      <c r="I19" s="19"/>
      <c r="J19" s="10"/>
      <c r="K19" s="10"/>
      <c r="L19" s="10"/>
    </row>
    <row r="20" spans="1:14">
      <c r="A20" s="254" t="s">
        <v>63</v>
      </c>
      <c r="B20" s="254"/>
      <c r="C20" s="200">
        <f>'26년 총원가 배분'!L63</f>
        <v>152</v>
      </c>
      <c r="D20" s="10">
        <v>102</v>
      </c>
      <c r="E20" s="19">
        <v>328</v>
      </c>
      <c r="F20" s="19">
        <v>328</v>
      </c>
      <c r="G20" s="19">
        <v>102</v>
      </c>
      <c r="H20" s="19">
        <v>102</v>
      </c>
      <c r="I20" s="19">
        <v>328</v>
      </c>
      <c r="J20" s="10">
        <v>102</v>
      </c>
      <c r="K20" s="10">
        <v>102</v>
      </c>
      <c r="L20" s="10">
        <v>102</v>
      </c>
    </row>
    <row r="21" spans="1:14">
      <c r="A21" s="254" t="s">
        <v>61</v>
      </c>
      <c r="B21" s="123" t="s">
        <v>38</v>
      </c>
      <c r="C21" s="200">
        <f>'26년 총원가 배분'!L64</f>
        <v>0</v>
      </c>
      <c r="D21" s="11">
        <f>TRUNC('고온부품(26)'!G20/1000)</f>
        <v>0</v>
      </c>
      <c r="E21" s="11">
        <f>TRUNC('고온부품(26)'!H20/1000)</f>
        <v>0</v>
      </c>
      <c r="F21" s="11">
        <f>TRUNC('고온부품(26)'!I20/1000)</f>
        <v>0</v>
      </c>
      <c r="G21" s="11">
        <f>TRUNC('고온부품(26)'!J20/1000)</f>
        <v>0</v>
      </c>
      <c r="H21" s="11">
        <f>TRUNC('고온부품(26)'!K20/1000)</f>
        <v>0</v>
      </c>
      <c r="I21" s="11">
        <f>TRUNC('고온부품(26)'!L20/1000)</f>
        <v>0</v>
      </c>
      <c r="J21" s="11">
        <f>TRUNC('고온부품(26)'!M20/1000)</f>
        <v>0</v>
      </c>
      <c r="K21" s="11">
        <f>TRUNC('고온부품(26)'!N20/1000)</f>
        <v>20343</v>
      </c>
      <c r="L21" s="11">
        <f>TRUNC('고온부품(26)'!O20/1000)</f>
        <v>0</v>
      </c>
      <c r="N21" s="110">
        <v>1600</v>
      </c>
    </row>
    <row r="22" spans="1:14">
      <c r="A22" s="254"/>
      <c r="B22" s="116" t="s">
        <v>39</v>
      </c>
      <c r="C22" s="200">
        <f>'26년 총원가 배분'!L65</f>
        <v>185</v>
      </c>
      <c r="D22" s="10">
        <v>369</v>
      </c>
      <c r="E22" s="10">
        <v>1610</v>
      </c>
      <c r="F22" s="10">
        <f>1871*1.015^(F4-25)</f>
        <v>1985.811203219374</v>
      </c>
      <c r="G22" s="10">
        <f>685/2</f>
        <v>342.5</v>
      </c>
      <c r="H22" s="19">
        <v>356</v>
      </c>
      <c r="I22" s="10">
        <v>1610</v>
      </c>
      <c r="J22" s="10">
        <v>386</v>
      </c>
      <c r="K22" s="10">
        <v>386</v>
      </c>
      <c r="L22" s="10">
        <v>386</v>
      </c>
    </row>
    <row r="23" spans="1:14">
      <c r="A23" s="120" t="s">
        <v>67</v>
      </c>
      <c r="B23" s="120" t="s">
        <v>37</v>
      </c>
      <c r="C23" s="200">
        <f>'26년 총원가 배분'!L66</f>
        <v>42</v>
      </c>
      <c r="D23" s="10">
        <v>6</v>
      </c>
      <c r="E23" s="10">
        <f>151*1.015^(E4-20)</f>
        <v>170.10038057589117</v>
      </c>
      <c r="F23" s="10">
        <v>170</v>
      </c>
      <c r="G23" s="10">
        <f>87/2</f>
        <v>43.5</v>
      </c>
      <c r="H23" s="10">
        <v>83.5</v>
      </c>
      <c r="I23" s="10">
        <v>83.5</v>
      </c>
      <c r="J23" s="36">
        <v>84</v>
      </c>
      <c r="K23" s="10">
        <v>83.5</v>
      </c>
      <c r="L23" s="10">
        <v>83.5</v>
      </c>
    </row>
    <row r="24" spans="1:14">
      <c r="A24" s="257" t="s">
        <v>78</v>
      </c>
      <c r="B24" s="257"/>
      <c r="C24" s="36">
        <f>SUM(C15:C23)</f>
        <v>5109</v>
      </c>
      <c r="D24" s="36">
        <f t="shared" ref="D24:I24" si="7">SUM(D15:D23)</f>
        <v>2977</v>
      </c>
      <c r="E24" s="36">
        <f t="shared" si="7"/>
        <v>10146.988088214299</v>
      </c>
      <c r="F24" s="36">
        <f t="shared" si="7"/>
        <v>3907.7422264723564</v>
      </c>
      <c r="G24" s="36">
        <f t="shared" si="7"/>
        <v>8853.703354493422</v>
      </c>
      <c r="H24" s="36">
        <f t="shared" si="7"/>
        <v>2008.4693384308036</v>
      </c>
      <c r="I24" s="36">
        <f t="shared" si="7"/>
        <v>10552.473878507266</v>
      </c>
      <c r="J24" s="36">
        <f t="shared" ref="J24:K24" si="8">SUM(J15:J23)</f>
        <v>2317</v>
      </c>
      <c r="K24" s="36">
        <f t="shared" si="8"/>
        <v>22448.478113985148</v>
      </c>
      <c r="L24" s="36">
        <f t="shared" ref="L24" si="9">SUM(L15:L23)</f>
        <v>2128.4877856949242</v>
      </c>
      <c r="M24" s="7"/>
    </row>
    <row r="25" spans="1:14">
      <c r="A25" s="222" t="s">
        <v>282</v>
      </c>
      <c r="B25" s="222" t="s">
        <v>354</v>
      </c>
      <c r="C25" s="223">
        <f>'26년 총원가 배분'!L67</f>
        <v>0</v>
      </c>
      <c r="D25" s="223">
        <f>투자비!J65*1.015</f>
        <v>648.58499999999992</v>
      </c>
      <c r="E25" s="236">
        <f>D$25*1.015^(E$4-D$4)</f>
        <v>658.31377499999985</v>
      </c>
      <c r="F25" s="236">
        <f t="shared" ref="F25:L25" si="10">E$25*1.015^(F$4-E$4)</f>
        <v>668.18848162499978</v>
      </c>
      <c r="G25" s="236">
        <f t="shared" si="10"/>
        <v>678.21130884937475</v>
      </c>
      <c r="H25" s="236">
        <f t="shared" si="10"/>
        <v>688.38447848211536</v>
      </c>
      <c r="I25" s="236">
        <f t="shared" si="10"/>
        <v>698.71024565934704</v>
      </c>
      <c r="J25" s="236">
        <f t="shared" si="10"/>
        <v>709.19089934423721</v>
      </c>
      <c r="K25" s="236">
        <f t="shared" si="10"/>
        <v>719.82876283440066</v>
      </c>
      <c r="L25" s="236">
        <f t="shared" si="10"/>
        <v>730.62619427691664</v>
      </c>
    </row>
    <row r="26" spans="1:14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4">
      <c r="A27" s="3"/>
      <c r="B27" s="12"/>
      <c r="C27" s="15"/>
      <c r="D27" s="15" t="s">
        <v>253</v>
      </c>
      <c r="E27" s="15" t="s">
        <v>252</v>
      </c>
      <c r="F27" s="15"/>
      <c r="G27" s="15"/>
      <c r="H27" s="15" t="s">
        <v>253</v>
      </c>
      <c r="I27" s="15" t="s">
        <v>252</v>
      </c>
      <c r="J27" s="7"/>
      <c r="K27" s="7"/>
      <c r="L27" s="7"/>
      <c r="M27" s="7"/>
      <c r="N27" s="7"/>
    </row>
    <row r="28" spans="1:14">
      <c r="B28" s="159"/>
      <c r="C28" s="214" t="s">
        <v>251</v>
      </c>
      <c r="D28" s="160">
        <v>1609</v>
      </c>
      <c r="E28" s="159">
        <v>146</v>
      </c>
      <c r="G28" s="159" t="s">
        <v>255</v>
      </c>
      <c r="H28" s="160">
        <v>1630</v>
      </c>
      <c r="I28" s="159">
        <v>146</v>
      </c>
      <c r="J28" s="7"/>
      <c r="K28" s="7"/>
      <c r="L28" s="7"/>
      <c r="M28" s="7"/>
      <c r="N28" s="7"/>
    </row>
    <row r="29" spans="1:14">
      <c r="B29" s="159"/>
      <c r="C29" s="214" t="s">
        <v>254</v>
      </c>
      <c r="D29" s="160">
        <f>D28*(E29/E28)^0.6</f>
        <v>2326.8189340160143</v>
      </c>
      <c r="E29" s="159">
        <v>270</v>
      </c>
      <c r="G29" s="159" t="s">
        <v>260</v>
      </c>
      <c r="H29" s="160">
        <f>H28*(I29/I28)^0.6</f>
        <v>2357.1876087297101</v>
      </c>
      <c r="I29" s="159">
        <v>270</v>
      </c>
      <c r="J29" s="7"/>
      <c r="K29" s="7"/>
      <c r="L29" s="7"/>
      <c r="M29" s="7"/>
      <c r="N29" s="7"/>
    </row>
    <row r="30" spans="1:14">
      <c r="B30" s="159"/>
      <c r="C30" s="159"/>
      <c r="E30" s="159"/>
      <c r="I30" s="7"/>
      <c r="J30" s="7"/>
      <c r="K30" s="7"/>
      <c r="L30" s="7"/>
      <c r="M30" s="7"/>
      <c r="N30" s="7"/>
    </row>
    <row r="31" spans="1:14">
      <c r="B31" s="159"/>
      <c r="C31" s="159"/>
      <c r="D31" s="159"/>
      <c r="E31" s="159"/>
      <c r="I31" s="7"/>
      <c r="J31" s="7"/>
      <c r="K31" s="7"/>
      <c r="L31" s="7"/>
      <c r="M31" s="7"/>
      <c r="N31" s="7"/>
    </row>
    <row r="32" spans="1:14">
      <c r="B32" s="159"/>
      <c r="C32" s="159" t="s">
        <v>255</v>
      </c>
      <c r="D32" s="160">
        <v>716</v>
      </c>
      <c r="E32" s="159">
        <v>146</v>
      </c>
      <c r="I32" s="7"/>
      <c r="J32" s="7"/>
      <c r="K32" s="7"/>
      <c r="L32" s="7"/>
      <c r="M32" s="7"/>
      <c r="N32" s="7"/>
    </row>
    <row r="33" spans="2:14">
      <c r="B33" s="159"/>
      <c r="C33" s="159" t="s">
        <v>93</v>
      </c>
      <c r="D33" s="160">
        <f>D32*(E33/E32)^0.6</f>
        <v>1035.4271950002897</v>
      </c>
      <c r="E33" s="159">
        <v>270</v>
      </c>
      <c r="G33" t="s">
        <v>259</v>
      </c>
      <c r="I33" s="7"/>
      <c r="J33" s="7"/>
      <c r="K33" s="7"/>
      <c r="L33" s="7"/>
      <c r="M33" s="7"/>
      <c r="N33" s="7"/>
    </row>
    <row r="34" spans="2:14">
      <c r="B34" s="159"/>
      <c r="C34" s="159"/>
      <c r="D34" s="159"/>
      <c r="E34" s="159"/>
      <c r="I34" s="7"/>
      <c r="J34" s="7"/>
      <c r="K34" s="7"/>
      <c r="L34" s="7"/>
      <c r="M34" s="7"/>
      <c r="N34" s="7"/>
    </row>
    <row r="35" spans="2:14">
      <c r="B35" s="159"/>
      <c r="C35" s="159" t="s">
        <v>255</v>
      </c>
      <c r="D35" s="160">
        <v>3098</v>
      </c>
      <c r="E35" s="159">
        <v>146</v>
      </c>
      <c r="I35" s="7"/>
      <c r="J35" s="7"/>
      <c r="K35" s="7"/>
      <c r="L35" s="7"/>
      <c r="M35" s="7"/>
      <c r="N35" s="7"/>
    </row>
    <row r="36" spans="2:14">
      <c r="B36" s="159"/>
      <c r="C36" s="159" t="s">
        <v>256</v>
      </c>
      <c r="D36" s="160">
        <f>D35*(E36/E35)^0.6</f>
        <v>4480.1025839537679</v>
      </c>
      <c r="E36" s="159">
        <v>270</v>
      </c>
      <c r="I36" s="7"/>
      <c r="J36" s="7"/>
      <c r="K36" s="7"/>
      <c r="L36" s="7"/>
      <c r="M36" s="7"/>
      <c r="N36" s="7"/>
    </row>
    <row r="37" spans="2:14">
      <c r="B37" s="159"/>
      <c r="C37" s="159"/>
      <c r="D37" s="159"/>
      <c r="E37" s="159"/>
      <c r="I37" s="7"/>
      <c r="J37" s="7"/>
      <c r="K37" s="7"/>
      <c r="L37" s="7"/>
      <c r="M37" s="7"/>
      <c r="N37" s="7"/>
    </row>
    <row r="38" spans="2:14">
      <c r="B38" s="159"/>
      <c r="C38" s="159" t="s">
        <v>257</v>
      </c>
      <c r="D38" s="160">
        <v>887</v>
      </c>
      <c r="E38" s="159">
        <v>146</v>
      </c>
      <c r="I38" s="7"/>
      <c r="J38" s="7"/>
      <c r="K38" s="7"/>
      <c r="L38" s="7"/>
      <c r="M38" s="7"/>
      <c r="N38" s="7"/>
    </row>
    <row r="39" spans="2:14">
      <c r="B39" s="159"/>
      <c r="C39" s="159" t="s">
        <v>34</v>
      </c>
      <c r="D39" s="160">
        <f>D38*(E39/E38)^0.6</f>
        <v>1282.7149748118115</v>
      </c>
      <c r="E39" s="159">
        <v>270</v>
      </c>
      <c r="I39" s="7"/>
      <c r="J39" s="7"/>
      <c r="K39" s="7"/>
      <c r="L39" s="7"/>
      <c r="M39" s="7"/>
      <c r="N39" s="7"/>
    </row>
    <row r="40" spans="2:14">
      <c r="B40" s="159"/>
      <c r="C40" s="159"/>
      <c r="D40" s="159"/>
      <c r="E40" s="159"/>
      <c r="I40" s="7"/>
      <c r="J40" s="7"/>
      <c r="K40" s="7"/>
      <c r="L40" s="7"/>
      <c r="M40" s="7"/>
      <c r="N40" s="7"/>
    </row>
    <row r="41" spans="2:14">
      <c r="B41" s="159"/>
      <c r="C41" s="159" t="s">
        <v>258</v>
      </c>
      <c r="D41" s="160">
        <v>1294</v>
      </c>
      <c r="E41" s="159">
        <v>146</v>
      </c>
      <c r="I41" s="7"/>
      <c r="J41" s="7"/>
      <c r="K41" s="7"/>
      <c r="L41" s="7"/>
      <c r="M41" s="7"/>
      <c r="N41" s="7"/>
    </row>
    <row r="42" spans="2:14">
      <c r="B42" s="159"/>
      <c r="C42" s="159" t="s">
        <v>39</v>
      </c>
      <c r="D42" s="160">
        <f>D41*(E42/E41)^0.6</f>
        <v>1871.2888133105794</v>
      </c>
      <c r="E42" s="159">
        <v>270</v>
      </c>
      <c r="I42" s="7"/>
      <c r="J42" s="7"/>
      <c r="K42" s="7"/>
      <c r="L42" s="7"/>
      <c r="M42" s="7"/>
      <c r="N42" s="7"/>
    </row>
    <row r="43" spans="2:14">
      <c r="B43" s="159"/>
      <c r="C43" s="159"/>
      <c r="D43" s="159"/>
      <c r="E43" s="159"/>
      <c r="I43" s="7"/>
      <c r="J43" s="7"/>
      <c r="K43" s="7"/>
      <c r="L43" s="7"/>
      <c r="M43" s="7"/>
      <c r="N43" s="7"/>
    </row>
    <row r="44" spans="2:14">
      <c r="B44" s="159"/>
      <c r="C44" s="159"/>
      <c r="D44" s="159"/>
      <c r="E44" s="159"/>
      <c r="I44" s="7"/>
      <c r="J44" s="7"/>
      <c r="K44" s="7"/>
      <c r="L44" s="7"/>
      <c r="M44" s="7"/>
      <c r="N44" s="7"/>
    </row>
    <row r="45" spans="2:14">
      <c r="B45" s="159"/>
      <c r="C45" s="159"/>
      <c r="D45" s="159"/>
      <c r="E45" s="159"/>
    </row>
    <row r="46" spans="2:14">
      <c r="B46" s="159"/>
      <c r="C46" s="159"/>
      <c r="D46" s="159"/>
      <c r="E46" s="159"/>
    </row>
    <row r="47" spans="2:14">
      <c r="B47" s="159"/>
      <c r="C47" s="159"/>
      <c r="D47" s="159"/>
      <c r="E47" s="159"/>
    </row>
    <row r="48" spans="2:14">
      <c r="B48" s="159"/>
      <c r="C48" s="159"/>
      <c r="D48" s="159"/>
      <c r="E48" s="159"/>
    </row>
    <row r="49" spans="2:5">
      <c r="B49" s="159"/>
      <c r="C49" s="159"/>
      <c r="D49" s="159"/>
      <c r="E49" s="159"/>
    </row>
    <row r="50" spans="2:5">
      <c r="B50" s="159"/>
      <c r="C50" s="159"/>
      <c r="D50" s="159"/>
      <c r="E50" s="159"/>
    </row>
  </sheetData>
  <mergeCells count="10">
    <mergeCell ref="A21:A22"/>
    <mergeCell ref="A24:B24"/>
    <mergeCell ref="A4:B4"/>
    <mergeCell ref="A5:B5"/>
    <mergeCell ref="A15:B15"/>
    <mergeCell ref="A16:B16"/>
    <mergeCell ref="A20:B20"/>
    <mergeCell ref="A17:A18"/>
    <mergeCell ref="A14:B14"/>
    <mergeCell ref="A6:A12"/>
  </mergeCells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5"/>
  </sheetPr>
  <dimension ref="A3:O42"/>
  <sheetViews>
    <sheetView zoomScale="85" zoomScaleNormal="85" workbookViewId="0">
      <selection activeCell="D25" sqref="D25"/>
    </sheetView>
  </sheetViews>
  <sheetFormatPr defaultRowHeight="16.899999999999999"/>
  <cols>
    <col min="1" max="1" width="12.625" customWidth="1"/>
    <col min="2" max="2" width="21.875" customWidth="1"/>
    <col min="3" max="4" width="15.875" customWidth="1"/>
    <col min="5" max="5" width="18.75" customWidth="1"/>
    <col min="6" max="6" width="15" customWidth="1"/>
    <col min="7" max="7" width="17.625" customWidth="1"/>
    <col min="8" max="8" width="16.875" customWidth="1"/>
    <col min="9" max="9" width="16.5" customWidth="1"/>
    <col min="10" max="12" width="14.875" customWidth="1"/>
  </cols>
  <sheetData>
    <row r="3" spans="1:12">
      <c r="B3" t="s">
        <v>83</v>
      </c>
      <c r="C3" s="20">
        <v>18</v>
      </c>
      <c r="D3" s="20">
        <v>19</v>
      </c>
      <c r="E3" s="20">
        <v>20</v>
      </c>
      <c r="F3" s="20">
        <v>21</v>
      </c>
      <c r="G3" s="20">
        <v>22</v>
      </c>
      <c r="J3" s="31"/>
      <c r="K3" s="31"/>
      <c r="L3" s="9" t="s">
        <v>77</v>
      </c>
    </row>
    <row r="4" spans="1:12">
      <c r="A4" s="254" t="s">
        <v>73</v>
      </c>
      <c r="B4" s="254"/>
      <c r="C4" s="161">
        <v>26</v>
      </c>
      <c r="D4" s="161">
        <v>27</v>
      </c>
      <c r="E4" s="161">
        <v>28</v>
      </c>
      <c r="F4" s="161">
        <v>29</v>
      </c>
      <c r="G4" s="161">
        <v>30</v>
      </c>
      <c r="H4" s="161">
        <v>31</v>
      </c>
      <c r="I4" s="161">
        <v>32</v>
      </c>
      <c r="J4" s="162">
        <v>33</v>
      </c>
      <c r="K4" s="162">
        <v>34</v>
      </c>
      <c r="L4" s="162">
        <v>35</v>
      </c>
    </row>
    <row r="5" spans="1:12">
      <c r="A5" s="254" t="s">
        <v>68</v>
      </c>
      <c r="B5" s="254"/>
      <c r="C5" s="5" t="s">
        <v>46</v>
      </c>
      <c r="D5" s="5" t="s">
        <v>46</v>
      </c>
      <c r="E5" s="5" t="s">
        <v>101</v>
      </c>
      <c r="F5" s="141" t="s">
        <v>82</v>
      </c>
      <c r="G5" s="141" t="s">
        <v>82</v>
      </c>
      <c r="H5" s="5" t="s">
        <v>106</v>
      </c>
      <c r="I5" s="37" t="s">
        <v>46</v>
      </c>
      <c r="J5" s="50" t="s">
        <v>144</v>
      </c>
      <c r="K5" s="50" t="s">
        <v>101</v>
      </c>
      <c r="L5" s="50" t="s">
        <v>82</v>
      </c>
    </row>
    <row r="6" spans="1:12">
      <c r="A6" s="266" t="s">
        <v>93</v>
      </c>
      <c r="B6" s="37" t="s">
        <v>94</v>
      </c>
      <c r="C6" s="200">
        <f>'26년 총원가 배분'!M48</f>
        <v>30</v>
      </c>
      <c r="D6" s="200">
        <f>$C6*1.015^(D$4-$C$4)</f>
        <v>30.449999999999996</v>
      </c>
      <c r="E6" s="200">
        <f t="shared" ref="E6:L6" si="0">$C6*1.015^(E$4-$C$4)</f>
        <v>30.906749999999992</v>
      </c>
      <c r="F6" s="200">
        <f t="shared" si="0"/>
        <v>31.370351249999988</v>
      </c>
      <c r="G6" s="200">
        <f t="shared" si="0"/>
        <v>31.840906518749982</v>
      </c>
      <c r="H6" s="200">
        <f t="shared" si="0"/>
        <v>32.318520116531232</v>
      </c>
      <c r="I6" s="200">
        <f t="shared" si="0"/>
        <v>32.803297918279192</v>
      </c>
      <c r="J6" s="200">
        <f t="shared" si="0"/>
        <v>33.295347387053376</v>
      </c>
      <c r="K6" s="200">
        <f t="shared" si="0"/>
        <v>33.794777597859174</v>
      </c>
      <c r="L6" s="200">
        <f t="shared" si="0"/>
        <v>34.301699261827054</v>
      </c>
    </row>
    <row r="7" spans="1:12">
      <c r="A7" s="270"/>
      <c r="B7" s="37" t="s">
        <v>95</v>
      </c>
      <c r="C7" s="200">
        <f>'26년 총원가 배분'!M49</f>
        <v>1763</v>
      </c>
      <c r="D7" s="143">
        <f>1076*1.015^(D4-25)</f>
        <v>1108.5220999999997</v>
      </c>
      <c r="E7" s="143">
        <f>D29*1.015^(E4-22)</f>
        <v>2544.2444898140043</v>
      </c>
      <c r="F7" s="209">
        <f>1076*1.015^(F4-25)</f>
        <v>1142.0271804724994</v>
      </c>
      <c r="G7" s="209">
        <f>1076*1.015^(G4-25)</f>
        <v>1159.1575881795868</v>
      </c>
      <c r="H7" s="143">
        <f>H29*1.015^(H4-25)</f>
        <v>2577.4509126145599</v>
      </c>
      <c r="I7" s="209">
        <f>1076*1.015^(I4-25)</f>
        <v>1194.1931262823143</v>
      </c>
      <c r="J7" s="209">
        <f>1076*1.015^(J4-25)</f>
        <v>1212.1060231765489</v>
      </c>
      <c r="K7" s="209">
        <f>D29*1.015^(K4-22)</f>
        <v>2781.9869992103008</v>
      </c>
      <c r="L7" s="209">
        <f>1076*1.015^(L4-25)</f>
        <v>1248.7419277270599</v>
      </c>
    </row>
    <row r="8" spans="1:12">
      <c r="A8" s="270"/>
      <c r="B8" s="37" t="s">
        <v>96</v>
      </c>
      <c r="C8" s="200">
        <f>'26년 총원가 배분'!M50</f>
        <v>3319</v>
      </c>
      <c r="D8" s="209">
        <f>$C8*1.015^(D$4-25)</f>
        <v>3419.3167749999989</v>
      </c>
      <c r="E8" s="225">
        <f t="shared" ref="E8:L8" si="1">$C8*1.015^(E$4-25)</f>
        <v>3470.6065266249989</v>
      </c>
      <c r="F8" s="225">
        <f t="shared" si="1"/>
        <v>3522.665624524373</v>
      </c>
      <c r="G8" s="225">
        <f t="shared" si="1"/>
        <v>3575.5056088922383</v>
      </c>
      <c r="H8" s="225">
        <f t="shared" si="1"/>
        <v>3629.1381930256211</v>
      </c>
      <c r="I8" s="225">
        <f t="shared" si="1"/>
        <v>3683.5752659210048</v>
      </c>
      <c r="J8" s="225">
        <f t="shared" si="1"/>
        <v>3738.8288949098196</v>
      </c>
      <c r="K8" s="225">
        <f t="shared" si="1"/>
        <v>3794.9113283334664</v>
      </c>
      <c r="L8" s="225">
        <f t="shared" si="1"/>
        <v>3851.8349982584682</v>
      </c>
    </row>
    <row r="9" spans="1:12">
      <c r="A9" s="270"/>
      <c r="B9" s="37" t="s">
        <v>97</v>
      </c>
      <c r="C9" s="200">
        <f>'26년 총원가 배분'!M51</f>
        <v>203</v>
      </c>
      <c r="D9" s="200">
        <f>$C9*1.015^(D$4-$C$4)</f>
        <v>206.04499999999999</v>
      </c>
      <c r="E9" s="200">
        <f t="shared" ref="E9:L9" si="2">$C9*1.015^(E$4-$C$4)</f>
        <v>209.13567499999994</v>
      </c>
      <c r="F9" s="200">
        <f t="shared" si="2"/>
        <v>212.27271012499992</v>
      </c>
      <c r="G9" s="200">
        <f t="shared" si="2"/>
        <v>215.45680077687487</v>
      </c>
      <c r="H9" s="200">
        <f t="shared" si="2"/>
        <v>218.68865278852797</v>
      </c>
      <c r="I9" s="200">
        <f t="shared" si="2"/>
        <v>221.96898258035586</v>
      </c>
      <c r="J9" s="200">
        <f t="shared" si="2"/>
        <v>225.29851731906115</v>
      </c>
      <c r="K9" s="200">
        <f t="shared" si="2"/>
        <v>228.67799507884706</v>
      </c>
      <c r="L9" s="200">
        <f t="shared" si="2"/>
        <v>232.10816500502975</v>
      </c>
    </row>
    <row r="10" spans="1:12">
      <c r="A10" s="270"/>
      <c r="B10" s="37" t="s">
        <v>281</v>
      </c>
      <c r="C10" s="200">
        <f>'26년 총원가 배분'!M52</f>
        <v>372</v>
      </c>
      <c r="D10" s="200">
        <f>$C10*1.015^(D$4-26)</f>
        <v>377.58</v>
      </c>
      <c r="E10" s="200">
        <f t="shared" ref="E10:L10" si="3">$C10*1.015^(E$4-26)</f>
        <v>383.24369999999988</v>
      </c>
      <c r="F10" s="200">
        <f t="shared" si="3"/>
        <v>388.99235549999986</v>
      </c>
      <c r="G10" s="200">
        <f t="shared" si="3"/>
        <v>394.8272408324998</v>
      </c>
      <c r="H10" s="200">
        <f t="shared" si="3"/>
        <v>400.74964944498726</v>
      </c>
      <c r="I10" s="200">
        <f t="shared" si="3"/>
        <v>406.76089418666197</v>
      </c>
      <c r="J10" s="200">
        <f t="shared" si="3"/>
        <v>412.86230759946181</v>
      </c>
      <c r="K10" s="200">
        <f t="shared" si="3"/>
        <v>419.05524221345371</v>
      </c>
      <c r="L10" s="200">
        <f t="shared" si="3"/>
        <v>425.3410708466555</v>
      </c>
    </row>
    <row r="11" spans="1:12">
      <c r="A11" s="270"/>
      <c r="B11" s="201" t="s">
        <v>351</v>
      </c>
      <c r="C11" s="200">
        <f>'26년 총원가 배분'!M53</f>
        <v>117</v>
      </c>
      <c r="D11" s="209">
        <f>309*1.015^(D$4-$C$4)</f>
        <v>313.63499999999999</v>
      </c>
      <c r="E11" s="200">
        <f>$D11*1.015^(E$4-$C$4)</f>
        <v>323.11461787499991</v>
      </c>
      <c r="F11" s="223">
        <f t="shared" ref="F11:L12" si="4">$D11*1.015^(F$4-$C$4)</f>
        <v>327.96133714312487</v>
      </c>
      <c r="G11" s="223">
        <f t="shared" si="4"/>
        <v>332.88075720027166</v>
      </c>
      <c r="H11" s="223">
        <f t="shared" si="4"/>
        <v>337.87396855827569</v>
      </c>
      <c r="I11" s="223">
        <f t="shared" si="4"/>
        <v>342.94207808664981</v>
      </c>
      <c r="J11" s="223">
        <f t="shared" si="4"/>
        <v>348.08620925794946</v>
      </c>
      <c r="K11" s="223">
        <f t="shared" si="4"/>
        <v>353.30750239681868</v>
      </c>
      <c r="L11" s="223">
        <f t="shared" si="4"/>
        <v>358.60711493277091</v>
      </c>
    </row>
    <row r="12" spans="1:12">
      <c r="A12" s="267"/>
      <c r="B12" s="201" t="s">
        <v>352</v>
      </c>
      <c r="C12" s="200">
        <f>'26년 총원가 배분'!M54</f>
        <v>16</v>
      </c>
      <c r="D12" s="209">
        <f>34*1.015^(D$4-$C$4)</f>
        <v>34.51</v>
      </c>
      <c r="E12" s="200">
        <f>$D12*1.015^(E$4-$C$4)</f>
        <v>35.55306474999999</v>
      </c>
      <c r="F12" s="223">
        <f t="shared" si="4"/>
        <v>36.086360721249982</v>
      </c>
      <c r="G12" s="223">
        <f t="shared" si="4"/>
        <v>36.627656132068729</v>
      </c>
      <c r="H12" s="223">
        <f t="shared" si="4"/>
        <v>37.177070974049755</v>
      </c>
      <c r="I12" s="223">
        <f t="shared" si="4"/>
        <v>37.734727038660495</v>
      </c>
      <c r="J12" s="223">
        <f t="shared" si="4"/>
        <v>38.300747944240392</v>
      </c>
      <c r="K12" s="223">
        <f t="shared" si="4"/>
        <v>38.875259163403996</v>
      </c>
      <c r="L12" s="223">
        <f t="shared" si="4"/>
        <v>39.458388050855049</v>
      </c>
    </row>
    <row r="13" spans="1:12">
      <c r="A13" s="208" t="s">
        <v>98</v>
      </c>
      <c r="B13" s="37" t="s">
        <v>99</v>
      </c>
      <c r="C13" s="200">
        <f>'26년 총원가 배분'!M55</f>
        <v>439</v>
      </c>
      <c r="D13" s="209">
        <f t="shared" ref="D13:L13" si="5">$C13*1.015^(D$4-$C$4)</f>
        <v>445.58499999999998</v>
      </c>
      <c r="E13" s="209">
        <f t="shared" si="5"/>
        <v>452.26877499999989</v>
      </c>
      <c r="F13" s="209">
        <f t="shared" si="5"/>
        <v>459.05280662499985</v>
      </c>
      <c r="G13" s="209">
        <f t="shared" si="5"/>
        <v>465.93859872437474</v>
      </c>
      <c r="H13" s="209">
        <f t="shared" si="5"/>
        <v>472.92767770524028</v>
      </c>
      <c r="I13" s="209">
        <f t="shared" si="5"/>
        <v>480.02159287081884</v>
      </c>
      <c r="J13" s="209">
        <f t="shared" si="5"/>
        <v>487.22191676388104</v>
      </c>
      <c r="K13" s="209">
        <f t="shared" si="5"/>
        <v>494.53024551533923</v>
      </c>
      <c r="L13" s="209">
        <f t="shared" si="5"/>
        <v>501.94819919806923</v>
      </c>
    </row>
    <row r="14" spans="1:12">
      <c r="A14" s="254" t="s">
        <v>105</v>
      </c>
      <c r="B14" s="254"/>
      <c r="C14" s="59">
        <f t="shared" ref="C14:L14" si="6">SUM(C6:C13)</f>
        <v>6259</v>
      </c>
      <c r="D14" s="59">
        <f t="shared" si="6"/>
        <v>5935.6438749999988</v>
      </c>
      <c r="E14" s="59">
        <f t="shared" si="6"/>
        <v>7449.0735990640014</v>
      </c>
      <c r="F14" s="59">
        <f t="shared" si="6"/>
        <v>6120.4287263612468</v>
      </c>
      <c r="G14" s="59">
        <f t="shared" si="6"/>
        <v>6212.2351572566649</v>
      </c>
      <c r="H14" s="59">
        <f t="shared" si="6"/>
        <v>7706.3246452277926</v>
      </c>
      <c r="I14" s="59">
        <f t="shared" si="6"/>
        <v>6399.9999648847452</v>
      </c>
      <c r="J14" s="143">
        <f t="shared" si="6"/>
        <v>6495.9999643580159</v>
      </c>
      <c r="K14" s="143">
        <f t="shared" si="6"/>
        <v>8145.139349509489</v>
      </c>
      <c r="L14" s="200">
        <f t="shared" si="6"/>
        <v>6692.3415632807355</v>
      </c>
    </row>
    <row r="15" spans="1:12">
      <c r="A15" s="254" t="s">
        <v>65</v>
      </c>
      <c r="B15" s="254"/>
      <c r="C15" s="200">
        <f>'26년 총원가 배분'!M58</f>
        <v>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</row>
    <row r="16" spans="1:12">
      <c r="A16" s="254" t="s">
        <v>66</v>
      </c>
      <c r="B16" s="254"/>
      <c r="C16" s="200">
        <f>'26년 총원가 배분'!M59</f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</row>
    <row r="17" spans="1:15">
      <c r="A17" s="266" t="s">
        <v>34</v>
      </c>
      <c r="B17" s="147" t="s">
        <v>81</v>
      </c>
      <c r="C17" s="200">
        <f>'26년 총원가 배분'!M60</f>
        <v>0</v>
      </c>
      <c r="D17" s="11">
        <f>TRUNC('고온부품(26)'!G21/1000)</f>
        <v>0</v>
      </c>
      <c r="E17" s="11">
        <f>TRUNC('고온부품(26)'!H21/1000)</f>
        <v>0</v>
      </c>
      <c r="F17" s="11">
        <f>TRUNC('고온부품(26)'!I21/1000)</f>
        <v>0</v>
      </c>
      <c r="G17" s="11">
        <f>TRUNC('고온부품(26)'!J21/1000)</f>
        <v>6575</v>
      </c>
      <c r="H17" s="11">
        <f>TRUNC('고온부품(26)'!K21/1000)</f>
        <v>0</v>
      </c>
      <c r="I17" s="11">
        <f>TRUNC('고온부품(26)'!L21/1000)</f>
        <v>0</v>
      </c>
      <c r="J17" s="11">
        <f>TRUNC('고온부품(26)'!M21/1000)</f>
        <v>6977</v>
      </c>
      <c r="K17" s="11">
        <f>TRUNC('고온부품(26)'!N21/1000)</f>
        <v>0</v>
      </c>
      <c r="L17" s="11">
        <f>TRUNC('고온부품(26)'!O21/1000)</f>
        <v>0</v>
      </c>
      <c r="O17" s="111">
        <v>2600</v>
      </c>
    </row>
    <row r="18" spans="1:15">
      <c r="A18" s="267"/>
      <c r="B18" s="5" t="s">
        <v>64</v>
      </c>
      <c r="C18" s="200">
        <f>'26년 총원가 배분'!M61</f>
        <v>802</v>
      </c>
      <c r="D18" s="10">
        <v>706</v>
      </c>
      <c r="E18" s="10">
        <v>706</v>
      </c>
      <c r="F18" s="10">
        <v>706</v>
      </c>
      <c r="G18" s="10">
        <v>706</v>
      </c>
      <c r="H18" s="10">
        <v>1283</v>
      </c>
      <c r="I18" s="10">
        <v>706</v>
      </c>
      <c r="J18" s="10">
        <v>706</v>
      </c>
      <c r="K18" s="10">
        <v>706</v>
      </c>
      <c r="L18" s="10">
        <v>706</v>
      </c>
    </row>
    <row r="19" spans="1:15">
      <c r="A19" s="37" t="s">
        <v>102</v>
      </c>
      <c r="B19" s="37" t="s">
        <v>103</v>
      </c>
      <c r="C19" s="200">
        <f>'26년 총원가 배분'!M62</f>
        <v>0</v>
      </c>
      <c r="D19" s="19">
        <v>0</v>
      </c>
      <c r="E19" s="19">
        <v>0</v>
      </c>
      <c r="F19" s="19">
        <v>0</v>
      </c>
      <c r="G19" s="19">
        <v>0</v>
      </c>
      <c r="H19" s="19">
        <f>D36*1.015^(H4-25)</f>
        <v>4898.737992196262</v>
      </c>
      <c r="I19" s="19">
        <v>0</v>
      </c>
      <c r="J19" s="10">
        <v>0</v>
      </c>
      <c r="K19" s="10"/>
      <c r="L19" s="10"/>
    </row>
    <row r="20" spans="1:15">
      <c r="A20" s="268" t="s">
        <v>63</v>
      </c>
      <c r="B20" s="269"/>
      <c r="C20" s="200">
        <f>'26년 총원가 배분'!M63</f>
        <v>127</v>
      </c>
      <c r="D20" s="10">
        <f>111*1.015^(D4-19)/2</f>
        <v>62.520338556039469</v>
      </c>
      <c r="E20" s="19">
        <f>51*1.015^(E4-E3)/2</f>
        <v>28.725560958180296</v>
      </c>
      <c r="F20" s="19">
        <f>6/2</f>
        <v>3</v>
      </c>
      <c r="G20" s="19">
        <v>16</v>
      </c>
      <c r="H20" s="19">
        <v>5.5824999999999996</v>
      </c>
      <c r="I20" s="19">
        <v>5.5824999999999996</v>
      </c>
      <c r="J20" s="10">
        <v>6</v>
      </c>
      <c r="K20" s="10">
        <v>6</v>
      </c>
      <c r="L20" s="10">
        <v>6</v>
      </c>
      <c r="O20">
        <v>2600</v>
      </c>
    </row>
    <row r="21" spans="1:15">
      <c r="A21" s="254" t="s">
        <v>61</v>
      </c>
      <c r="B21" s="147" t="s">
        <v>38</v>
      </c>
      <c r="C21" s="200">
        <f>'26년 총원가 배분'!M64</f>
        <v>0</v>
      </c>
      <c r="D21" s="11">
        <f>TRUNC('고온부품(26)'!G22/1000)</f>
        <v>0</v>
      </c>
      <c r="E21" s="11">
        <f>TRUNC('고온부품(26)'!H22/1000)</f>
        <v>0</v>
      </c>
      <c r="F21" s="11">
        <f>TRUNC('고온부품(26)'!I22/1000)</f>
        <v>17899</v>
      </c>
      <c r="G21" s="11">
        <f>TRUNC('고온부품(26)'!J22/1000)</f>
        <v>0</v>
      </c>
      <c r="H21" s="11">
        <f>TRUNC('고온부품(26)'!K22/1000)</f>
        <v>0</v>
      </c>
      <c r="I21" s="11">
        <f>TRUNC('고온부품(26)'!L22/1000)</f>
        <v>0</v>
      </c>
      <c r="J21" s="11">
        <f>TRUNC('고온부품(26)'!M22/1000)</f>
        <v>0</v>
      </c>
      <c r="K21" s="11">
        <f>TRUNC('고온부품(26)'!N22/1000)</f>
        <v>0</v>
      </c>
      <c r="L21" s="11">
        <f>TRUNC('고온부품(26)'!O22/1000)</f>
        <v>0</v>
      </c>
    </row>
    <row r="22" spans="1:15">
      <c r="A22" s="254"/>
      <c r="B22" s="5" t="s">
        <v>39</v>
      </c>
      <c r="C22" s="200">
        <f>'26년 총원가 배분'!M65</f>
        <v>627</v>
      </c>
      <c r="D22" s="10">
        <f>636*1.015^(D4-19)/2</f>
        <v>358.2246425373072</v>
      </c>
      <c r="E22" s="10">
        <v>358</v>
      </c>
      <c r="F22" s="10">
        <v>358</v>
      </c>
      <c r="G22" s="10">
        <v>1610</v>
      </c>
      <c r="H22" s="19">
        <v>356</v>
      </c>
      <c r="I22" s="19">
        <f>636*1.015^(I4-19)/2</f>
        <v>385.90967720263905</v>
      </c>
      <c r="J22" s="10">
        <v>386</v>
      </c>
      <c r="K22" s="10">
        <v>386</v>
      </c>
      <c r="L22" s="10">
        <v>386</v>
      </c>
    </row>
    <row r="23" spans="1:15">
      <c r="A23" s="13" t="s">
        <v>67</v>
      </c>
      <c r="B23" s="13" t="s">
        <v>37</v>
      </c>
      <c r="C23" s="200">
        <f>'26년 총원가 배분'!M66</f>
        <v>0</v>
      </c>
      <c r="D23" s="10">
        <v>84</v>
      </c>
      <c r="E23" s="10">
        <v>84</v>
      </c>
      <c r="F23" s="10">
        <v>84</v>
      </c>
      <c r="G23" s="10">
        <v>170</v>
      </c>
      <c r="H23" s="10">
        <v>83.5</v>
      </c>
      <c r="I23" s="10">
        <v>83.5</v>
      </c>
      <c r="J23" s="36">
        <v>84</v>
      </c>
      <c r="K23" s="36">
        <v>84</v>
      </c>
      <c r="L23" s="36">
        <v>84</v>
      </c>
    </row>
    <row r="24" spans="1:15">
      <c r="A24" s="257" t="s">
        <v>78</v>
      </c>
      <c r="B24" s="257"/>
      <c r="C24" s="14">
        <f>SUM(C15:C23)</f>
        <v>1557</v>
      </c>
      <c r="D24" s="14">
        <f t="shared" ref="D24:I24" si="7">SUM(D15:D23)</f>
        <v>1210.7449810933467</v>
      </c>
      <c r="E24" s="14">
        <f t="shared" si="7"/>
        <v>1176.7255609581803</v>
      </c>
      <c r="F24" s="14">
        <f t="shared" si="7"/>
        <v>19050</v>
      </c>
      <c r="G24" s="14">
        <f t="shared" si="7"/>
        <v>9077</v>
      </c>
      <c r="H24" s="14">
        <f t="shared" si="7"/>
        <v>6626.8204921962624</v>
      </c>
      <c r="I24" s="14">
        <f t="shared" si="7"/>
        <v>1180.9921772026391</v>
      </c>
      <c r="J24" s="36">
        <f t="shared" ref="J24:K24" si="8">SUM(J15:J23)</f>
        <v>8159</v>
      </c>
      <c r="K24" s="36">
        <f t="shared" si="8"/>
        <v>1182</v>
      </c>
      <c r="L24" s="36">
        <f t="shared" ref="L24" si="9">SUM(L15:L23)</f>
        <v>1182</v>
      </c>
      <c r="M24" s="7"/>
      <c r="N24" s="7"/>
    </row>
    <row r="25" spans="1:15">
      <c r="A25" s="222" t="s">
        <v>282</v>
      </c>
      <c r="B25" s="222" t="s">
        <v>354</v>
      </c>
      <c r="C25" s="223">
        <f>'26년 총원가 배분'!M67</f>
        <v>1696</v>
      </c>
      <c r="D25" s="223">
        <f>투자비!K65*1.015</f>
        <v>3011.5049999999997</v>
      </c>
      <c r="E25" s="236">
        <f>D$25*1.015^(E$4-D$4)</f>
        <v>3056.6775749999993</v>
      </c>
      <c r="F25" s="236">
        <f t="shared" ref="F25:L25" si="10">E$25*1.015^(F$4-E$4)</f>
        <v>3102.5277386249991</v>
      </c>
      <c r="G25" s="236">
        <f t="shared" si="10"/>
        <v>3149.0656547043736</v>
      </c>
      <c r="H25" s="236">
        <f t="shared" si="10"/>
        <v>3196.3016395249388</v>
      </c>
      <c r="I25" s="236">
        <f t="shared" si="10"/>
        <v>3244.2461641178124</v>
      </c>
      <c r="J25" s="236">
        <f t="shared" si="10"/>
        <v>3292.9098565795794</v>
      </c>
      <c r="K25" s="236">
        <f t="shared" si="10"/>
        <v>3342.3035044282728</v>
      </c>
      <c r="L25" s="236">
        <f t="shared" si="10"/>
        <v>3392.4380569946966</v>
      </c>
    </row>
    <row r="26" spans="1:15">
      <c r="A26" s="7"/>
      <c r="B26" s="7"/>
      <c r="C26" s="7"/>
      <c r="D26" s="7"/>
      <c r="E26" s="7"/>
      <c r="F26" s="7"/>
      <c r="G26" s="7"/>
      <c r="H26" s="7"/>
      <c r="I26" s="7"/>
      <c r="J26" s="15"/>
      <c r="K26" s="15"/>
      <c r="L26" s="15"/>
      <c r="M26" s="7"/>
      <c r="N26" s="7"/>
    </row>
    <row r="27" spans="1:15">
      <c r="A27" s="3"/>
      <c r="B27" s="12"/>
      <c r="C27" s="15"/>
      <c r="D27" s="15" t="s">
        <v>253</v>
      </c>
      <c r="E27" s="15" t="s">
        <v>252</v>
      </c>
      <c r="F27" s="15"/>
      <c r="G27" s="15"/>
      <c r="H27" s="15"/>
      <c r="I27" s="7"/>
      <c r="J27" s="7"/>
      <c r="K27" s="7"/>
      <c r="L27" s="7"/>
      <c r="M27" s="7"/>
      <c r="N27" s="7"/>
    </row>
    <row r="28" spans="1:15">
      <c r="C28" s="159" t="s">
        <v>251</v>
      </c>
      <c r="D28" s="215">
        <v>1609</v>
      </c>
      <c r="E28" s="159">
        <v>146</v>
      </c>
      <c r="G28" s="159" t="s">
        <v>255</v>
      </c>
      <c r="H28" s="160">
        <v>1630</v>
      </c>
      <c r="I28" s="159">
        <v>146</v>
      </c>
    </row>
    <row r="29" spans="1:15">
      <c r="C29" s="159" t="s">
        <v>254</v>
      </c>
      <c r="D29" s="215">
        <v>2326.8189340160143</v>
      </c>
      <c r="E29" s="159">
        <v>270</v>
      </c>
      <c r="G29" s="159" t="s">
        <v>254</v>
      </c>
      <c r="H29" s="160">
        <f>H28*(I29/I28)^0.6</f>
        <v>2357.1876087297101</v>
      </c>
      <c r="I29" s="159">
        <v>270</v>
      </c>
    </row>
    <row r="30" spans="1:15">
      <c r="D30" s="159"/>
      <c r="E30" s="159"/>
      <c r="I30" s="7"/>
    </row>
    <row r="31" spans="1:15">
      <c r="C31" s="159"/>
      <c r="D31" s="159"/>
      <c r="E31" s="159"/>
      <c r="I31" s="7"/>
    </row>
    <row r="32" spans="1:15">
      <c r="C32" s="159" t="s">
        <v>255</v>
      </c>
      <c r="D32" s="160">
        <v>716</v>
      </c>
      <c r="E32" s="159">
        <v>146</v>
      </c>
      <c r="I32" s="7"/>
    </row>
    <row r="33" spans="3:9">
      <c r="C33" s="159" t="s">
        <v>93</v>
      </c>
      <c r="D33" s="160">
        <f>D32*(E33/E32)^0.6</f>
        <v>1035.4271950002897</v>
      </c>
      <c r="E33" s="159">
        <v>270</v>
      </c>
      <c r="I33" s="7"/>
    </row>
    <row r="34" spans="3:9">
      <c r="C34" s="159"/>
      <c r="D34" s="159"/>
      <c r="E34" s="159"/>
      <c r="I34" s="7"/>
    </row>
    <row r="35" spans="3:9">
      <c r="C35" s="159" t="s">
        <v>255</v>
      </c>
      <c r="D35" s="160">
        <v>3098</v>
      </c>
      <c r="E35" s="159">
        <v>146</v>
      </c>
      <c r="I35" s="7"/>
    </row>
    <row r="36" spans="3:9">
      <c r="C36" s="159" t="s">
        <v>256</v>
      </c>
      <c r="D36" s="160">
        <f>D35*(E36/E35)^0.6</f>
        <v>4480.1025839537679</v>
      </c>
      <c r="E36" s="159">
        <v>270</v>
      </c>
      <c r="I36" s="7"/>
    </row>
    <row r="37" spans="3:9">
      <c r="C37" s="159"/>
      <c r="D37" s="159"/>
      <c r="E37" s="159"/>
      <c r="I37" s="7"/>
    </row>
    <row r="38" spans="3:9">
      <c r="C38" s="159" t="s">
        <v>257</v>
      </c>
      <c r="D38" s="160">
        <v>887</v>
      </c>
      <c r="E38" s="159">
        <v>146</v>
      </c>
      <c r="I38" s="7"/>
    </row>
    <row r="39" spans="3:9">
      <c r="C39" s="159" t="s">
        <v>34</v>
      </c>
      <c r="D39" s="160">
        <f>D38*(E39/E38)^0.6</f>
        <v>1282.7149748118115</v>
      </c>
      <c r="E39" s="159">
        <v>270</v>
      </c>
      <c r="I39" s="7"/>
    </row>
    <row r="40" spans="3:9">
      <c r="C40" s="159"/>
      <c r="D40" s="159"/>
      <c r="E40" s="159"/>
      <c r="I40" s="7"/>
    </row>
    <row r="41" spans="3:9">
      <c r="C41" s="159" t="s">
        <v>258</v>
      </c>
      <c r="D41" s="160">
        <v>1294</v>
      </c>
      <c r="E41" s="159">
        <v>146</v>
      </c>
      <c r="I41" s="7"/>
    </row>
    <row r="42" spans="3:9">
      <c r="C42" s="159" t="s">
        <v>39</v>
      </c>
      <c r="D42" s="160">
        <f>D41*(E42/E41)^0.6</f>
        <v>1871.2888133105794</v>
      </c>
      <c r="E42" s="159">
        <v>270</v>
      </c>
      <c r="I42" s="7"/>
    </row>
  </sheetData>
  <mergeCells count="10">
    <mergeCell ref="A21:A22"/>
    <mergeCell ref="A24:B24"/>
    <mergeCell ref="A4:B4"/>
    <mergeCell ref="A5:B5"/>
    <mergeCell ref="A15:B15"/>
    <mergeCell ref="A16:B16"/>
    <mergeCell ref="A20:B20"/>
    <mergeCell ref="A17:A18"/>
    <mergeCell ref="A14:B14"/>
    <mergeCell ref="A6:A12"/>
  </mergeCells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8">
    <tabColor theme="7"/>
  </sheetPr>
  <dimension ref="A3:M28"/>
  <sheetViews>
    <sheetView zoomScaleNormal="100" workbookViewId="0">
      <selection activeCell="J28" sqref="J28"/>
    </sheetView>
  </sheetViews>
  <sheetFormatPr defaultRowHeight="16.899999999999999"/>
  <cols>
    <col min="1" max="1" width="12.625" customWidth="1"/>
    <col min="2" max="2" width="21.875" customWidth="1"/>
    <col min="3" max="4" width="15.875" customWidth="1"/>
    <col min="5" max="5" width="18.75" customWidth="1"/>
    <col min="6" max="6" width="15" customWidth="1"/>
    <col min="7" max="7" width="17.625" customWidth="1"/>
    <col min="8" max="8" width="16.875" customWidth="1"/>
    <col min="9" max="9" width="16.5" customWidth="1"/>
    <col min="10" max="10" width="16.125" customWidth="1"/>
    <col min="11" max="12" width="20.5" customWidth="1"/>
  </cols>
  <sheetData>
    <row r="3" spans="1:12">
      <c r="D3" s="20"/>
      <c r="E3" s="20"/>
      <c r="F3" s="20" t="s">
        <v>365</v>
      </c>
      <c r="G3" s="20"/>
      <c r="L3" s="9" t="s">
        <v>77</v>
      </c>
    </row>
    <row r="4" spans="1:12">
      <c r="A4" s="254" t="s">
        <v>74</v>
      </c>
      <c r="B4" s="254"/>
      <c r="C4" s="37">
        <v>26</v>
      </c>
      <c r="D4" s="37">
        <v>27</v>
      </c>
      <c r="E4" s="37">
        <v>28</v>
      </c>
      <c r="F4" s="37">
        <v>29</v>
      </c>
      <c r="G4" s="37">
        <v>30</v>
      </c>
      <c r="H4" s="37">
        <v>31</v>
      </c>
      <c r="I4" s="37">
        <v>32</v>
      </c>
      <c r="J4" s="62">
        <v>33</v>
      </c>
      <c r="K4" s="141">
        <v>34</v>
      </c>
      <c r="L4" s="201">
        <v>35</v>
      </c>
    </row>
    <row r="5" spans="1:12">
      <c r="A5" s="254" t="s">
        <v>68</v>
      </c>
      <c r="B5" s="254"/>
      <c r="C5" s="37" t="s">
        <v>47</v>
      </c>
      <c r="D5" s="44" t="s">
        <v>221</v>
      </c>
      <c r="E5" s="44" t="s">
        <v>221</v>
      </c>
      <c r="F5" s="37" t="s">
        <v>46</v>
      </c>
      <c r="G5" s="37" t="s">
        <v>46</v>
      </c>
      <c r="H5" s="141" t="s">
        <v>82</v>
      </c>
      <c r="I5" s="37" t="s">
        <v>104</v>
      </c>
      <c r="J5" s="66" t="s">
        <v>84</v>
      </c>
      <c r="K5" s="140" t="s">
        <v>82</v>
      </c>
      <c r="L5" s="199" t="s">
        <v>82</v>
      </c>
    </row>
    <row r="6" spans="1:12">
      <c r="A6" s="266" t="s">
        <v>93</v>
      </c>
      <c r="B6" s="6" t="s">
        <v>94</v>
      </c>
      <c r="C6" s="200">
        <f>'26년 총원가 배분'!O48</f>
        <v>224</v>
      </c>
      <c r="D6" s="200">
        <f>$C6*1.015^(D$4-$C$4)</f>
        <v>227.35999999999999</v>
      </c>
      <c r="E6" s="200">
        <f t="shared" ref="E6" si="0">$C6*1.015^(E$4-$C$4)</f>
        <v>230.77039999999994</v>
      </c>
      <c r="F6" s="79">
        <f>판교!F6</f>
        <v>319.9775827499999</v>
      </c>
      <c r="G6" s="233">
        <f t="shared" ref="G6:L7" si="1">F6*1.015</f>
        <v>324.77724649124985</v>
      </c>
      <c r="H6" s="233">
        <f t="shared" si="1"/>
        <v>329.64890518861858</v>
      </c>
      <c r="I6" s="233">
        <f t="shared" si="1"/>
        <v>334.59363876644784</v>
      </c>
      <c r="J6" s="233">
        <f t="shared" si="1"/>
        <v>339.61254334794455</v>
      </c>
      <c r="K6" s="233">
        <f t="shared" si="1"/>
        <v>344.70673149816366</v>
      </c>
      <c r="L6" s="233">
        <f t="shared" si="1"/>
        <v>349.87733247063608</v>
      </c>
    </row>
    <row r="7" spans="1:12">
      <c r="A7" s="270"/>
      <c r="B7" s="6" t="s">
        <v>95</v>
      </c>
      <c r="C7" s="200">
        <f>'26년 총원가 배분'!O49</f>
        <v>872</v>
      </c>
      <c r="D7" s="209">
        <f t="shared" ref="D7:E7" si="2">$C7*1.015^(D$4-$C$4)</f>
        <v>885.07999999999993</v>
      </c>
      <c r="E7" s="209">
        <f t="shared" si="2"/>
        <v>898.35619999999972</v>
      </c>
      <c r="F7" s="79">
        <f>판교!F7</f>
        <v>890.91387121237756</v>
      </c>
      <c r="G7" s="233">
        <f t="shared" si="1"/>
        <v>904.27757928056315</v>
      </c>
      <c r="H7" s="233">
        <f t="shared" si="1"/>
        <v>917.84174296977153</v>
      </c>
      <c r="I7" s="233">
        <f t="shared" si="1"/>
        <v>931.60936911431804</v>
      </c>
      <c r="J7" s="209">
        <f>판교!G7*1.015^(수원!J4-판교!G4)</f>
        <v>1895.3198402774458</v>
      </c>
      <c r="K7" s="209">
        <f t="shared" ref="K7:L7" si="3">$F7*1.015^(K$4-$F$4)</f>
        <v>959.76726229579788</v>
      </c>
      <c r="L7" s="209">
        <f t="shared" si="3"/>
        <v>974.1637712302346</v>
      </c>
    </row>
    <row r="8" spans="1:12">
      <c r="A8" s="270"/>
      <c r="B8" s="6" t="s">
        <v>96</v>
      </c>
      <c r="C8" s="200">
        <f>'26년 총원가 배분'!O50</f>
        <v>703</v>
      </c>
      <c r="D8" s="209">
        <f>$C8*1.015^(D$4-25)</f>
        <v>724.24817499999983</v>
      </c>
      <c r="E8" s="79">
        <f>판교!E8</f>
        <v>2568.1860889999989</v>
      </c>
      <c r="F8" s="234">
        <f>E8*1.015</f>
        <v>2606.7088803349984</v>
      </c>
      <c r="G8" s="225">
        <f>F8*1.015</f>
        <v>2645.8095135400231</v>
      </c>
      <c r="H8" s="233">
        <f t="shared" ref="H8:I8" si="4">G8*1.015</f>
        <v>2685.4966562431232</v>
      </c>
      <c r="I8" s="233">
        <f t="shared" si="4"/>
        <v>2725.7791060867698</v>
      </c>
      <c r="J8" s="233">
        <f t="shared" ref="J8:L8" si="5">I8*1.015</f>
        <v>2766.6657926780713</v>
      </c>
      <c r="K8" s="233">
        <f t="shared" si="5"/>
        <v>2808.1657795682422</v>
      </c>
      <c r="L8" s="233">
        <f t="shared" si="5"/>
        <v>2850.2882662617658</v>
      </c>
    </row>
    <row r="9" spans="1:12">
      <c r="A9" s="270"/>
      <c r="B9" s="6" t="s">
        <v>97</v>
      </c>
      <c r="C9" s="200">
        <f>'26년 총원가 배분'!O51</f>
        <v>150</v>
      </c>
      <c r="D9" s="200">
        <f>$C9*1.015^(D$4-$C$4)</f>
        <v>152.24999999999997</v>
      </c>
      <c r="E9" s="200">
        <f t="shared" ref="E9" si="6">$C9*1.015^(E$4-$C$4)</f>
        <v>154.53374999999997</v>
      </c>
      <c r="F9" s="79">
        <f>판교!F9</f>
        <v>196.58753449999992</v>
      </c>
      <c r="G9" s="233">
        <f t="shared" ref="G9:I13" si="7">F9*1.015</f>
        <v>199.53634751749991</v>
      </c>
      <c r="H9" s="233">
        <f t="shared" si="7"/>
        <v>202.52939273026237</v>
      </c>
      <c r="I9" s="233">
        <f t="shared" si="7"/>
        <v>205.56733362121628</v>
      </c>
      <c r="J9" s="209">
        <f t="shared" ref="J9:L13" si="8">$F9*1.015^(J$4-$F$4)</f>
        <v>208.65084362553449</v>
      </c>
      <c r="K9" s="209">
        <f t="shared" si="8"/>
        <v>211.78060627991746</v>
      </c>
      <c r="L9" s="209">
        <f t="shared" si="8"/>
        <v>214.95731537411621</v>
      </c>
    </row>
    <row r="10" spans="1:12">
      <c r="A10" s="270"/>
      <c r="B10" s="6" t="s">
        <v>281</v>
      </c>
      <c r="C10" s="200">
        <f>'26년 총원가 배분'!O52</f>
        <v>290</v>
      </c>
      <c r="D10" s="209">
        <f t="shared" ref="D10:E13" si="9">$C10*1.015^(D$4-$C$4)</f>
        <v>294.34999999999997</v>
      </c>
      <c r="E10" s="209">
        <f t="shared" si="9"/>
        <v>298.76524999999992</v>
      </c>
      <c r="F10" s="79">
        <f>판교!F10</f>
        <v>490.42315787499979</v>
      </c>
      <c r="G10" s="233">
        <f t="shared" si="7"/>
        <v>497.77950524312473</v>
      </c>
      <c r="H10" s="233">
        <f t="shared" si="7"/>
        <v>505.24619782177155</v>
      </c>
      <c r="I10" s="233">
        <f t="shared" si="7"/>
        <v>512.82489078909805</v>
      </c>
      <c r="J10" s="233">
        <f>판교!G10*1.015^(수원!J4-판교!G4)</f>
        <v>520.51726415093447</v>
      </c>
      <c r="K10" s="209">
        <f t="shared" si="8"/>
        <v>528.32502311319843</v>
      </c>
      <c r="L10" s="209">
        <f t="shared" si="8"/>
        <v>536.24989845989626</v>
      </c>
    </row>
    <row r="11" spans="1:12">
      <c r="A11" s="270"/>
      <c r="B11" s="216" t="s">
        <v>351</v>
      </c>
      <c r="C11" s="200">
        <f>'26년 총원가 배분'!O53</f>
        <v>25</v>
      </c>
      <c r="D11" s="209">
        <f>63*1.015^(D$4-$C$4)</f>
        <v>63.944999999999993</v>
      </c>
      <c r="E11" s="200">
        <f>$D11*1.015^(E$4-$C$4)</f>
        <v>65.87773762499998</v>
      </c>
      <c r="F11" s="79">
        <f>판교!F11</f>
        <v>243.05225309312488</v>
      </c>
      <c r="G11" s="233">
        <f t="shared" si="7"/>
        <v>246.69803688952172</v>
      </c>
      <c r="H11" s="233">
        <f t="shared" si="7"/>
        <v>250.39850744286451</v>
      </c>
      <c r="I11" s="233">
        <f t="shared" si="7"/>
        <v>254.15448505450746</v>
      </c>
      <c r="J11" s="223">
        <f t="shared" ref="J11:J12" si="10">$D11*1.015^(J$4-$C$4)</f>
        <v>70.969032955504261</v>
      </c>
      <c r="K11" s="233">
        <f t="shared" si="8"/>
        <v>261.83630436527989</v>
      </c>
      <c r="L11" s="233">
        <f t="shared" si="8"/>
        <v>265.76384893075902</v>
      </c>
    </row>
    <row r="12" spans="1:12">
      <c r="A12" s="267"/>
      <c r="B12" s="216" t="s">
        <v>352</v>
      </c>
      <c r="C12" s="200">
        <f>'26년 총원가 배분'!O54</f>
        <v>3</v>
      </c>
      <c r="D12" s="209">
        <f>7*1.015^(D$4-$C$4)</f>
        <v>7.1049999999999995</v>
      </c>
      <c r="E12" s="200">
        <f>$D12*1.015^(E$4-$C$4)</f>
        <v>7.3197486249999972</v>
      </c>
      <c r="F12" s="79">
        <f>판교!F12</f>
        <v>26.534088765624986</v>
      </c>
      <c r="G12" s="233">
        <f t="shared" si="7"/>
        <v>26.932100097109359</v>
      </c>
      <c r="H12" s="233">
        <f t="shared" si="7"/>
        <v>27.336081598565997</v>
      </c>
      <c r="I12" s="233">
        <f t="shared" si="7"/>
        <v>27.746122822544486</v>
      </c>
      <c r="J12" s="223">
        <f t="shared" si="10"/>
        <v>7.8854481061671402</v>
      </c>
      <c r="K12" s="233">
        <f t="shared" si="8"/>
        <v>28.584749384855879</v>
      </c>
      <c r="L12" s="233">
        <f t="shared" si="8"/>
        <v>29.013520625628711</v>
      </c>
    </row>
    <row r="13" spans="1:12">
      <c r="A13" s="208" t="s">
        <v>98</v>
      </c>
      <c r="B13" s="6" t="s">
        <v>99</v>
      </c>
      <c r="C13" s="200">
        <f>'26년 총원가 배분'!O55</f>
        <v>105</v>
      </c>
      <c r="D13" s="209">
        <f t="shared" si="9"/>
        <v>106.57499999999999</v>
      </c>
      <c r="E13" s="209">
        <f t="shared" si="9"/>
        <v>108.17362499999997</v>
      </c>
      <c r="F13" s="79">
        <f>판교!F13</f>
        <v>223.77517224999991</v>
      </c>
      <c r="G13" s="233">
        <f t="shared" si="7"/>
        <v>227.13179983374988</v>
      </c>
      <c r="H13" s="233">
        <f t="shared" si="7"/>
        <v>230.53877683125611</v>
      </c>
      <c r="I13" s="233">
        <f t="shared" si="7"/>
        <v>233.99685848372494</v>
      </c>
      <c r="J13" s="233">
        <f>판교!G13*1.015^(수원!J4-판교!G4)</f>
        <v>237.50681136098075</v>
      </c>
      <c r="K13" s="233">
        <f t="shared" si="8"/>
        <v>241.06941353139544</v>
      </c>
      <c r="L13" s="209">
        <f t="shared" ref="L13" si="11">$F13*1.015^(L$4-$F$4)</f>
        <v>244.68545473436632</v>
      </c>
    </row>
    <row r="14" spans="1:12">
      <c r="A14" s="254" t="s">
        <v>105</v>
      </c>
      <c r="B14" s="254"/>
      <c r="C14" s="59">
        <f t="shared" ref="C14:L14" si="12">SUM(C6:C13)</f>
        <v>2372</v>
      </c>
      <c r="D14" s="59">
        <f t="shared" si="12"/>
        <v>2460.9131749999997</v>
      </c>
      <c r="E14" s="59">
        <f t="shared" si="12"/>
        <v>4331.9828002499989</v>
      </c>
      <c r="F14" s="59">
        <f t="shared" si="12"/>
        <v>4997.9725407811247</v>
      </c>
      <c r="G14" s="59">
        <f t="shared" si="12"/>
        <v>5072.9421288928424</v>
      </c>
      <c r="H14" s="59">
        <f t="shared" si="12"/>
        <v>5149.036260826234</v>
      </c>
      <c r="I14" s="59">
        <f t="shared" si="12"/>
        <v>5226.2718047386288</v>
      </c>
      <c r="J14" s="35">
        <f t="shared" si="12"/>
        <v>6047.1275765025821</v>
      </c>
      <c r="K14" s="35">
        <f t="shared" si="12"/>
        <v>5384.2358700368504</v>
      </c>
      <c r="L14" s="35">
        <f t="shared" si="12"/>
        <v>5464.999408087403</v>
      </c>
    </row>
    <row r="15" spans="1:12">
      <c r="A15" s="254" t="s">
        <v>65</v>
      </c>
      <c r="B15" s="254"/>
      <c r="C15" s="200">
        <f>'26년 총원가 배분'!O58</f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</row>
    <row r="16" spans="1:12">
      <c r="A16" s="254" t="s">
        <v>66</v>
      </c>
      <c r="B16" s="254"/>
      <c r="C16" s="200">
        <f>'26년 총원가 배분'!O59</f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</row>
    <row r="17" spans="1:13">
      <c r="A17" s="254" t="s">
        <v>34</v>
      </c>
      <c r="B17" s="217" t="s">
        <v>81</v>
      </c>
      <c r="C17" s="200">
        <f>'26년 총원가 배분'!O60</f>
        <v>0</v>
      </c>
      <c r="D17" s="11">
        <f>TRUNC('고온부품(26)'!G25/1000)</f>
        <v>0</v>
      </c>
      <c r="E17" s="11">
        <f>TRUNC('고온부품(26)'!H25/1000)</f>
        <v>0</v>
      </c>
      <c r="F17" s="11">
        <f>TRUNC('고온부품(26)'!I25/1000)</f>
        <v>0</v>
      </c>
      <c r="G17" s="11">
        <f>TRUNC('고온부품(26)'!J25/1000)</f>
        <v>0</v>
      </c>
      <c r="H17" s="11">
        <f>TRUNC('고온부품(26)'!K25/1000)</f>
        <v>0</v>
      </c>
      <c r="I17" s="11">
        <f>TRUNC('고온부품(26)'!L25/1000)</f>
        <v>0</v>
      </c>
      <c r="J17" s="11">
        <f>TRUNC('고온부품(26)'!M25/1000)</f>
        <v>0</v>
      </c>
      <c r="K17" s="11">
        <f>TRUNC('고온부품(26)'!N25/1000)</f>
        <v>1524</v>
      </c>
      <c r="L17" s="11">
        <f>TRUNC('고온부품(26)'!O25/1000)</f>
        <v>0</v>
      </c>
    </row>
    <row r="18" spans="1:13">
      <c r="A18" s="254"/>
      <c r="B18" s="37" t="s">
        <v>64</v>
      </c>
      <c r="C18" s="200">
        <f>'26년 총원가 배분'!O61</f>
        <v>960</v>
      </c>
      <c r="D18" s="16">
        <f t="shared" ref="D18:I18" si="13">331*1.015^(D4-22)</f>
        <v>356.58100528572788</v>
      </c>
      <c r="E18" s="16">
        <f t="shared" si="13"/>
        <v>361.92972036501374</v>
      </c>
      <c r="F18" s="16">
        <f t="shared" si="13"/>
        <v>367.3586661704889</v>
      </c>
      <c r="G18" s="16">
        <f t="shared" si="13"/>
        <v>372.86904616304616</v>
      </c>
      <c r="H18" s="16">
        <f t="shared" si="13"/>
        <v>378.46208185549182</v>
      </c>
      <c r="I18" s="16">
        <f t="shared" si="13"/>
        <v>384.13901308332419</v>
      </c>
      <c r="J18" s="16">
        <f>양산!F18</f>
        <v>180</v>
      </c>
      <c r="K18" s="16">
        <f>331*1.015^(K4-22)</f>
        <v>395.7496147537675</v>
      </c>
      <c r="L18" s="16">
        <f>331*1.015^(L4-22)</f>
        <v>401.68585897507398</v>
      </c>
    </row>
    <row r="19" spans="1:13">
      <c r="A19" s="37" t="s">
        <v>102</v>
      </c>
      <c r="B19" s="37" t="s">
        <v>103</v>
      </c>
      <c r="C19" s="200">
        <f>'26년 총원가 배분'!O62</f>
        <v>0</v>
      </c>
      <c r="D19" s="10">
        <v>0</v>
      </c>
      <c r="E19" s="10">
        <v>0</v>
      </c>
      <c r="F19" s="10">
        <v>0</v>
      </c>
      <c r="G19" s="10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</row>
    <row r="20" spans="1:13">
      <c r="A20" s="254" t="s">
        <v>63</v>
      </c>
      <c r="B20" s="254"/>
      <c r="C20" s="200">
        <f>'26년 총원가 배분'!O63</f>
        <v>29</v>
      </c>
      <c r="D20" s="10">
        <v>0</v>
      </c>
      <c r="E20" s="19">
        <v>150</v>
      </c>
      <c r="F20" s="19">
        <v>150</v>
      </c>
      <c r="G20" s="19">
        <v>150</v>
      </c>
      <c r="H20" s="19">
        <v>150</v>
      </c>
      <c r="I20" s="19">
        <v>150</v>
      </c>
      <c r="J20" s="19">
        <v>150</v>
      </c>
      <c r="K20" s="19">
        <v>150</v>
      </c>
      <c r="L20" s="19">
        <v>150</v>
      </c>
    </row>
    <row r="21" spans="1:13">
      <c r="A21" s="254" t="s">
        <v>61</v>
      </c>
      <c r="B21" s="217" t="s">
        <v>38</v>
      </c>
      <c r="C21" s="200">
        <f>'26년 총원가 배분'!O64</f>
        <v>0</v>
      </c>
      <c r="D21" s="11">
        <f>TRUNC('고온부품(26)'!G26/1000)</f>
        <v>0</v>
      </c>
      <c r="E21" s="11">
        <f>TRUNC('고온부품(26)'!H26/1000)</f>
        <v>15663</v>
      </c>
      <c r="F21" s="11">
        <f>TRUNC('고온부품(26)'!I26/1000)</f>
        <v>0</v>
      </c>
      <c r="G21" s="11">
        <f>TRUNC('고온부품(26)'!J26/1000)</f>
        <v>0</v>
      </c>
      <c r="H21" s="11">
        <f>TRUNC('고온부품(26)'!K26/1000)</f>
        <v>0</v>
      </c>
      <c r="I21" s="11">
        <f>TRUNC('고온부품(26)'!L26/1000)</f>
        <v>0</v>
      </c>
      <c r="J21" s="11">
        <f>TRUNC('고온부품(26)'!M26/1000)</f>
        <v>0</v>
      </c>
      <c r="K21" s="11">
        <f>TRUNC('고온부품(26)'!N26/1000)</f>
        <v>0</v>
      </c>
      <c r="L21" s="11">
        <f>TRUNC('고온부품(26)'!O26/1000)</f>
        <v>0</v>
      </c>
    </row>
    <row r="22" spans="1:13">
      <c r="A22" s="254"/>
      <c r="B22" s="37" t="s">
        <v>39</v>
      </c>
      <c r="C22" s="200">
        <f>'26년 총원가 배분'!O65</f>
        <v>0</v>
      </c>
      <c r="D22" s="10">
        <v>0</v>
      </c>
      <c r="E22" s="10">
        <v>150</v>
      </c>
      <c r="F22" s="10">
        <f t="shared" ref="F22:L22" si="14">E22*1.015^(F4-25)</f>
        <v>159.20453259374992</v>
      </c>
      <c r="G22" s="10">
        <f t="shared" si="14"/>
        <v>171.50849630913527</v>
      </c>
      <c r="H22" s="10">
        <f t="shared" si="14"/>
        <v>187.53480999815503</v>
      </c>
      <c r="I22" s="10">
        <f t="shared" si="14"/>
        <v>208.13455486845405</v>
      </c>
      <c r="J22" s="10">
        <f t="shared" si="14"/>
        <v>234.46203307362737</v>
      </c>
      <c r="K22" s="10">
        <f t="shared" si="14"/>
        <v>268.08153822693714</v>
      </c>
      <c r="L22" s="10">
        <f t="shared" si="14"/>
        <v>311.11956954790054</v>
      </c>
    </row>
    <row r="23" spans="1:13">
      <c r="A23" s="38" t="s">
        <v>67</v>
      </c>
      <c r="B23" s="38" t="s">
        <v>37</v>
      </c>
      <c r="C23" s="200">
        <f>'26년 총원가 배분'!O66</f>
        <v>0</v>
      </c>
      <c r="D23" s="10">
        <v>0</v>
      </c>
      <c r="E23" s="10">
        <v>3</v>
      </c>
      <c r="F23" s="10">
        <v>43.5</v>
      </c>
      <c r="G23" s="10">
        <v>6</v>
      </c>
      <c r="H23" s="10">
        <v>170.10038057589117</v>
      </c>
      <c r="I23" s="10">
        <v>44</v>
      </c>
      <c r="J23" s="41">
        <v>44</v>
      </c>
      <c r="K23" s="41">
        <v>44</v>
      </c>
      <c r="L23" s="41">
        <v>44</v>
      </c>
    </row>
    <row r="24" spans="1:13">
      <c r="A24" s="257" t="s">
        <v>78</v>
      </c>
      <c r="B24" s="257"/>
      <c r="C24" s="14">
        <f>SUM(C15:C23)</f>
        <v>989</v>
      </c>
      <c r="D24" s="14">
        <f t="shared" ref="D24:L24" si="15">SUM(D15:D23)</f>
        <v>356.58100528572788</v>
      </c>
      <c r="E24" s="14">
        <f t="shared" si="15"/>
        <v>16327.929720365013</v>
      </c>
      <c r="F24" s="14">
        <f t="shared" si="15"/>
        <v>720.0631987642389</v>
      </c>
      <c r="G24" s="14">
        <f t="shared" si="15"/>
        <v>700.3775424721814</v>
      </c>
      <c r="H24" s="14">
        <f t="shared" si="15"/>
        <v>886.09727242953795</v>
      </c>
      <c r="I24" s="36">
        <f t="shared" si="15"/>
        <v>786.27356795177832</v>
      </c>
      <c r="J24" s="14">
        <f t="shared" si="15"/>
        <v>608.46203307362737</v>
      </c>
      <c r="K24" s="14">
        <f t="shared" si="15"/>
        <v>2381.8311529807047</v>
      </c>
      <c r="L24" s="14">
        <f t="shared" si="15"/>
        <v>906.80542852297458</v>
      </c>
      <c r="M24" s="7"/>
    </row>
    <row r="25" spans="1:13">
      <c r="A25" s="222" t="s">
        <v>282</v>
      </c>
      <c r="B25" s="222" t="s">
        <v>354</v>
      </c>
      <c r="C25" s="223">
        <f>'26년 총원가 배분'!O67</f>
        <v>130</v>
      </c>
      <c r="D25" s="223">
        <f>투자비!M65*1.015</f>
        <v>43.644999999999996</v>
      </c>
      <c r="E25" s="236">
        <f>D$25*1.015^(E$4-D$4)</f>
        <v>44.299674999999993</v>
      </c>
      <c r="F25" s="236">
        <f t="shared" ref="F25:L25" si="16">E$25*1.015^(F$4-E$4)</f>
        <v>44.964170124999988</v>
      </c>
      <c r="G25" s="236">
        <f t="shared" si="16"/>
        <v>45.638632676874984</v>
      </c>
      <c r="H25" s="236">
        <f t="shared" si="16"/>
        <v>46.323212167028103</v>
      </c>
      <c r="I25" s="236">
        <f t="shared" si="16"/>
        <v>47.018060349533521</v>
      </c>
      <c r="J25" s="236">
        <f t="shared" si="16"/>
        <v>47.723331254776518</v>
      </c>
      <c r="K25" s="236">
        <f t="shared" si="16"/>
        <v>48.439181223598162</v>
      </c>
      <c r="L25" s="236">
        <f t="shared" si="16"/>
        <v>49.16576894195213</v>
      </c>
    </row>
    <row r="26" spans="1:1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8" spans="1:13">
      <c r="F28" t="s">
        <v>394</v>
      </c>
    </row>
  </sheetData>
  <mergeCells count="10">
    <mergeCell ref="A21:A22"/>
    <mergeCell ref="A24:B24"/>
    <mergeCell ref="A4:B4"/>
    <mergeCell ref="A5:B5"/>
    <mergeCell ref="A15:B15"/>
    <mergeCell ref="A16:B16"/>
    <mergeCell ref="A20:B20"/>
    <mergeCell ref="A17:A18"/>
    <mergeCell ref="A14:B14"/>
    <mergeCell ref="A6:A12"/>
  </mergeCells>
  <phoneticPr fontId="1" type="noConversion"/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7"/>
  </sheetPr>
  <dimension ref="A3:N29"/>
  <sheetViews>
    <sheetView zoomScaleNormal="100" workbookViewId="0">
      <selection activeCell="D18" sqref="D18"/>
    </sheetView>
  </sheetViews>
  <sheetFormatPr defaultRowHeight="16.899999999999999"/>
  <cols>
    <col min="1" max="1" width="15.625" customWidth="1"/>
    <col min="2" max="2" width="21.875" customWidth="1"/>
    <col min="3" max="4" width="15.875" customWidth="1"/>
    <col min="5" max="5" width="18.75" customWidth="1"/>
    <col min="6" max="6" width="15" customWidth="1"/>
    <col min="7" max="7" width="17.625" customWidth="1"/>
    <col min="8" max="8" width="16.875" customWidth="1"/>
    <col min="9" max="9" width="16.5" customWidth="1"/>
    <col min="10" max="12" width="15.125" customWidth="1"/>
  </cols>
  <sheetData>
    <row r="3" spans="1:12">
      <c r="C3" s="20"/>
      <c r="D3" s="20"/>
      <c r="E3" s="20"/>
      <c r="F3" s="20"/>
      <c r="G3" s="20"/>
      <c r="L3" s="9" t="s">
        <v>77</v>
      </c>
    </row>
    <row r="4" spans="1:12">
      <c r="A4" s="254" t="s">
        <v>75</v>
      </c>
      <c r="B4" s="254"/>
      <c r="C4" s="76">
        <v>26</v>
      </c>
      <c r="D4" s="76">
        <v>27</v>
      </c>
      <c r="E4" s="76">
        <v>28</v>
      </c>
      <c r="F4" s="76">
        <v>29</v>
      </c>
      <c r="G4" s="76">
        <v>30</v>
      </c>
      <c r="H4" s="76">
        <v>31</v>
      </c>
      <c r="I4" s="76">
        <v>32</v>
      </c>
      <c r="J4" s="76">
        <v>33</v>
      </c>
      <c r="K4" s="140">
        <v>34</v>
      </c>
      <c r="L4" s="199">
        <v>35</v>
      </c>
    </row>
    <row r="5" spans="1:12">
      <c r="A5" s="254" t="s">
        <v>68</v>
      </c>
      <c r="B5" s="254"/>
      <c r="C5" s="45" t="s">
        <v>147</v>
      </c>
      <c r="D5" s="76" t="s">
        <v>146</v>
      </c>
      <c r="E5" s="76" t="s">
        <v>108</v>
      </c>
      <c r="F5" s="76" t="s">
        <v>47</v>
      </c>
      <c r="G5" s="76" t="s">
        <v>108</v>
      </c>
      <c r="H5" s="76" t="s">
        <v>47</v>
      </c>
      <c r="I5" s="44" t="s">
        <v>109</v>
      </c>
      <c r="J5" s="76" t="s">
        <v>146</v>
      </c>
      <c r="K5" s="140" t="s">
        <v>108</v>
      </c>
      <c r="L5" s="199" t="s">
        <v>108</v>
      </c>
    </row>
    <row r="6" spans="1:12">
      <c r="A6" s="266" t="s">
        <v>93</v>
      </c>
      <c r="B6" s="76" t="s">
        <v>94</v>
      </c>
      <c r="C6" s="200">
        <f>'26년 총원가 배분'!P48</f>
        <v>239</v>
      </c>
      <c r="D6" s="200">
        <f>$C6*1.015^(D$4-$C$4)</f>
        <v>242.58499999999998</v>
      </c>
      <c r="E6" s="200">
        <f t="shared" ref="E6:L6" si="0">$C6*1.015^(E$4-$C$4)</f>
        <v>246.22377499999993</v>
      </c>
      <c r="F6" s="200">
        <f t="shared" si="0"/>
        <v>249.91713162499991</v>
      </c>
      <c r="G6" s="200">
        <f t="shared" si="0"/>
        <v>253.66588859937485</v>
      </c>
      <c r="H6" s="200">
        <f t="shared" si="0"/>
        <v>257.47087692836544</v>
      </c>
      <c r="I6" s="200">
        <f t="shared" si="0"/>
        <v>261.33294008229086</v>
      </c>
      <c r="J6" s="200">
        <f t="shared" si="0"/>
        <v>265.25293418352521</v>
      </c>
      <c r="K6" s="200">
        <f t="shared" si="0"/>
        <v>269.23172819627808</v>
      </c>
      <c r="L6" s="200">
        <f t="shared" si="0"/>
        <v>273.27020411922223</v>
      </c>
    </row>
    <row r="7" spans="1:12">
      <c r="A7" s="270"/>
      <c r="B7" s="76" t="s">
        <v>95</v>
      </c>
      <c r="C7" s="200">
        <f>'26년 총원가 배분'!P49</f>
        <v>1213</v>
      </c>
      <c r="D7" s="209">
        <f t="shared" ref="D7:L7" si="1">$C7*1.015^(D$4-$C$4)</f>
        <v>1231.1949999999999</v>
      </c>
      <c r="E7" s="209">
        <f t="shared" si="1"/>
        <v>1249.6629249999996</v>
      </c>
      <c r="F7" s="209">
        <f t="shared" si="1"/>
        <v>1268.4078688749996</v>
      </c>
      <c r="G7" s="209">
        <f t="shared" si="1"/>
        <v>1287.4339869081243</v>
      </c>
      <c r="H7" s="209">
        <f t="shared" si="1"/>
        <v>1306.745496711746</v>
      </c>
      <c r="I7" s="209">
        <f t="shared" si="1"/>
        <v>1326.3466791624219</v>
      </c>
      <c r="J7" s="209">
        <f t="shared" si="1"/>
        <v>1346.241879349858</v>
      </c>
      <c r="K7" s="209">
        <f t="shared" si="1"/>
        <v>1366.4355075401058</v>
      </c>
      <c r="L7" s="209">
        <f t="shared" si="1"/>
        <v>1386.9320401532073</v>
      </c>
    </row>
    <row r="8" spans="1:12">
      <c r="A8" s="270"/>
      <c r="B8" s="76" t="s">
        <v>96</v>
      </c>
      <c r="C8" s="200">
        <f>'26년 총원가 배분'!P50</f>
        <v>1748</v>
      </c>
      <c r="D8" s="209">
        <f>$C8*1.015^(D$4-25)</f>
        <v>1800.8332999999996</v>
      </c>
      <c r="E8" s="225">
        <f t="shared" ref="E8:L8" si="2">$C8*1.015^(E$4-25)</f>
        <v>1827.8457994999992</v>
      </c>
      <c r="F8" s="225">
        <f t="shared" si="2"/>
        <v>1855.2634864924989</v>
      </c>
      <c r="G8" s="225">
        <f t="shared" si="2"/>
        <v>1883.0924387898863</v>
      </c>
      <c r="H8" s="225">
        <f t="shared" si="2"/>
        <v>1911.3388253717342</v>
      </c>
      <c r="I8" s="225">
        <f t="shared" si="2"/>
        <v>1940.0089077523098</v>
      </c>
      <c r="J8" s="225">
        <f t="shared" si="2"/>
        <v>1969.1090413685945</v>
      </c>
      <c r="K8" s="225">
        <f t="shared" si="2"/>
        <v>1998.6456769891231</v>
      </c>
      <c r="L8" s="225">
        <f t="shared" si="2"/>
        <v>2028.6253621439596</v>
      </c>
    </row>
    <row r="9" spans="1:12">
      <c r="A9" s="270"/>
      <c r="B9" s="76" t="s">
        <v>97</v>
      </c>
      <c r="C9" s="200">
        <f>'26년 총원가 배분'!P51</f>
        <v>208</v>
      </c>
      <c r="D9" s="200">
        <f>$C9*1.015^(D$4-$C$4)</f>
        <v>211.11999999999998</v>
      </c>
      <c r="E9" s="200">
        <f t="shared" ref="E9:L9" si="3">$C9*1.015^(E$4-$C$4)</f>
        <v>214.28679999999994</v>
      </c>
      <c r="F9" s="200">
        <f t="shared" si="3"/>
        <v>217.50110199999992</v>
      </c>
      <c r="G9" s="200">
        <f t="shared" si="3"/>
        <v>220.76361852999989</v>
      </c>
      <c r="H9" s="200">
        <f t="shared" si="3"/>
        <v>224.07507280794985</v>
      </c>
      <c r="I9" s="200">
        <f t="shared" si="3"/>
        <v>227.43619890006906</v>
      </c>
      <c r="J9" s="200">
        <f t="shared" si="3"/>
        <v>230.84774188357005</v>
      </c>
      <c r="K9" s="200">
        <f t="shared" si="3"/>
        <v>234.31045801182358</v>
      </c>
      <c r="L9" s="200">
        <f t="shared" si="3"/>
        <v>237.82511488200092</v>
      </c>
    </row>
    <row r="10" spans="1:12">
      <c r="A10" s="270"/>
      <c r="B10" s="76" t="s">
        <v>281</v>
      </c>
      <c r="C10" s="200">
        <f>'26년 총원가 배분'!P52</f>
        <v>712</v>
      </c>
      <c r="D10" s="209">
        <f t="shared" ref="D10:L13" si="4">$C10*1.015^(D$4-$C$4)</f>
        <v>722.68</v>
      </c>
      <c r="E10" s="209">
        <f t="shared" si="4"/>
        <v>733.52019999999982</v>
      </c>
      <c r="F10" s="209">
        <f t="shared" si="4"/>
        <v>744.52300299999968</v>
      </c>
      <c r="G10" s="209">
        <f t="shared" si="4"/>
        <v>755.6908480449996</v>
      </c>
      <c r="H10" s="209">
        <f t="shared" si="4"/>
        <v>767.02621076567448</v>
      </c>
      <c r="I10" s="209">
        <f t="shared" si="4"/>
        <v>778.53160392715949</v>
      </c>
      <c r="J10" s="209">
        <f t="shared" si="4"/>
        <v>790.20957798606673</v>
      </c>
      <c r="K10" s="209">
        <f t="shared" si="4"/>
        <v>802.06272165585767</v>
      </c>
      <c r="L10" s="209">
        <f t="shared" si="4"/>
        <v>814.09366248069546</v>
      </c>
    </row>
    <row r="11" spans="1:12">
      <c r="A11" s="270"/>
      <c r="B11" s="201" t="s">
        <v>351</v>
      </c>
      <c r="C11" s="200">
        <f>'26년 총원가 배분'!P53</f>
        <v>61</v>
      </c>
      <c r="D11" s="209">
        <f>157*1.015^(D$4-$C$4)</f>
        <v>159.35499999999999</v>
      </c>
      <c r="E11" s="200">
        <f>$D11*1.015^(E$4-$C$4)</f>
        <v>164.17150487499995</v>
      </c>
      <c r="F11" s="223">
        <f t="shared" ref="F11:L12" si="5">$D11*1.015^(F$4-$C$4)</f>
        <v>166.63407744812491</v>
      </c>
      <c r="G11" s="223">
        <f t="shared" si="5"/>
        <v>169.13358860984678</v>
      </c>
      <c r="H11" s="223">
        <f t="shared" si="5"/>
        <v>171.67059243899445</v>
      </c>
      <c r="I11" s="223">
        <f t="shared" si="5"/>
        <v>174.24565132557933</v>
      </c>
      <c r="J11" s="223">
        <f t="shared" si="5"/>
        <v>176.85933609546299</v>
      </c>
      <c r="K11" s="223">
        <f t="shared" si="5"/>
        <v>179.51222613689492</v>
      </c>
      <c r="L11" s="223">
        <f t="shared" si="5"/>
        <v>182.20490952894832</v>
      </c>
    </row>
    <row r="12" spans="1:12">
      <c r="A12" s="267"/>
      <c r="B12" s="201" t="s">
        <v>352</v>
      </c>
      <c r="C12" s="200">
        <f>'26년 총원가 배분'!P54</f>
        <v>8</v>
      </c>
      <c r="D12" s="209">
        <f>17*1.015^(D$4-$C$4)</f>
        <v>17.254999999999999</v>
      </c>
      <c r="E12" s="200">
        <f>$D12*1.015^(E$4-$C$4)</f>
        <v>17.776532374999995</v>
      </c>
      <c r="F12" s="223">
        <f t="shared" si="5"/>
        <v>18.043180360624991</v>
      </c>
      <c r="G12" s="223">
        <f t="shared" si="5"/>
        <v>18.313828066034365</v>
      </c>
      <c r="H12" s="223">
        <f t="shared" si="5"/>
        <v>18.588535487024878</v>
      </c>
      <c r="I12" s="223">
        <f t="shared" si="5"/>
        <v>18.867363519330247</v>
      </c>
      <c r="J12" s="223">
        <f t="shared" si="5"/>
        <v>19.150373972120196</v>
      </c>
      <c r="K12" s="223">
        <f t="shared" si="5"/>
        <v>19.437629581701998</v>
      </c>
      <c r="L12" s="223">
        <f t="shared" si="5"/>
        <v>19.729194025427525</v>
      </c>
    </row>
    <row r="13" spans="1:12">
      <c r="A13" s="76" t="s">
        <v>98</v>
      </c>
      <c r="B13" s="76" t="s">
        <v>99</v>
      </c>
      <c r="C13" s="200">
        <f>'26년 총원가 배분'!P55</f>
        <v>777</v>
      </c>
      <c r="D13" s="209">
        <f t="shared" si="4"/>
        <v>788.65499999999997</v>
      </c>
      <c r="E13" s="209">
        <f t="shared" si="4"/>
        <v>800.48482499999977</v>
      </c>
      <c r="F13" s="209">
        <f t="shared" si="4"/>
        <v>812.49209737499973</v>
      </c>
      <c r="G13" s="209">
        <f t="shared" si="4"/>
        <v>824.67947883562454</v>
      </c>
      <c r="H13" s="209">
        <f t="shared" si="4"/>
        <v>837.04967101815885</v>
      </c>
      <c r="I13" s="209">
        <f t="shared" si="4"/>
        <v>849.60541608343101</v>
      </c>
      <c r="J13" s="209">
        <f t="shared" si="4"/>
        <v>862.34949732468237</v>
      </c>
      <c r="K13" s="209">
        <f t="shared" si="4"/>
        <v>875.28473978455258</v>
      </c>
      <c r="L13" s="209">
        <f t="shared" si="4"/>
        <v>888.41401088132068</v>
      </c>
    </row>
    <row r="14" spans="1:12">
      <c r="A14" s="254" t="s">
        <v>105</v>
      </c>
      <c r="B14" s="254"/>
      <c r="C14" s="35">
        <f t="shared" ref="C14:L14" si="6">SUM(C6:C13)</f>
        <v>4966</v>
      </c>
      <c r="D14" s="35">
        <f t="shared" si="6"/>
        <v>5173.6782999999987</v>
      </c>
      <c r="E14" s="35">
        <f t="shared" si="6"/>
        <v>5253.9723617499985</v>
      </c>
      <c r="F14" s="35">
        <f t="shared" si="6"/>
        <v>5332.7819471762477</v>
      </c>
      <c r="G14" s="35">
        <f t="shared" si="6"/>
        <v>5412.7736763838902</v>
      </c>
      <c r="H14" s="35">
        <f t="shared" si="6"/>
        <v>5493.9652815296477</v>
      </c>
      <c r="I14" s="35">
        <f t="shared" si="6"/>
        <v>5576.3747607525911</v>
      </c>
      <c r="J14" s="35">
        <f t="shared" si="6"/>
        <v>5660.0203821638797</v>
      </c>
      <c r="K14" s="35">
        <f t="shared" si="6"/>
        <v>5744.9206878963378</v>
      </c>
      <c r="L14" s="35">
        <f t="shared" si="6"/>
        <v>5831.0944982147821</v>
      </c>
    </row>
    <row r="15" spans="1:12">
      <c r="A15" s="254" t="s">
        <v>65</v>
      </c>
      <c r="B15" s="254"/>
      <c r="C15" s="200">
        <f>'26년 총원가 배분'!P58</f>
        <v>0</v>
      </c>
      <c r="D15" s="143">
        <v>0</v>
      </c>
      <c r="E15" s="143">
        <v>0</v>
      </c>
      <c r="F15" s="143">
        <v>0</v>
      </c>
      <c r="G15" s="143">
        <v>0</v>
      </c>
      <c r="H15" s="143">
        <v>0</v>
      </c>
      <c r="I15" s="143">
        <v>0</v>
      </c>
      <c r="J15" s="143">
        <v>0</v>
      </c>
      <c r="K15" s="143">
        <v>0</v>
      </c>
      <c r="L15" s="200">
        <v>0</v>
      </c>
    </row>
    <row r="16" spans="1:12">
      <c r="A16" s="254" t="s">
        <v>66</v>
      </c>
      <c r="B16" s="254"/>
      <c r="C16" s="200">
        <f>'26년 총원가 배분'!P59</f>
        <v>0</v>
      </c>
      <c r="D16" s="143">
        <v>0</v>
      </c>
      <c r="E16" s="143">
        <v>0</v>
      </c>
      <c r="F16" s="143">
        <v>0</v>
      </c>
      <c r="G16" s="143">
        <v>0</v>
      </c>
      <c r="H16" s="143">
        <v>0</v>
      </c>
      <c r="I16" s="143">
        <v>0</v>
      </c>
      <c r="J16" s="143">
        <v>0</v>
      </c>
      <c r="K16" s="143">
        <v>0</v>
      </c>
      <c r="L16" s="200">
        <v>0</v>
      </c>
    </row>
    <row r="17" spans="1:14">
      <c r="A17" s="266" t="s">
        <v>34</v>
      </c>
      <c r="B17" s="147" t="s">
        <v>81</v>
      </c>
      <c r="C17" s="200">
        <f>'26년 총원가 배분'!P60</f>
        <v>0</v>
      </c>
      <c r="D17" s="79"/>
      <c r="E17" s="79"/>
      <c r="F17" s="79"/>
      <c r="G17" s="79"/>
      <c r="H17" s="79"/>
      <c r="I17" s="79">
        <v>0</v>
      </c>
      <c r="J17" s="79">
        <v>0</v>
      </c>
      <c r="K17" s="79">
        <v>0</v>
      </c>
      <c r="L17" s="79">
        <v>0</v>
      </c>
    </row>
    <row r="18" spans="1:14">
      <c r="A18" s="267"/>
      <c r="B18" s="76" t="s">
        <v>64</v>
      </c>
      <c r="C18" s="200">
        <f>'26년 총원가 배분'!P61</f>
        <v>2701</v>
      </c>
      <c r="D18" s="143">
        <f t="shared" ref="D18:L18" si="7">$D$29*1.015^(D4-25)</f>
        <v>1522.6725499999995</v>
      </c>
      <c r="E18" s="143">
        <f t="shared" si="7"/>
        <v>1545.5126382499993</v>
      </c>
      <c r="F18" s="143">
        <f t="shared" si="7"/>
        <v>1568.6953278237493</v>
      </c>
      <c r="G18" s="143">
        <f t="shared" si="7"/>
        <v>1592.2257577411051</v>
      </c>
      <c r="H18" s="143">
        <f t="shared" si="7"/>
        <v>1616.1091441072215</v>
      </c>
      <c r="I18" s="143">
        <f t="shared" si="7"/>
        <v>1640.3507812688295</v>
      </c>
      <c r="J18" s="143">
        <f t="shared" si="7"/>
        <v>1664.9560429878618</v>
      </c>
      <c r="K18" s="143">
        <f t="shared" si="7"/>
        <v>1689.9303836326796</v>
      </c>
      <c r="L18" s="200">
        <f t="shared" si="7"/>
        <v>1715.2793393871696</v>
      </c>
    </row>
    <row r="19" spans="1:14">
      <c r="A19" s="76" t="s">
        <v>102</v>
      </c>
      <c r="B19" s="76" t="s">
        <v>103</v>
      </c>
      <c r="C19" s="200">
        <f>'26년 총원가 배분'!P62</f>
        <v>702</v>
      </c>
      <c r="D19" s="50"/>
      <c r="E19" s="50"/>
      <c r="F19" s="50"/>
      <c r="G19" s="50"/>
      <c r="H19" s="50"/>
      <c r="I19" s="50">
        <v>0</v>
      </c>
      <c r="J19" s="50">
        <v>0</v>
      </c>
      <c r="K19" s="50">
        <v>0</v>
      </c>
      <c r="L19" s="50">
        <v>0</v>
      </c>
    </row>
    <row r="20" spans="1:14">
      <c r="A20" s="254" t="s">
        <v>63</v>
      </c>
      <c r="B20" s="254"/>
      <c r="C20" s="200">
        <f>'26년 총원가 배분'!P63</f>
        <v>0</v>
      </c>
      <c r="D20" s="50">
        <f t="shared" ref="D20:L20" si="8">70*1.015^(D4-22)</f>
        <v>75.409880271906204</v>
      </c>
      <c r="E20" s="50">
        <f t="shared" si="8"/>
        <v>76.541028475984774</v>
      </c>
      <c r="F20" s="50">
        <f t="shared" si="8"/>
        <v>77.689143903124531</v>
      </c>
      <c r="G20" s="50">
        <f t="shared" si="8"/>
        <v>78.854481061671393</v>
      </c>
      <c r="H20" s="50">
        <f t="shared" si="8"/>
        <v>80.037298277596463</v>
      </c>
      <c r="I20" s="50">
        <f t="shared" si="8"/>
        <v>81.237857751760401</v>
      </c>
      <c r="J20" s="50">
        <f t="shared" si="8"/>
        <v>82.456425618036789</v>
      </c>
      <c r="K20" s="50">
        <f t="shared" si="8"/>
        <v>83.693272002307324</v>
      </c>
      <c r="L20" s="50">
        <f t="shared" si="8"/>
        <v>84.948671082341932</v>
      </c>
    </row>
    <row r="21" spans="1:14">
      <c r="A21" s="254" t="s">
        <v>61</v>
      </c>
      <c r="B21" s="147" t="s">
        <v>38</v>
      </c>
      <c r="C21" s="200">
        <f>'26년 총원가 배분'!P64</f>
        <v>0</v>
      </c>
      <c r="D21" s="79"/>
      <c r="E21" s="79"/>
      <c r="F21" s="79"/>
      <c r="G21" s="79"/>
      <c r="H21" s="79"/>
      <c r="I21" s="79">
        <v>0</v>
      </c>
      <c r="J21" s="79">
        <v>0</v>
      </c>
      <c r="K21" s="79">
        <v>0</v>
      </c>
      <c r="L21" s="79">
        <v>0</v>
      </c>
    </row>
    <row r="22" spans="1:14">
      <c r="A22" s="254"/>
      <c r="B22" s="76" t="s">
        <v>39</v>
      </c>
      <c r="C22" s="200">
        <f>'26년 총원가 배분'!P65</f>
        <v>345</v>
      </c>
      <c r="D22" s="143">
        <v>386</v>
      </c>
      <c r="E22" s="143">
        <v>386</v>
      </c>
      <c r="F22" s="143">
        <v>386</v>
      </c>
      <c r="G22" s="143">
        <v>386</v>
      </c>
      <c r="H22" s="143">
        <v>386</v>
      </c>
      <c r="I22" s="143">
        <v>386</v>
      </c>
      <c r="J22" s="143">
        <v>386</v>
      </c>
      <c r="K22" s="143">
        <v>386</v>
      </c>
      <c r="L22" s="200">
        <v>386</v>
      </c>
    </row>
    <row r="23" spans="1:14">
      <c r="A23" s="75" t="s">
        <v>67</v>
      </c>
      <c r="B23" s="75" t="s">
        <v>37</v>
      </c>
      <c r="C23" s="200">
        <f>'26년 총원가 배분'!P66</f>
        <v>0</v>
      </c>
      <c r="D23" s="143">
        <v>84</v>
      </c>
      <c r="E23" s="143">
        <v>84</v>
      </c>
      <c r="F23" s="143">
        <v>84</v>
      </c>
      <c r="G23" s="143">
        <v>84</v>
      </c>
      <c r="H23" s="143">
        <v>84</v>
      </c>
      <c r="I23" s="143">
        <v>84</v>
      </c>
      <c r="J23" s="143">
        <v>84</v>
      </c>
      <c r="K23" s="143">
        <v>84</v>
      </c>
      <c r="L23" s="200">
        <v>84</v>
      </c>
    </row>
    <row r="24" spans="1:14">
      <c r="A24" s="257" t="s">
        <v>78</v>
      </c>
      <c r="B24" s="257"/>
      <c r="C24" s="80">
        <f>SUM(C15:C23)</f>
        <v>3748</v>
      </c>
      <c r="D24" s="80">
        <f t="shared" ref="D24:L24" si="9">SUM(D15:D23)</f>
        <v>2068.0824302719057</v>
      </c>
      <c r="E24" s="80">
        <f t="shared" si="9"/>
        <v>2092.0536667259839</v>
      </c>
      <c r="F24" s="80">
        <f t="shared" si="9"/>
        <v>2116.3844717268739</v>
      </c>
      <c r="G24" s="80">
        <f t="shared" si="9"/>
        <v>2141.0802388027764</v>
      </c>
      <c r="H24" s="80">
        <f t="shared" si="9"/>
        <v>2166.1464423848179</v>
      </c>
      <c r="I24" s="80">
        <f t="shared" si="9"/>
        <v>2191.5886390205897</v>
      </c>
      <c r="J24" s="80">
        <f t="shared" si="9"/>
        <v>2217.4124686058985</v>
      </c>
      <c r="K24" s="80">
        <f t="shared" si="9"/>
        <v>2243.6236556349868</v>
      </c>
      <c r="L24" s="80">
        <f t="shared" si="9"/>
        <v>2270.2280104695114</v>
      </c>
      <c r="M24" s="7"/>
      <c r="N24" s="7"/>
    </row>
    <row r="25" spans="1:14">
      <c r="A25" s="222" t="s">
        <v>282</v>
      </c>
      <c r="B25" s="222" t="s">
        <v>354</v>
      </c>
      <c r="C25" s="223">
        <f>'26년 총원가 배분'!P67</f>
        <v>0</v>
      </c>
      <c r="D25" s="223">
        <f>투자비!N65*1.015</f>
        <v>538.96499999999992</v>
      </c>
      <c r="E25" s="236">
        <f>D$25*1.015^(E$4-D$4)</f>
        <v>547.04947499999992</v>
      </c>
      <c r="F25" s="236">
        <f t="shared" ref="F25:L25" si="10">E$25*1.015^(F$4-E$4)</f>
        <v>555.25521712499983</v>
      </c>
      <c r="G25" s="236">
        <f t="shared" si="10"/>
        <v>563.58404538187483</v>
      </c>
      <c r="H25" s="236">
        <f t="shared" si="10"/>
        <v>572.03780606260295</v>
      </c>
      <c r="I25" s="236">
        <f t="shared" si="10"/>
        <v>580.61837315354194</v>
      </c>
      <c r="J25" s="236">
        <f t="shared" si="10"/>
        <v>589.32764875084501</v>
      </c>
      <c r="K25" s="236">
        <f t="shared" si="10"/>
        <v>598.16756348210765</v>
      </c>
      <c r="L25" s="236">
        <f t="shared" si="10"/>
        <v>607.14007693433916</v>
      </c>
    </row>
    <row r="26" spans="1:14">
      <c r="A26" s="7"/>
      <c r="B26" s="7"/>
      <c r="C26" s="7"/>
      <c r="D26" s="15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1:14">
      <c r="C27">
        <v>4214</v>
      </c>
      <c r="D27" s="31">
        <v>1736</v>
      </c>
      <c r="E27" t="s">
        <v>262</v>
      </c>
    </row>
    <row r="28" spans="1:14">
      <c r="D28" s="134">
        <v>1000</v>
      </c>
      <c r="E28" t="s">
        <v>263</v>
      </c>
    </row>
    <row r="29" spans="1:14">
      <c r="D29" s="31">
        <f>C27-D27-D28</f>
        <v>1478</v>
      </c>
    </row>
  </sheetData>
  <mergeCells count="10">
    <mergeCell ref="A21:A22"/>
    <mergeCell ref="A24:B24"/>
    <mergeCell ref="A4:B4"/>
    <mergeCell ref="A5:B5"/>
    <mergeCell ref="A15:B15"/>
    <mergeCell ref="A16:B16"/>
    <mergeCell ref="A20:B20"/>
    <mergeCell ref="A14:B14"/>
    <mergeCell ref="A17:A18"/>
    <mergeCell ref="A6:A12"/>
  </mergeCells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2">
    <tabColor theme="7"/>
  </sheetPr>
  <dimension ref="A3:L27"/>
  <sheetViews>
    <sheetView zoomScaleNormal="100" workbookViewId="0">
      <selection activeCell="D25" sqref="D25"/>
    </sheetView>
  </sheetViews>
  <sheetFormatPr defaultRowHeight="16.899999999999999"/>
  <cols>
    <col min="1" max="1" width="12.625" customWidth="1"/>
    <col min="2" max="2" width="21.875" customWidth="1"/>
    <col min="3" max="4" width="15.875" customWidth="1"/>
    <col min="5" max="5" width="18.75" customWidth="1"/>
    <col min="6" max="6" width="15" customWidth="1"/>
    <col min="7" max="7" width="17.625" customWidth="1"/>
    <col min="8" max="8" width="16.875" customWidth="1"/>
    <col min="9" max="9" width="16.5" customWidth="1"/>
    <col min="10" max="10" width="16.75" customWidth="1"/>
    <col min="11" max="12" width="17.5" customWidth="1"/>
  </cols>
  <sheetData>
    <row r="3" spans="1:12">
      <c r="C3" s="20"/>
      <c r="D3" s="20"/>
      <c r="E3" s="20"/>
      <c r="F3" s="20"/>
      <c r="G3" s="20"/>
      <c r="L3" s="9" t="s">
        <v>77</v>
      </c>
    </row>
    <row r="4" spans="1:12">
      <c r="A4" s="254" t="s">
        <v>264</v>
      </c>
      <c r="B4" s="254"/>
      <c r="C4" s="140">
        <v>26</v>
      </c>
      <c r="D4" s="140">
        <v>27</v>
      </c>
      <c r="E4" s="140">
        <v>28</v>
      </c>
      <c r="F4" s="140">
        <v>29</v>
      </c>
      <c r="G4" s="140">
        <v>30</v>
      </c>
      <c r="H4" s="140">
        <v>31</v>
      </c>
      <c r="I4" s="141">
        <v>32</v>
      </c>
      <c r="J4" s="140">
        <v>33</v>
      </c>
      <c r="K4" s="140">
        <v>34</v>
      </c>
      <c r="L4" s="199">
        <v>35</v>
      </c>
    </row>
    <row r="5" spans="1:12">
      <c r="A5" s="254" t="s">
        <v>68</v>
      </c>
      <c r="B5" s="254"/>
      <c r="C5" s="140" t="s">
        <v>111</v>
      </c>
      <c r="D5" s="140" t="s">
        <v>111</v>
      </c>
      <c r="E5" s="140" t="s">
        <v>111</v>
      </c>
      <c r="F5" s="140" t="s">
        <v>366</v>
      </c>
      <c r="G5" s="140" t="s">
        <v>111</v>
      </c>
      <c r="H5" s="140" t="s">
        <v>111</v>
      </c>
      <c r="I5" s="199" t="s">
        <v>111</v>
      </c>
      <c r="J5" s="140" t="s">
        <v>148</v>
      </c>
      <c r="K5" s="45" t="s">
        <v>112</v>
      </c>
      <c r="L5" s="208" t="s">
        <v>111</v>
      </c>
    </row>
    <row r="6" spans="1:12">
      <c r="A6" s="266" t="s">
        <v>93</v>
      </c>
      <c r="B6" s="6" t="s">
        <v>94</v>
      </c>
      <c r="C6" s="200">
        <f>'26년 총원가 배분'!Q48</f>
        <v>161</v>
      </c>
      <c r="D6" s="200">
        <f>$C6*1.015^(D$4-$C$4)</f>
        <v>163.41499999999999</v>
      </c>
      <c r="E6" s="200">
        <f t="shared" ref="E6:L6" si="0">$C6*1.015^(E$4-$C$4)</f>
        <v>165.86622499999996</v>
      </c>
      <c r="F6" s="200">
        <f t="shared" si="0"/>
        <v>168.35421837499993</v>
      </c>
      <c r="G6" s="200">
        <f t="shared" si="0"/>
        <v>170.8795316506249</v>
      </c>
      <c r="H6" s="200">
        <f t="shared" si="0"/>
        <v>173.44272462538427</v>
      </c>
      <c r="I6" s="200">
        <f t="shared" si="0"/>
        <v>176.044365494765</v>
      </c>
      <c r="J6" s="200">
        <f t="shared" si="0"/>
        <v>178.68503097718644</v>
      </c>
      <c r="K6" s="200">
        <f t="shared" si="0"/>
        <v>181.36530644184421</v>
      </c>
      <c r="L6" s="200">
        <f t="shared" si="0"/>
        <v>184.08578603847187</v>
      </c>
    </row>
    <row r="7" spans="1:12">
      <c r="A7" s="270"/>
      <c r="B7" s="6" t="s">
        <v>95</v>
      </c>
      <c r="C7" s="200">
        <f>'26년 총원가 배분'!Q49</f>
        <v>1829</v>
      </c>
      <c r="D7" s="200">
        <f t="shared" ref="D7:L7" si="1">$C7*1.015^(D$4-$C$4)</f>
        <v>1856.4349999999997</v>
      </c>
      <c r="E7" s="200">
        <f t="shared" si="1"/>
        <v>1884.2815249999994</v>
      </c>
      <c r="F7" s="200">
        <f t="shared" si="1"/>
        <v>1912.5457478749993</v>
      </c>
      <c r="G7" s="200">
        <f t="shared" si="1"/>
        <v>1941.2339340931239</v>
      </c>
      <c r="H7" s="200">
        <f t="shared" si="1"/>
        <v>1970.3524431045205</v>
      </c>
      <c r="I7" s="200">
        <f t="shared" si="1"/>
        <v>1999.907729751088</v>
      </c>
      <c r="J7" s="200">
        <f t="shared" si="1"/>
        <v>2029.906345697354</v>
      </c>
      <c r="K7" s="200">
        <f>858*1.015^(K$4-$C$4)+300</f>
        <v>1266.5306392987723</v>
      </c>
      <c r="L7" s="200">
        <f t="shared" si="1"/>
        <v>2091.2602649960559</v>
      </c>
    </row>
    <row r="8" spans="1:12">
      <c r="A8" s="270"/>
      <c r="B8" s="6" t="s">
        <v>96</v>
      </c>
      <c r="C8" s="200">
        <f>'26년 총원가 배분'!Q50</f>
        <v>1227</v>
      </c>
      <c r="D8" s="209">
        <f>$C8*1.015^(D$4-25)</f>
        <v>1264.0860749999997</v>
      </c>
      <c r="E8" s="225">
        <f t="shared" ref="E8:L8" si="2">$C8*1.015^(E$4-25)</f>
        <v>1283.0473661249996</v>
      </c>
      <c r="F8" s="225">
        <f t="shared" si="2"/>
        <v>1302.2930766168743</v>
      </c>
      <c r="G8" s="225">
        <f t="shared" si="2"/>
        <v>1321.8274727661274</v>
      </c>
      <c r="H8" s="225">
        <f t="shared" si="2"/>
        <v>1341.654884857619</v>
      </c>
      <c r="I8" s="225">
        <f t="shared" si="2"/>
        <v>1361.779708130483</v>
      </c>
      <c r="J8" s="225">
        <f t="shared" si="2"/>
        <v>1382.2064037524401</v>
      </c>
      <c r="K8" s="225">
        <f t="shared" si="2"/>
        <v>1402.9394998087266</v>
      </c>
      <c r="L8" s="225">
        <f t="shared" si="2"/>
        <v>1423.9835923058572</v>
      </c>
    </row>
    <row r="9" spans="1:12">
      <c r="A9" s="270"/>
      <c r="B9" s="6" t="s">
        <v>97</v>
      </c>
      <c r="C9" s="200">
        <f>'26년 총원가 배분'!Q51</f>
        <v>587</v>
      </c>
      <c r="D9" s="200">
        <f>$C9*1.015^(D$4-$C$4)</f>
        <v>595.80499999999995</v>
      </c>
      <c r="E9" s="200">
        <f t="shared" ref="E9:L9" si="3">$C9*1.015^(E$4-$C$4)</f>
        <v>604.74207499999989</v>
      </c>
      <c r="F9" s="200">
        <f t="shared" si="3"/>
        <v>613.81320612499974</v>
      </c>
      <c r="G9" s="200">
        <f t="shared" si="3"/>
        <v>623.02040421687468</v>
      </c>
      <c r="H9" s="200">
        <f t="shared" si="3"/>
        <v>632.3657102801277</v>
      </c>
      <c r="I9" s="200">
        <f t="shared" si="3"/>
        <v>641.85119593432955</v>
      </c>
      <c r="J9" s="200">
        <f t="shared" si="3"/>
        <v>651.47896387334436</v>
      </c>
      <c r="K9" s="200">
        <f t="shared" si="3"/>
        <v>661.25114833144448</v>
      </c>
      <c r="L9" s="200">
        <f t="shared" si="3"/>
        <v>671.16991555641607</v>
      </c>
    </row>
    <row r="10" spans="1:12">
      <c r="A10" s="270"/>
      <c r="B10" s="6" t="s">
        <v>281</v>
      </c>
      <c r="C10" s="200">
        <f>'26년 총원가 배분'!Q52</f>
        <v>637</v>
      </c>
      <c r="D10" s="209">
        <f t="shared" ref="D10:L13" si="4">$C10*1.015^(D$4-$C$4)</f>
        <v>646.55499999999995</v>
      </c>
      <c r="E10" s="209">
        <f t="shared" si="4"/>
        <v>656.25332499999979</v>
      </c>
      <c r="F10" s="209">
        <f t="shared" si="4"/>
        <v>666.09712487499974</v>
      </c>
      <c r="G10" s="209">
        <f t="shared" si="4"/>
        <v>676.08858174812462</v>
      </c>
      <c r="H10" s="209">
        <f t="shared" si="4"/>
        <v>686.22991047434641</v>
      </c>
      <c r="I10" s="209">
        <f t="shared" si="4"/>
        <v>696.52335913146146</v>
      </c>
      <c r="J10" s="209">
        <f t="shared" si="4"/>
        <v>706.97120951843328</v>
      </c>
      <c r="K10" s="209">
        <f t="shared" si="4"/>
        <v>717.57577766120971</v>
      </c>
      <c r="L10" s="209">
        <f t="shared" si="4"/>
        <v>728.33941432612778</v>
      </c>
    </row>
    <row r="11" spans="1:12">
      <c r="A11" s="270"/>
      <c r="B11" s="201" t="s">
        <v>351</v>
      </c>
      <c r="C11" s="200">
        <f>'26년 총원가 배분'!Q53</f>
        <v>43</v>
      </c>
      <c r="D11" s="209">
        <f>110*1.015^(D$4-$C$4)</f>
        <v>111.64999999999999</v>
      </c>
      <c r="E11" s="200">
        <f>$D11*1.015^(E$4-$C$4)</f>
        <v>115.02462124999997</v>
      </c>
      <c r="F11" s="223">
        <f t="shared" ref="F11:L12" si="5">$D11*1.015^(F$4-$C$4)</f>
        <v>116.74999056874995</v>
      </c>
      <c r="G11" s="223">
        <f t="shared" si="5"/>
        <v>118.50124042728118</v>
      </c>
      <c r="H11" s="223">
        <f t="shared" si="5"/>
        <v>120.27875903369038</v>
      </c>
      <c r="I11" s="223">
        <f t="shared" si="5"/>
        <v>122.08294041919571</v>
      </c>
      <c r="J11" s="223">
        <f t="shared" si="5"/>
        <v>123.91418452548363</v>
      </c>
      <c r="K11" s="223">
        <f t="shared" si="5"/>
        <v>125.77289729336587</v>
      </c>
      <c r="L11" s="223">
        <f t="shared" si="5"/>
        <v>127.65949075276635</v>
      </c>
    </row>
    <row r="12" spans="1:12">
      <c r="A12" s="267"/>
      <c r="B12" s="201" t="s">
        <v>352</v>
      </c>
      <c r="C12" s="200">
        <f>'26년 총원가 배분'!Q54</f>
        <v>6</v>
      </c>
      <c r="D12" s="209">
        <f>12*1.015^(D$4-$C$4)</f>
        <v>12.18</v>
      </c>
      <c r="E12" s="200">
        <f>$D12*1.015^(E$4-$C$4)</f>
        <v>12.548140499999997</v>
      </c>
      <c r="F12" s="223">
        <f t="shared" si="5"/>
        <v>12.736362607499995</v>
      </c>
      <c r="G12" s="223">
        <f t="shared" si="5"/>
        <v>12.927408046612493</v>
      </c>
      <c r="H12" s="223">
        <f t="shared" si="5"/>
        <v>13.121319167311679</v>
      </c>
      <c r="I12" s="223">
        <f t="shared" si="5"/>
        <v>13.31813895482135</v>
      </c>
      <c r="J12" s="223">
        <f t="shared" si="5"/>
        <v>13.517911039143669</v>
      </c>
      <c r="K12" s="223">
        <f t="shared" si="5"/>
        <v>13.720679704730824</v>
      </c>
      <c r="L12" s="223">
        <f t="shared" si="5"/>
        <v>13.926489900301783</v>
      </c>
    </row>
    <row r="13" spans="1:12">
      <c r="A13" s="37" t="s">
        <v>98</v>
      </c>
      <c r="B13" s="208" t="s">
        <v>99</v>
      </c>
      <c r="C13" s="200">
        <f>'26년 총원가 배분'!Q55</f>
        <v>237</v>
      </c>
      <c r="D13" s="209">
        <f t="shared" si="4"/>
        <v>240.55499999999998</v>
      </c>
      <c r="E13" s="209">
        <f t="shared" si="4"/>
        <v>244.16332499999993</v>
      </c>
      <c r="F13" s="209">
        <f t="shared" si="4"/>
        <v>247.82577487499989</v>
      </c>
      <c r="G13" s="209">
        <f t="shared" si="4"/>
        <v>251.54316149812487</v>
      </c>
      <c r="H13" s="209">
        <f t="shared" si="4"/>
        <v>255.3163089205967</v>
      </c>
      <c r="I13" s="209">
        <f t="shared" si="4"/>
        <v>259.14605355440563</v>
      </c>
      <c r="J13" s="209">
        <f t="shared" si="4"/>
        <v>263.03324435772163</v>
      </c>
      <c r="K13" s="209">
        <f t="shared" si="4"/>
        <v>266.97874302308747</v>
      </c>
      <c r="L13" s="209">
        <f t="shared" si="4"/>
        <v>270.98342416843371</v>
      </c>
    </row>
    <row r="14" spans="1:12">
      <c r="A14" s="268" t="s">
        <v>110</v>
      </c>
      <c r="B14" s="269"/>
      <c r="C14" s="35">
        <f t="shared" ref="C14:L14" si="6">SUM(C6:C13)</f>
        <v>4727</v>
      </c>
      <c r="D14" s="35">
        <f t="shared" si="6"/>
        <v>4890.6810749999995</v>
      </c>
      <c r="E14" s="35">
        <f t="shared" si="6"/>
        <v>4965.926602874998</v>
      </c>
      <c r="F14" s="35">
        <f t="shared" si="6"/>
        <v>5040.4155019181235</v>
      </c>
      <c r="G14" s="35">
        <f t="shared" si="6"/>
        <v>5116.0217344468938</v>
      </c>
      <c r="H14" s="35">
        <f t="shared" si="6"/>
        <v>5192.7620604635958</v>
      </c>
      <c r="I14" s="35">
        <f t="shared" si="6"/>
        <v>5270.65349137055</v>
      </c>
      <c r="J14" s="35">
        <f t="shared" si="6"/>
        <v>5349.713293741107</v>
      </c>
      <c r="K14" s="35">
        <f t="shared" si="6"/>
        <v>4636.1346915631811</v>
      </c>
      <c r="L14" s="35">
        <f t="shared" si="6"/>
        <v>5511.4083780444307</v>
      </c>
    </row>
    <row r="15" spans="1:12">
      <c r="A15" s="254" t="s">
        <v>65</v>
      </c>
      <c r="B15" s="254"/>
      <c r="C15" s="200">
        <f>'26년 총원가 배분'!Q58</f>
        <v>0</v>
      </c>
      <c r="D15" s="10"/>
      <c r="E15" s="10"/>
      <c r="F15" s="10"/>
      <c r="G15" s="10"/>
      <c r="H15" s="10"/>
      <c r="I15" s="10"/>
      <c r="J15" s="10"/>
      <c r="K15" s="6"/>
      <c r="L15" s="6"/>
    </row>
    <row r="16" spans="1:12">
      <c r="A16" s="254" t="s">
        <v>66</v>
      </c>
      <c r="B16" s="254"/>
      <c r="C16" s="200">
        <f>'26년 총원가 배분'!Q59</f>
        <v>0</v>
      </c>
      <c r="D16" s="10"/>
      <c r="E16" s="10"/>
      <c r="F16" s="10"/>
      <c r="G16" s="10"/>
      <c r="H16" s="10"/>
      <c r="I16" s="10"/>
      <c r="J16" s="10"/>
      <c r="K16" s="6"/>
      <c r="L16" s="6"/>
    </row>
    <row r="17" spans="1:12">
      <c r="A17" s="266" t="s">
        <v>34</v>
      </c>
      <c r="B17" s="217" t="s">
        <v>81</v>
      </c>
      <c r="C17" s="50">
        <f>'26년 총원가 배분'!Q60</f>
        <v>0</v>
      </c>
      <c r="D17" s="11">
        <f>TRUNC('고온부품(26)'!G13/1000)</f>
        <v>0</v>
      </c>
      <c r="E17" s="11">
        <f>TRUNC('고온부품(26)'!H13/1000)</f>
        <v>0</v>
      </c>
      <c r="F17" s="11">
        <f>TRUNC('고온부품(26)'!I13/1000)</f>
        <v>0</v>
      </c>
      <c r="G17" s="11">
        <f>TRUNC('고온부품(26)'!J13/1000)</f>
        <v>0</v>
      </c>
      <c r="H17" s="11">
        <f>TRUNC('고온부품(26)'!K13/1000)</f>
        <v>0</v>
      </c>
      <c r="I17" s="11">
        <f>TRUNC('고온부품(26)'!L13/1000)</f>
        <v>0</v>
      </c>
      <c r="J17" s="11">
        <f>TRUNC('고온부품(26)'!M13/1000)</f>
        <v>1006</v>
      </c>
      <c r="K17" s="11">
        <f>TRUNC('고온부품(26)'!N13/1000)</f>
        <v>0</v>
      </c>
      <c r="L17" s="11">
        <f>TRUNC('고온부품(26)'!O13/1000)</f>
        <v>0</v>
      </c>
    </row>
    <row r="18" spans="1:12">
      <c r="A18" s="267"/>
      <c r="B18" s="5" t="s">
        <v>64</v>
      </c>
      <c r="C18" s="200">
        <f>'26년 총원가 배분'!Q61</f>
        <v>1351</v>
      </c>
      <c r="D18" s="212">
        <f t="shared" ref="D18:L18" si="7">$C18*1.015^(D$4-$C$4)</f>
        <v>1371.2649999999999</v>
      </c>
      <c r="E18" s="212">
        <f t="shared" si="7"/>
        <v>1391.8339749999996</v>
      </c>
      <c r="F18" s="212">
        <f t="shared" si="7"/>
        <v>1412.7114846249995</v>
      </c>
      <c r="G18" s="212">
        <f t="shared" si="7"/>
        <v>1433.9021568943742</v>
      </c>
      <c r="H18" s="212">
        <f t="shared" si="7"/>
        <v>1455.4106892477896</v>
      </c>
      <c r="I18" s="212">
        <f t="shared" si="7"/>
        <v>1477.2418495865063</v>
      </c>
      <c r="J18" s="212">
        <f t="shared" si="7"/>
        <v>1499.4004773303036</v>
      </c>
      <c r="K18" s="212">
        <f>1951*1.015^(K$4-23)</f>
        <v>2298.1783768684254</v>
      </c>
      <c r="L18" s="212">
        <f t="shared" si="7"/>
        <v>1544.7198567576118</v>
      </c>
    </row>
    <row r="19" spans="1:12">
      <c r="A19" s="37" t="s">
        <v>102</v>
      </c>
      <c r="B19" s="37" t="s">
        <v>103</v>
      </c>
      <c r="C19" s="221">
        <f>'26년 총원가 배분'!Q62</f>
        <v>400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0">
        <v>0</v>
      </c>
      <c r="J19" s="19">
        <v>0</v>
      </c>
      <c r="K19" s="212">
        <v>0</v>
      </c>
      <c r="L19" s="6">
        <v>0</v>
      </c>
    </row>
    <row r="20" spans="1:12">
      <c r="A20" s="254" t="s">
        <v>63</v>
      </c>
      <c r="B20" s="254"/>
      <c r="C20" s="200">
        <f>'26년 총원가 배분'!Q63</f>
        <v>9</v>
      </c>
      <c r="D20" s="19">
        <v>30</v>
      </c>
      <c r="E20" s="19">
        <v>30</v>
      </c>
      <c r="F20" s="19">
        <v>30</v>
      </c>
      <c r="G20" s="19">
        <v>30</v>
      </c>
      <c r="H20" s="19">
        <v>30</v>
      </c>
      <c r="I20" s="19">
        <v>30</v>
      </c>
      <c r="J20" s="19">
        <v>30</v>
      </c>
      <c r="K20" s="19">
        <v>30</v>
      </c>
      <c r="L20" s="19">
        <v>30</v>
      </c>
    </row>
    <row r="21" spans="1:12">
      <c r="A21" s="254" t="s">
        <v>61</v>
      </c>
      <c r="B21" s="217" t="s">
        <v>38</v>
      </c>
      <c r="C21" s="50">
        <f>'26년 총원가 배분'!Q64</f>
        <v>0</v>
      </c>
      <c r="D21" s="11">
        <f>TRUNC('고온부품(26)'!G14/1000)</f>
        <v>0</v>
      </c>
      <c r="E21" s="11">
        <f>TRUNC('고온부품(26)'!H14/1000)</f>
        <v>714</v>
      </c>
      <c r="F21" s="11">
        <f>TRUNC('고온부품(26)'!I14/1000)</f>
        <v>0</v>
      </c>
      <c r="G21" s="11">
        <f>TRUNC('고온부품(26)'!J14/1000)</f>
        <v>0</v>
      </c>
      <c r="H21" s="11">
        <f>TRUNC('고온부품(26)'!K14/1000)</f>
        <v>0</v>
      </c>
      <c r="I21" s="11">
        <f>TRUNC('고온부품(26)'!L14/1000)</f>
        <v>0</v>
      </c>
      <c r="J21" s="11">
        <f>TRUNC('고온부품(26)'!M14/1000)</f>
        <v>0</v>
      </c>
      <c r="K21" s="11">
        <f>TRUNC('고온부품(26)'!N14/1000)</f>
        <v>0</v>
      </c>
      <c r="L21" s="11">
        <f>TRUNC('고온부품(26)'!O14/1000)</f>
        <v>0</v>
      </c>
    </row>
    <row r="22" spans="1:12">
      <c r="A22" s="254"/>
      <c r="B22" s="5" t="s">
        <v>39</v>
      </c>
      <c r="C22" s="200">
        <f>'26년 총원가 배분'!Q65</f>
        <v>17</v>
      </c>
      <c r="D22" s="10">
        <v>107</v>
      </c>
      <c r="E22" s="10">
        <v>107</v>
      </c>
      <c r="F22" s="10">
        <v>107</v>
      </c>
      <c r="G22" s="10">
        <v>107</v>
      </c>
      <c r="H22" s="10">
        <v>107</v>
      </c>
      <c r="I22" s="10">
        <v>107</v>
      </c>
      <c r="J22" s="10">
        <v>107</v>
      </c>
      <c r="K22" s="10">
        <v>107</v>
      </c>
      <c r="L22" s="10">
        <v>107</v>
      </c>
    </row>
    <row r="23" spans="1:12">
      <c r="A23" s="13" t="s">
        <v>67</v>
      </c>
      <c r="B23" s="13" t="s">
        <v>37</v>
      </c>
      <c r="C23" s="200">
        <f>'26년 총원가 배분'!Q66</f>
        <v>0</v>
      </c>
      <c r="D23" s="10">
        <f t="shared" ref="D23:H23" si="8">40*1.015^(D4-22)</f>
        <v>43.091360155374971</v>
      </c>
      <c r="E23" s="10">
        <f t="shared" si="8"/>
        <v>43.737730557705589</v>
      </c>
      <c r="F23" s="10">
        <f t="shared" si="8"/>
        <v>44.393796516071163</v>
      </c>
      <c r="G23" s="10">
        <f t="shared" si="8"/>
        <v>45.059703463812227</v>
      </c>
      <c r="H23" s="10">
        <f t="shared" si="8"/>
        <v>45.735599015769409</v>
      </c>
      <c r="I23" s="10">
        <f>40*1.015^(I4-22)</f>
        <v>46.421633001005944</v>
      </c>
      <c r="J23" s="10">
        <v>47</v>
      </c>
      <c r="K23" s="6">
        <v>47</v>
      </c>
      <c r="L23" s="6">
        <v>47</v>
      </c>
    </row>
    <row r="24" spans="1:12">
      <c r="A24" s="257" t="s">
        <v>78</v>
      </c>
      <c r="B24" s="257"/>
      <c r="C24" s="14">
        <f>SUM(C15:C23)</f>
        <v>1777</v>
      </c>
      <c r="D24" s="14">
        <f t="shared" ref="D24:L24" si="9">SUM(D15:D23)</f>
        <v>1551.3563601553749</v>
      </c>
      <c r="E24" s="14">
        <f t="shared" si="9"/>
        <v>2286.5717055577052</v>
      </c>
      <c r="F24" s="14">
        <f t="shared" si="9"/>
        <v>1594.1052811410707</v>
      </c>
      <c r="G24" s="14">
        <f t="shared" si="9"/>
        <v>1615.9618603581864</v>
      </c>
      <c r="H24" s="14">
        <f t="shared" si="9"/>
        <v>1638.146288263559</v>
      </c>
      <c r="I24" s="36">
        <f t="shared" si="9"/>
        <v>1660.6634825875121</v>
      </c>
      <c r="J24" s="14">
        <f t="shared" si="9"/>
        <v>2689.4004773303036</v>
      </c>
      <c r="K24" s="14">
        <f t="shared" si="9"/>
        <v>2482.1783768684254</v>
      </c>
      <c r="L24" s="14">
        <f t="shared" si="9"/>
        <v>1728.7198567576118</v>
      </c>
    </row>
    <row r="25" spans="1:12">
      <c r="A25" s="222" t="s">
        <v>282</v>
      </c>
      <c r="B25" s="222" t="s">
        <v>354</v>
      </c>
      <c r="C25" s="223">
        <f>'26년 총원가 배분'!Q67</f>
        <v>3203</v>
      </c>
      <c r="D25" s="223">
        <f>7000</f>
        <v>7000</v>
      </c>
      <c r="E25" s="236">
        <f>투자비!O65*1.015*1.015^(E$4-D$4)</f>
        <v>1287.7812499999995</v>
      </c>
      <c r="F25" s="236">
        <f>E$25*1.015^(F$4-E$4)</f>
        <v>1307.0979687499994</v>
      </c>
      <c r="G25" s="236">
        <f t="shared" ref="G25:L25" si="10">F$25*1.015^(G$4-F$4)</f>
        <v>1326.7044382812492</v>
      </c>
      <c r="H25" s="236">
        <f t="shared" si="10"/>
        <v>1346.6050048554678</v>
      </c>
      <c r="I25" s="236">
        <f t="shared" si="10"/>
        <v>1366.8040799282996</v>
      </c>
      <c r="J25" s="236">
        <f t="shared" si="10"/>
        <v>1387.306141127224</v>
      </c>
      <c r="K25" s="236">
        <f t="shared" si="10"/>
        <v>1408.1157332441323</v>
      </c>
      <c r="L25" s="236">
        <f t="shared" si="10"/>
        <v>1429.2374692427943</v>
      </c>
    </row>
    <row r="26" spans="1:1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>
      <c r="A27" s="3"/>
      <c r="B27" s="12"/>
      <c r="C27" s="15"/>
      <c r="D27" s="15"/>
      <c r="E27" s="15"/>
      <c r="F27" s="15"/>
      <c r="G27" s="15"/>
      <c r="H27" s="15"/>
      <c r="I27" s="7"/>
      <c r="J27" s="7"/>
      <c r="K27" s="7"/>
      <c r="L27" s="7"/>
    </row>
  </sheetData>
  <mergeCells count="10">
    <mergeCell ref="A21:A22"/>
    <mergeCell ref="A24:B24"/>
    <mergeCell ref="A4:B4"/>
    <mergeCell ref="A5:B5"/>
    <mergeCell ref="A15:B15"/>
    <mergeCell ref="A16:B16"/>
    <mergeCell ref="A20:B20"/>
    <mergeCell ref="A14:B14"/>
    <mergeCell ref="A17:A18"/>
    <mergeCell ref="A6:A12"/>
  </mergeCells>
  <phoneticPr fontId="1" type="noConversion"/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rgb="FF92D050"/>
  </sheetPr>
  <dimension ref="A3:M28"/>
  <sheetViews>
    <sheetView zoomScaleNormal="100" workbookViewId="0">
      <selection activeCell="E25" sqref="E25"/>
    </sheetView>
  </sheetViews>
  <sheetFormatPr defaultRowHeight="16.899999999999999"/>
  <cols>
    <col min="1" max="1" width="12.625" customWidth="1"/>
    <col min="2" max="2" width="21.875" customWidth="1"/>
    <col min="3" max="4" width="15.875" customWidth="1"/>
    <col min="5" max="5" width="18.75" customWidth="1"/>
    <col min="6" max="6" width="15" customWidth="1"/>
    <col min="7" max="7" width="17.625" customWidth="1"/>
    <col min="8" max="8" width="16.875" customWidth="1"/>
    <col min="9" max="9" width="16.5" customWidth="1"/>
    <col min="10" max="10" width="15.125" customWidth="1"/>
    <col min="11" max="12" width="15.75" customWidth="1"/>
  </cols>
  <sheetData>
    <row r="3" spans="1:12">
      <c r="C3" s="20"/>
      <c r="D3" s="20"/>
      <c r="E3" s="20"/>
      <c r="F3" s="20"/>
      <c r="G3" s="20"/>
      <c r="L3" s="9" t="s">
        <v>77</v>
      </c>
    </row>
    <row r="4" spans="1:12">
      <c r="A4" s="254" t="s">
        <v>86</v>
      </c>
      <c r="B4" s="254"/>
      <c r="C4" s="5">
        <v>26</v>
      </c>
      <c r="D4" s="5">
        <v>27</v>
      </c>
      <c r="E4" s="5">
        <v>28</v>
      </c>
      <c r="F4" s="5">
        <v>29</v>
      </c>
      <c r="G4" s="5">
        <v>30</v>
      </c>
      <c r="H4" s="5">
        <v>31</v>
      </c>
      <c r="I4" s="37">
        <v>32</v>
      </c>
      <c r="J4" s="63">
        <v>33</v>
      </c>
      <c r="K4" s="140">
        <v>34</v>
      </c>
      <c r="L4" s="199">
        <v>35</v>
      </c>
    </row>
    <row r="5" spans="1:12">
      <c r="A5" s="254" t="s">
        <v>68</v>
      </c>
      <c r="B5" s="254"/>
      <c r="C5" s="5" t="s">
        <v>76</v>
      </c>
      <c r="D5" s="5" t="s">
        <v>76</v>
      </c>
      <c r="E5" s="5" t="s">
        <v>76</v>
      </c>
      <c r="F5" s="5" t="s">
        <v>76</v>
      </c>
      <c r="G5" s="5" t="s">
        <v>76</v>
      </c>
      <c r="H5" s="5" t="s">
        <v>76</v>
      </c>
      <c r="I5" s="37" t="s">
        <v>76</v>
      </c>
      <c r="J5" s="63" t="s">
        <v>132</v>
      </c>
      <c r="K5" s="140" t="s">
        <v>76</v>
      </c>
      <c r="L5" s="199" t="s">
        <v>76</v>
      </c>
    </row>
    <row r="6" spans="1:12">
      <c r="A6" s="266" t="s">
        <v>93</v>
      </c>
      <c r="B6" s="6" t="s">
        <v>94</v>
      </c>
      <c r="C6" s="200">
        <f>'26년 총원가 배분'!S48</f>
        <v>207</v>
      </c>
      <c r="D6" s="200">
        <f>$C6*1.015^(D$4-$C$4)</f>
        <v>210.10499999999999</v>
      </c>
      <c r="E6" s="200">
        <f t="shared" ref="E6:L6" si="0">$C6*1.015^(E$4-$C$4)</f>
        <v>213.25657499999994</v>
      </c>
      <c r="F6" s="200">
        <f t="shared" si="0"/>
        <v>216.45542362499992</v>
      </c>
      <c r="G6" s="200">
        <f t="shared" si="0"/>
        <v>219.70225497937489</v>
      </c>
      <c r="H6" s="200">
        <f t="shared" si="0"/>
        <v>222.99778880406546</v>
      </c>
      <c r="I6" s="200">
        <f t="shared" si="0"/>
        <v>226.34275563612641</v>
      </c>
      <c r="J6" s="200">
        <f t="shared" si="0"/>
        <v>229.73789697066829</v>
      </c>
      <c r="K6" s="200">
        <f t="shared" si="0"/>
        <v>233.18396542522828</v>
      </c>
      <c r="L6" s="200">
        <f t="shared" si="0"/>
        <v>236.68172490660669</v>
      </c>
    </row>
    <row r="7" spans="1:12">
      <c r="A7" s="270"/>
      <c r="B7" s="6" t="s">
        <v>95</v>
      </c>
      <c r="C7" s="200">
        <f>'26년 총원가 배분'!S49</f>
        <v>1344</v>
      </c>
      <c r="D7" s="200">
        <f>$C7*1.015^(D$4-26)</f>
        <v>1364.1599999999999</v>
      </c>
      <c r="E7" s="200">
        <f t="shared" ref="E7:L7" si="1">$C7*1.015^(E$4-26)</f>
        <v>1384.6223999999997</v>
      </c>
      <c r="F7" s="200">
        <f t="shared" si="1"/>
        <v>1405.3917359999996</v>
      </c>
      <c r="G7" s="200">
        <f t="shared" si="1"/>
        <v>1426.4726120399991</v>
      </c>
      <c r="H7" s="200">
        <f t="shared" si="1"/>
        <v>1447.8697012205989</v>
      </c>
      <c r="I7" s="200">
        <f t="shared" si="1"/>
        <v>1469.5877467389078</v>
      </c>
      <c r="J7" s="200">
        <f t="shared" si="1"/>
        <v>1491.6315629399912</v>
      </c>
      <c r="K7" s="200">
        <f t="shared" si="1"/>
        <v>1514.006036384091</v>
      </c>
      <c r="L7" s="200">
        <f t="shared" si="1"/>
        <v>1536.716126929852</v>
      </c>
    </row>
    <row r="8" spans="1:12">
      <c r="A8" s="270"/>
      <c r="B8" s="6" t="s">
        <v>96</v>
      </c>
      <c r="C8" s="200">
        <f>'26년 총원가 배분'!S50</f>
        <v>1064</v>
      </c>
      <c r="D8" s="143">
        <f>$C8*1.015^(D$4-25)</f>
        <v>1096.1593999999998</v>
      </c>
      <c r="E8" s="225">
        <f t="shared" ref="E8:L8" si="2">$C8*1.015^(E$4-25)</f>
        <v>1112.6017909999996</v>
      </c>
      <c r="F8" s="225">
        <f t="shared" si="2"/>
        <v>1129.2908178649993</v>
      </c>
      <c r="G8" s="225">
        <f t="shared" si="2"/>
        <v>1146.2301801329743</v>
      </c>
      <c r="H8" s="225">
        <f t="shared" si="2"/>
        <v>1163.4236328349687</v>
      </c>
      <c r="I8" s="225">
        <f t="shared" si="2"/>
        <v>1180.874987327493</v>
      </c>
      <c r="J8" s="225">
        <f t="shared" si="2"/>
        <v>1198.5881121374052</v>
      </c>
      <c r="K8" s="225">
        <f t="shared" si="2"/>
        <v>1216.5669338194662</v>
      </c>
      <c r="L8" s="225">
        <f t="shared" si="2"/>
        <v>1234.8154378267579</v>
      </c>
    </row>
    <row r="9" spans="1:12">
      <c r="A9" s="270"/>
      <c r="B9" s="6" t="s">
        <v>97</v>
      </c>
      <c r="C9" s="200">
        <f>'26년 총원가 배분'!S51</f>
        <v>687</v>
      </c>
      <c r="D9" s="200">
        <f>$C9*1.015^(D$4-$C$4)</f>
        <v>697.30499999999995</v>
      </c>
      <c r="E9" s="200">
        <f t="shared" ref="E9:L9" si="3">$C9*1.015^(E$4-$C$4)</f>
        <v>707.76457499999981</v>
      </c>
      <c r="F9" s="200">
        <f t="shared" si="3"/>
        <v>718.38104362499973</v>
      </c>
      <c r="G9" s="200">
        <f t="shared" si="3"/>
        <v>729.15675927937457</v>
      </c>
      <c r="H9" s="200">
        <f t="shared" si="3"/>
        <v>740.09411066856512</v>
      </c>
      <c r="I9" s="200">
        <f t="shared" si="3"/>
        <v>751.19552232859348</v>
      </c>
      <c r="J9" s="200">
        <f t="shared" si="3"/>
        <v>762.46345516352221</v>
      </c>
      <c r="K9" s="200">
        <f t="shared" si="3"/>
        <v>773.90040699097506</v>
      </c>
      <c r="L9" s="200">
        <f t="shared" si="3"/>
        <v>785.5089130958396</v>
      </c>
    </row>
    <row r="10" spans="1:12">
      <c r="A10" s="270"/>
      <c r="B10" s="6" t="s">
        <v>281</v>
      </c>
      <c r="C10" s="200">
        <f>'26년 총원가 배분'!S52</f>
        <v>1052</v>
      </c>
      <c r="D10" s="200">
        <f>$C10*1.015^(D$4-26)</f>
        <v>1067.78</v>
      </c>
      <c r="E10" s="200">
        <f t="shared" ref="E10:L10" si="4">$C10*1.015^(E$4-26)</f>
        <v>1083.7966999999996</v>
      </c>
      <c r="F10" s="200">
        <f t="shared" si="4"/>
        <v>1100.0536504999995</v>
      </c>
      <c r="G10" s="200">
        <f t="shared" si="4"/>
        <v>1116.5544552574995</v>
      </c>
      <c r="H10" s="200">
        <f t="shared" si="4"/>
        <v>1133.3027720863618</v>
      </c>
      <c r="I10" s="200">
        <f t="shared" si="4"/>
        <v>1150.302313667657</v>
      </c>
      <c r="J10" s="200">
        <f t="shared" si="4"/>
        <v>1167.5568483726715</v>
      </c>
      <c r="K10" s="200">
        <f t="shared" si="4"/>
        <v>1185.0702010982616</v>
      </c>
      <c r="L10" s="200">
        <f t="shared" si="4"/>
        <v>1202.8462541147353</v>
      </c>
    </row>
    <row r="11" spans="1:12">
      <c r="A11" s="270"/>
      <c r="B11" s="201" t="s">
        <v>351</v>
      </c>
      <c r="C11" s="200">
        <f>'26년 총원가 배분'!S53</f>
        <v>37</v>
      </c>
      <c r="D11" s="200">
        <f>96*1.015^(D$4-$C$4)</f>
        <v>97.44</v>
      </c>
      <c r="E11" s="200">
        <f>$D11*1.015^(E$4-$C$4)</f>
        <v>100.38512399999998</v>
      </c>
      <c r="F11" s="223">
        <f t="shared" ref="F11:L12" si="5">$D11*1.015^(F$4-$C$4)</f>
        <v>101.89090085999996</v>
      </c>
      <c r="G11" s="223">
        <f t="shared" si="5"/>
        <v>103.41926437289995</v>
      </c>
      <c r="H11" s="223">
        <f t="shared" si="5"/>
        <v>104.97055333849343</v>
      </c>
      <c r="I11" s="223">
        <f t="shared" si="5"/>
        <v>106.5451116385708</v>
      </c>
      <c r="J11" s="223">
        <f t="shared" si="5"/>
        <v>108.14328831314936</v>
      </c>
      <c r="K11" s="223">
        <f t="shared" si="5"/>
        <v>109.76543763784659</v>
      </c>
      <c r="L11" s="223">
        <f t="shared" si="5"/>
        <v>111.41191920241427</v>
      </c>
    </row>
    <row r="12" spans="1:12">
      <c r="A12" s="267"/>
      <c r="B12" s="201" t="s">
        <v>352</v>
      </c>
      <c r="C12" s="200">
        <f>'26년 총원가 배분'!S54</f>
        <v>5</v>
      </c>
      <c r="D12" s="200">
        <f>11*1.015^(D$4-$C$4)</f>
        <v>11.164999999999999</v>
      </c>
      <c r="E12" s="200">
        <f>$D12*1.015^(E$4-$C$4)</f>
        <v>11.502462124999996</v>
      </c>
      <c r="F12" s="223">
        <f t="shared" si="5"/>
        <v>11.674999056874995</v>
      </c>
      <c r="G12" s="223">
        <f t="shared" si="5"/>
        <v>11.850124042728117</v>
      </c>
      <c r="H12" s="223">
        <f t="shared" si="5"/>
        <v>12.027875903369038</v>
      </c>
      <c r="I12" s="223">
        <f t="shared" si="5"/>
        <v>12.20829404191957</v>
      </c>
      <c r="J12" s="223">
        <f t="shared" si="5"/>
        <v>12.391418452548363</v>
      </c>
      <c r="K12" s="223">
        <f t="shared" si="5"/>
        <v>12.577289729336588</v>
      </c>
      <c r="L12" s="223">
        <f t="shared" si="5"/>
        <v>12.765949075276634</v>
      </c>
    </row>
    <row r="13" spans="1:12">
      <c r="A13" s="6" t="s">
        <v>98</v>
      </c>
      <c r="B13" s="6" t="s">
        <v>99</v>
      </c>
      <c r="C13" s="200">
        <f>'26년 총원가 배분'!S55</f>
        <v>238</v>
      </c>
      <c r="D13" s="209">
        <f>$C13*1.015^(D$4-$C$4)</f>
        <v>241.56999999999996</v>
      </c>
      <c r="E13" s="209">
        <f t="shared" ref="E13:L13" si="6">$C13*1.015^(E$4-$C$4)</f>
        <v>245.19354999999993</v>
      </c>
      <c r="F13" s="209">
        <f t="shared" si="6"/>
        <v>248.87145324999992</v>
      </c>
      <c r="G13" s="209">
        <f t="shared" si="6"/>
        <v>252.60452504874988</v>
      </c>
      <c r="H13" s="209">
        <f t="shared" si="6"/>
        <v>256.39359292448108</v>
      </c>
      <c r="I13" s="209">
        <f t="shared" si="6"/>
        <v>260.23949681834824</v>
      </c>
      <c r="J13" s="209">
        <f t="shared" si="6"/>
        <v>264.14308927062342</v>
      </c>
      <c r="K13" s="209">
        <f t="shared" si="6"/>
        <v>268.10523560968278</v>
      </c>
      <c r="L13" s="209">
        <f t="shared" si="6"/>
        <v>272.12681414382797</v>
      </c>
    </row>
    <row r="14" spans="1:12">
      <c r="A14" s="268" t="s">
        <v>110</v>
      </c>
      <c r="B14" s="269"/>
      <c r="C14" s="36">
        <f t="shared" ref="C14:L14" si="7">SUM(C6:C13)</f>
        <v>4634</v>
      </c>
      <c r="D14" s="36">
        <f t="shared" si="7"/>
        <v>4785.6843999999992</v>
      </c>
      <c r="E14" s="36">
        <f t="shared" si="7"/>
        <v>4859.1231771249995</v>
      </c>
      <c r="F14" s="36">
        <f t="shared" si="7"/>
        <v>4932.0100247818737</v>
      </c>
      <c r="G14" s="36">
        <f t="shared" si="7"/>
        <v>5005.9901751536008</v>
      </c>
      <c r="H14" s="36">
        <f t="shared" si="7"/>
        <v>5081.080027780903</v>
      </c>
      <c r="I14" s="36">
        <f t="shared" si="7"/>
        <v>5157.296228197617</v>
      </c>
      <c r="J14" s="35">
        <f t="shared" si="7"/>
        <v>5234.6556716205787</v>
      </c>
      <c r="K14" s="35">
        <f t="shared" si="7"/>
        <v>5313.1755066948881</v>
      </c>
      <c r="L14" s="35">
        <f t="shared" si="7"/>
        <v>5392.8731392953105</v>
      </c>
    </row>
    <row r="15" spans="1:12">
      <c r="A15" s="254" t="s">
        <v>65</v>
      </c>
      <c r="B15" s="254"/>
      <c r="C15" s="200">
        <f>'26년 총원가 배분'!S58</f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9"/>
      <c r="K15" s="19"/>
      <c r="L15" s="19"/>
    </row>
    <row r="16" spans="1:12">
      <c r="A16" s="254" t="s">
        <v>66</v>
      </c>
      <c r="B16" s="254"/>
      <c r="C16" s="200">
        <f>'26년 총원가 배분'!S59</f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9"/>
      <c r="K16" s="19"/>
      <c r="L16" s="19"/>
    </row>
    <row r="17" spans="1:13">
      <c r="A17" s="266" t="s">
        <v>34</v>
      </c>
      <c r="B17" s="210" t="s">
        <v>81</v>
      </c>
      <c r="C17" s="200">
        <f>'26년 총원가 배분'!S60</f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</row>
    <row r="18" spans="1:13">
      <c r="A18" s="267"/>
      <c r="B18" s="37" t="s">
        <v>64</v>
      </c>
      <c r="C18" s="200">
        <f>'26년 총원가 배분'!S61</f>
        <v>3447</v>
      </c>
      <c r="D18" s="10">
        <f t="shared" ref="D18:L18" si="8">$D$28*1.015^(D4-25)</f>
        <v>941.62564999999972</v>
      </c>
      <c r="E18" s="10">
        <f t="shared" si="8"/>
        <v>955.7500347499996</v>
      </c>
      <c r="F18" s="10">
        <f t="shared" si="8"/>
        <v>970.08628527124949</v>
      </c>
      <c r="G18" s="10">
        <f t="shared" si="8"/>
        <v>984.63757955031815</v>
      </c>
      <c r="H18" s="10">
        <f t="shared" si="8"/>
        <v>999.4071432435727</v>
      </c>
      <c r="I18" s="10">
        <f t="shared" si="8"/>
        <v>1014.3982503922261</v>
      </c>
      <c r="J18" s="10">
        <f t="shared" si="8"/>
        <v>1029.6142241481093</v>
      </c>
      <c r="K18" s="10">
        <f t="shared" si="8"/>
        <v>1045.058437510331</v>
      </c>
      <c r="L18" s="10">
        <f t="shared" si="8"/>
        <v>1060.7343140729859</v>
      </c>
    </row>
    <row r="19" spans="1:13">
      <c r="A19" s="37" t="s">
        <v>102</v>
      </c>
      <c r="B19" s="37" t="s">
        <v>103</v>
      </c>
      <c r="C19" s="200">
        <f>'26년 총원가 배분'!S62</f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/>
      <c r="K19" s="19"/>
      <c r="L19" s="19"/>
    </row>
    <row r="20" spans="1:13">
      <c r="A20" s="254" t="s">
        <v>63</v>
      </c>
      <c r="B20" s="254"/>
      <c r="C20" s="200">
        <f>'26년 총원가 배분'!S63</f>
        <v>0</v>
      </c>
      <c r="D20" s="10">
        <f>C20</f>
        <v>0</v>
      </c>
      <c r="E20" s="10">
        <f t="shared" ref="E20:L20" si="9">D20</f>
        <v>0</v>
      </c>
      <c r="F20" s="10">
        <f t="shared" si="9"/>
        <v>0</v>
      </c>
      <c r="G20" s="10">
        <f t="shared" si="9"/>
        <v>0</v>
      </c>
      <c r="H20" s="10">
        <f t="shared" si="9"/>
        <v>0</v>
      </c>
      <c r="I20" s="10">
        <f t="shared" si="9"/>
        <v>0</v>
      </c>
      <c r="J20" s="10">
        <f t="shared" si="9"/>
        <v>0</v>
      </c>
      <c r="K20" s="10">
        <f t="shared" si="9"/>
        <v>0</v>
      </c>
      <c r="L20" s="10">
        <f t="shared" si="9"/>
        <v>0</v>
      </c>
    </row>
    <row r="21" spans="1:13">
      <c r="A21" s="254" t="s">
        <v>61</v>
      </c>
      <c r="B21" s="13" t="s">
        <v>38</v>
      </c>
      <c r="C21" s="200">
        <f>'26년 총원가 배분'!S64</f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</row>
    <row r="22" spans="1:13">
      <c r="A22" s="254"/>
      <c r="B22" s="5" t="s">
        <v>39</v>
      </c>
      <c r="C22" s="200">
        <f>'26년 총원가 배분'!S65</f>
        <v>29</v>
      </c>
      <c r="D22" s="10">
        <v>29</v>
      </c>
      <c r="E22" s="10">
        <v>29</v>
      </c>
      <c r="F22" s="10">
        <v>29</v>
      </c>
      <c r="G22" s="10">
        <v>29</v>
      </c>
      <c r="H22" s="10">
        <v>29</v>
      </c>
      <c r="I22" s="10">
        <v>29</v>
      </c>
      <c r="J22" s="10">
        <v>29</v>
      </c>
      <c r="K22" s="10">
        <v>29</v>
      </c>
      <c r="L22" s="10">
        <v>29</v>
      </c>
    </row>
    <row r="23" spans="1:13">
      <c r="A23" s="13" t="s">
        <v>67</v>
      </c>
      <c r="B23" s="13" t="s">
        <v>37</v>
      </c>
      <c r="C23" s="200">
        <f>'26년 총원가 배분'!S66</f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9"/>
      <c r="K23" s="19"/>
      <c r="L23" s="19"/>
    </row>
    <row r="24" spans="1:13">
      <c r="A24" s="257" t="s">
        <v>78</v>
      </c>
      <c r="B24" s="257"/>
      <c r="C24" s="36">
        <f t="shared" ref="C24:H24" si="10">SUM(C15:C23)</f>
        <v>3476</v>
      </c>
      <c r="D24" s="36">
        <f t="shared" si="10"/>
        <v>970.62564999999972</v>
      </c>
      <c r="E24" s="36">
        <f t="shared" si="10"/>
        <v>984.7500347499996</v>
      </c>
      <c r="F24" s="36">
        <f t="shared" si="10"/>
        <v>999.08628527124949</v>
      </c>
      <c r="G24" s="36">
        <f t="shared" si="10"/>
        <v>1013.6375795503182</v>
      </c>
      <c r="H24" s="36">
        <f t="shared" si="10"/>
        <v>1028.4071432435726</v>
      </c>
      <c r="I24" s="36">
        <f t="shared" ref="I24" si="11">SUM(I15:I23)</f>
        <v>1043.3982503922261</v>
      </c>
      <c r="J24" s="14">
        <f>SUM(J15:J23)</f>
        <v>1058.6142241481093</v>
      </c>
      <c r="K24" s="14">
        <f>SUM(K15:K23)</f>
        <v>1074.058437510331</v>
      </c>
      <c r="L24" s="14">
        <f>SUM(L15:L23)</f>
        <v>1089.7343140729859</v>
      </c>
      <c r="M24" s="7"/>
    </row>
    <row r="25" spans="1:13">
      <c r="A25" s="222" t="s">
        <v>282</v>
      </c>
      <c r="B25" s="222" t="s">
        <v>354</v>
      </c>
      <c r="C25" s="223">
        <f>'26년 총원가 배분'!S67</f>
        <v>0</v>
      </c>
      <c r="D25" s="223">
        <f>투자비!Q65</f>
        <v>1058</v>
      </c>
      <c r="E25" s="236">
        <f>D$25*1.015^(E$4-D$4)</f>
        <v>1073.8699999999999</v>
      </c>
      <c r="F25" s="236">
        <f t="shared" ref="F25:L25" si="12">E$25*1.015^(F$4-E$4)</f>
        <v>1089.9780499999997</v>
      </c>
      <c r="G25" s="236">
        <f t="shared" si="12"/>
        <v>1106.3277207499996</v>
      </c>
      <c r="H25" s="236">
        <f t="shared" si="12"/>
        <v>1122.9226365612494</v>
      </c>
      <c r="I25" s="236">
        <f t="shared" si="12"/>
        <v>1139.766476109668</v>
      </c>
      <c r="J25" s="236">
        <f t="shared" si="12"/>
        <v>1156.862973251313</v>
      </c>
      <c r="K25" s="236">
        <f t="shared" si="12"/>
        <v>1174.2159178500826</v>
      </c>
      <c r="L25" s="236">
        <f t="shared" si="12"/>
        <v>1191.8291566178339</v>
      </c>
    </row>
    <row r="26" spans="1:1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>
      <c r="A27" s="3"/>
      <c r="B27" s="12"/>
      <c r="C27" s="15"/>
      <c r="D27" s="15"/>
      <c r="E27" s="15"/>
      <c r="F27" s="15"/>
      <c r="G27" s="15"/>
      <c r="H27" s="15"/>
      <c r="I27" s="7"/>
      <c r="J27" s="7"/>
      <c r="K27" s="7"/>
      <c r="L27" s="7"/>
      <c r="M27" s="7"/>
    </row>
    <row r="28" spans="1:13">
      <c r="C28" t="s">
        <v>247</v>
      </c>
      <c r="D28">
        <v>914</v>
      </c>
    </row>
  </sheetData>
  <mergeCells count="10">
    <mergeCell ref="A21:A22"/>
    <mergeCell ref="A24:B24"/>
    <mergeCell ref="A4:B4"/>
    <mergeCell ref="A5:B5"/>
    <mergeCell ref="A15:B15"/>
    <mergeCell ref="A16:B16"/>
    <mergeCell ref="A20:B20"/>
    <mergeCell ref="A17:A18"/>
    <mergeCell ref="A14:B14"/>
    <mergeCell ref="A6:A12"/>
  </mergeCells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92D050"/>
  </sheetPr>
  <dimension ref="A3:M28"/>
  <sheetViews>
    <sheetView zoomScaleNormal="100" workbookViewId="0">
      <selection activeCell="D25" sqref="D25"/>
    </sheetView>
  </sheetViews>
  <sheetFormatPr defaultRowHeight="16.899999999999999"/>
  <cols>
    <col min="1" max="1" width="12.625" customWidth="1"/>
    <col min="2" max="2" width="21.875" customWidth="1"/>
    <col min="3" max="4" width="15.875" customWidth="1"/>
    <col min="5" max="5" width="18.75" customWidth="1"/>
    <col min="6" max="6" width="15" customWidth="1"/>
    <col min="7" max="7" width="17.625" customWidth="1"/>
    <col min="8" max="8" width="16.875" customWidth="1"/>
    <col min="9" max="9" width="16.5" customWidth="1"/>
    <col min="10" max="10" width="15" customWidth="1"/>
    <col min="11" max="12" width="14.375" customWidth="1"/>
  </cols>
  <sheetData>
    <row r="3" spans="1:12">
      <c r="C3" s="20"/>
      <c r="D3" s="20"/>
      <c r="E3" s="20"/>
      <c r="F3" s="20"/>
      <c r="G3" s="20"/>
      <c r="L3" s="9" t="s">
        <v>77</v>
      </c>
    </row>
    <row r="4" spans="1:12">
      <c r="A4" s="254" t="s">
        <v>87</v>
      </c>
      <c r="B4" s="254"/>
      <c r="C4" s="5">
        <v>26</v>
      </c>
      <c r="D4" s="5">
        <v>27</v>
      </c>
      <c r="E4" s="5">
        <v>28</v>
      </c>
      <c r="F4" s="5">
        <v>29</v>
      </c>
      <c r="G4" s="5">
        <v>30</v>
      </c>
      <c r="H4" s="5">
        <v>31</v>
      </c>
      <c r="I4" s="37">
        <v>32</v>
      </c>
      <c r="J4" s="63">
        <v>33</v>
      </c>
      <c r="K4" s="140">
        <v>34</v>
      </c>
      <c r="L4" s="199">
        <v>35</v>
      </c>
    </row>
    <row r="5" spans="1:12">
      <c r="A5" s="254" t="s">
        <v>68</v>
      </c>
      <c r="B5" s="254"/>
      <c r="C5" s="5" t="s">
        <v>76</v>
      </c>
      <c r="D5" s="5" t="s">
        <v>76</v>
      </c>
      <c r="E5" s="5" t="s">
        <v>76</v>
      </c>
      <c r="F5" s="5" t="s">
        <v>76</v>
      </c>
      <c r="G5" s="5" t="s">
        <v>76</v>
      </c>
      <c r="H5" s="5" t="s">
        <v>76</v>
      </c>
      <c r="I5" s="37" t="s">
        <v>76</v>
      </c>
      <c r="J5" s="63" t="s">
        <v>132</v>
      </c>
      <c r="K5" s="140" t="s">
        <v>76</v>
      </c>
      <c r="L5" s="199" t="s">
        <v>76</v>
      </c>
    </row>
    <row r="6" spans="1:12">
      <c r="A6" s="266" t="s">
        <v>93</v>
      </c>
      <c r="B6" s="6" t="s">
        <v>94</v>
      </c>
      <c r="C6" s="200">
        <f>'26년 총원가 배분'!T48</f>
        <v>106</v>
      </c>
      <c r="D6" s="200">
        <f>$C6*1.015^(D$4-$C$4)</f>
        <v>107.58999999999999</v>
      </c>
      <c r="E6" s="200">
        <f t="shared" ref="E6:L6" si="0">$C6*1.015^(E$4-$C$4)</f>
        <v>109.20384999999997</v>
      </c>
      <c r="F6" s="200">
        <f t="shared" si="0"/>
        <v>110.84190774999996</v>
      </c>
      <c r="G6" s="200">
        <f t="shared" si="0"/>
        <v>112.50453636624994</v>
      </c>
      <c r="H6" s="200">
        <f t="shared" si="0"/>
        <v>114.19210441174367</v>
      </c>
      <c r="I6" s="200">
        <f t="shared" si="0"/>
        <v>115.90498597791981</v>
      </c>
      <c r="J6" s="200">
        <f t="shared" si="0"/>
        <v>117.64356076758858</v>
      </c>
      <c r="K6" s="200">
        <f t="shared" si="0"/>
        <v>119.4082141791024</v>
      </c>
      <c r="L6" s="200">
        <f t="shared" si="0"/>
        <v>121.19933739178893</v>
      </c>
    </row>
    <row r="7" spans="1:12">
      <c r="A7" s="270"/>
      <c r="B7" s="6" t="s">
        <v>95</v>
      </c>
      <c r="C7" s="200">
        <f>'26년 총원가 배분'!T49</f>
        <v>635</v>
      </c>
      <c r="D7" s="200">
        <f>$C7*1.015^(D$4-26)</f>
        <v>644.52499999999998</v>
      </c>
      <c r="E7" s="200">
        <f t="shared" ref="E7:L7" si="1">$C7*1.015^(E$4-26)</f>
        <v>654.19287499999984</v>
      </c>
      <c r="F7" s="200">
        <f t="shared" si="1"/>
        <v>664.0057681249998</v>
      </c>
      <c r="G7" s="200">
        <f t="shared" si="1"/>
        <v>673.96585464687462</v>
      </c>
      <c r="H7" s="200">
        <f t="shared" si="1"/>
        <v>684.07534246657769</v>
      </c>
      <c r="I7" s="200">
        <f t="shared" si="1"/>
        <v>694.33647260357623</v>
      </c>
      <c r="J7" s="200">
        <f t="shared" si="1"/>
        <v>704.7515196926297</v>
      </c>
      <c r="K7" s="200">
        <f t="shared" si="1"/>
        <v>715.3227924880191</v>
      </c>
      <c r="L7" s="200">
        <f t="shared" si="1"/>
        <v>726.05263437533927</v>
      </c>
    </row>
    <row r="8" spans="1:12">
      <c r="A8" s="270"/>
      <c r="B8" s="6" t="s">
        <v>96</v>
      </c>
      <c r="C8" s="200">
        <f>'26년 총원가 배분'!T50</f>
        <v>699</v>
      </c>
      <c r="D8" s="143">
        <f>$C8*1.015^(D$4-25)</f>
        <v>720.12727499999983</v>
      </c>
      <c r="E8" s="225">
        <f t="shared" ref="E8:L8" si="2">$C8*1.015^(E$4-25)</f>
        <v>730.92918412499978</v>
      </c>
      <c r="F8" s="225">
        <f t="shared" si="2"/>
        <v>741.89312188687461</v>
      </c>
      <c r="G8" s="225">
        <f t="shared" si="2"/>
        <v>753.02151871517765</v>
      </c>
      <c r="H8" s="225">
        <f t="shared" si="2"/>
        <v>764.31684149590512</v>
      </c>
      <c r="I8" s="225">
        <f t="shared" si="2"/>
        <v>775.78159411834361</v>
      </c>
      <c r="J8" s="225">
        <f t="shared" si="2"/>
        <v>787.41831803011871</v>
      </c>
      <c r="K8" s="225">
        <f t="shared" si="2"/>
        <v>799.22959280057034</v>
      </c>
      <c r="L8" s="225">
        <f t="shared" si="2"/>
        <v>811.21803669257883</v>
      </c>
    </row>
    <row r="9" spans="1:12">
      <c r="A9" s="270"/>
      <c r="B9" s="6" t="s">
        <v>97</v>
      </c>
      <c r="C9" s="200">
        <f>'26년 총원가 배분'!T51</f>
        <v>538</v>
      </c>
      <c r="D9" s="200">
        <f>$C9*1.015^(D$4-$C$4)</f>
        <v>546.06999999999994</v>
      </c>
      <c r="E9" s="200">
        <f t="shared" ref="E9:L9" si="3">$C9*1.015^(E$4-$C$4)</f>
        <v>554.26104999999984</v>
      </c>
      <c r="F9" s="200">
        <f t="shared" si="3"/>
        <v>562.57496574999982</v>
      </c>
      <c r="G9" s="200">
        <f t="shared" si="3"/>
        <v>571.01359023624968</v>
      </c>
      <c r="H9" s="200">
        <f t="shared" si="3"/>
        <v>579.5787940897934</v>
      </c>
      <c r="I9" s="200">
        <f t="shared" si="3"/>
        <v>588.27247600114015</v>
      </c>
      <c r="J9" s="200">
        <f t="shared" si="3"/>
        <v>597.09656314115716</v>
      </c>
      <c r="K9" s="200">
        <f t="shared" si="3"/>
        <v>606.05301158827444</v>
      </c>
      <c r="L9" s="200">
        <f t="shared" si="3"/>
        <v>615.14380676209851</v>
      </c>
    </row>
    <row r="10" spans="1:12">
      <c r="A10" s="270"/>
      <c r="B10" s="6" t="s">
        <v>281</v>
      </c>
      <c r="C10" s="200">
        <f>'26년 총원가 배분'!T52</f>
        <v>1248</v>
      </c>
      <c r="D10" s="200">
        <f>$C10*1.015^(D$4-26)</f>
        <v>1266.7199999999998</v>
      </c>
      <c r="E10" s="200">
        <f t="shared" ref="E10:L10" si="4">$C10*1.015^(E$4-26)</f>
        <v>1285.7207999999996</v>
      </c>
      <c r="F10" s="200">
        <f t="shared" si="4"/>
        <v>1305.0066119999994</v>
      </c>
      <c r="G10" s="200">
        <f t="shared" si="4"/>
        <v>1324.5817111799993</v>
      </c>
      <c r="H10" s="200">
        <f t="shared" si="4"/>
        <v>1344.4504368476992</v>
      </c>
      <c r="I10" s="200">
        <f t="shared" si="4"/>
        <v>1364.6171934004144</v>
      </c>
      <c r="J10" s="200">
        <f t="shared" si="4"/>
        <v>1385.0864513014203</v>
      </c>
      <c r="K10" s="200">
        <f t="shared" si="4"/>
        <v>1405.8627480709415</v>
      </c>
      <c r="L10" s="200">
        <f t="shared" si="4"/>
        <v>1426.9506892920056</v>
      </c>
    </row>
    <row r="11" spans="1:12">
      <c r="A11" s="270"/>
      <c r="B11" s="201" t="s">
        <v>351</v>
      </c>
      <c r="C11" s="200">
        <f>'26년 총원가 배분'!T53</f>
        <v>25</v>
      </c>
      <c r="D11" s="200">
        <f>63*1.015^(D$4-$C$4)</f>
        <v>63.944999999999993</v>
      </c>
      <c r="E11" s="200">
        <f>$D11*1.015^(E$4-$C$4)</f>
        <v>65.87773762499998</v>
      </c>
      <c r="F11" s="223">
        <f t="shared" ref="F11:L12" si="5">$D11*1.015^(F$4-$C$4)</f>
        <v>66.865903689374974</v>
      </c>
      <c r="G11" s="223">
        <f t="shared" si="5"/>
        <v>67.868892244715582</v>
      </c>
      <c r="H11" s="223">
        <f t="shared" si="5"/>
        <v>68.886925628386308</v>
      </c>
      <c r="I11" s="223">
        <f t="shared" si="5"/>
        <v>69.920229512812085</v>
      </c>
      <c r="J11" s="223">
        <f t="shared" si="5"/>
        <v>70.969032955504261</v>
      </c>
      <c r="K11" s="223">
        <f t="shared" si="5"/>
        <v>72.033568449836821</v>
      </c>
      <c r="L11" s="223">
        <f t="shared" si="5"/>
        <v>73.114071976584356</v>
      </c>
    </row>
    <row r="12" spans="1:12">
      <c r="A12" s="267"/>
      <c r="B12" s="201" t="s">
        <v>352</v>
      </c>
      <c r="C12" s="200">
        <f>'26년 총원가 배분'!T54</f>
        <v>3</v>
      </c>
      <c r="D12" s="200">
        <f>7*1.015^(D$4-$C$4)</f>
        <v>7.1049999999999995</v>
      </c>
      <c r="E12" s="200">
        <f>$D12*1.015^(E$4-$C$4)</f>
        <v>7.3197486249999972</v>
      </c>
      <c r="F12" s="223">
        <f t="shared" si="5"/>
        <v>7.4295448543749965</v>
      </c>
      <c r="G12" s="223">
        <f t="shared" si="5"/>
        <v>7.5409880271906209</v>
      </c>
      <c r="H12" s="223">
        <f t="shared" si="5"/>
        <v>7.6541028475984785</v>
      </c>
      <c r="I12" s="223">
        <f t="shared" si="5"/>
        <v>7.7689143903124549</v>
      </c>
      <c r="J12" s="223">
        <f t="shared" si="5"/>
        <v>7.8854481061671402</v>
      </c>
      <c r="K12" s="223">
        <f t="shared" si="5"/>
        <v>8.0037298277596474</v>
      </c>
      <c r="L12" s="223">
        <f t="shared" si="5"/>
        <v>8.1237857751760405</v>
      </c>
    </row>
    <row r="13" spans="1:12">
      <c r="A13" s="6" t="s">
        <v>98</v>
      </c>
      <c r="B13" s="6" t="s">
        <v>99</v>
      </c>
      <c r="C13" s="200">
        <f>'26년 총원가 배분'!T55</f>
        <v>100</v>
      </c>
      <c r="D13" s="209">
        <f>$C13*1.015^(D$4-$C$4)</f>
        <v>101.49999999999999</v>
      </c>
      <c r="E13" s="209">
        <f t="shared" ref="E13:L13" si="6">$C13*1.015^(E$4-$C$4)</f>
        <v>103.02249999999998</v>
      </c>
      <c r="F13" s="209">
        <f t="shared" si="6"/>
        <v>104.56783749999997</v>
      </c>
      <c r="G13" s="209">
        <f t="shared" si="6"/>
        <v>106.13635506249994</v>
      </c>
      <c r="H13" s="209">
        <f t="shared" si="6"/>
        <v>107.72840038843742</v>
      </c>
      <c r="I13" s="209">
        <f t="shared" si="6"/>
        <v>109.34432639426397</v>
      </c>
      <c r="J13" s="209">
        <f t="shared" si="6"/>
        <v>110.98449129017791</v>
      </c>
      <c r="K13" s="209">
        <f t="shared" si="6"/>
        <v>112.64925865953057</v>
      </c>
      <c r="L13" s="209">
        <f t="shared" si="6"/>
        <v>114.33899753942352</v>
      </c>
    </row>
    <row r="14" spans="1:12">
      <c r="A14" s="268" t="s">
        <v>110</v>
      </c>
      <c r="B14" s="269"/>
      <c r="C14" s="59">
        <f t="shared" ref="C14:L14" si="7">SUM(C6:C13)</f>
        <v>3354</v>
      </c>
      <c r="D14" s="59">
        <f t="shared" si="7"/>
        <v>3457.5822749999998</v>
      </c>
      <c r="E14" s="59">
        <f t="shared" si="7"/>
        <v>3510.5277453749991</v>
      </c>
      <c r="F14" s="59">
        <f t="shared" si="7"/>
        <v>3563.185661555623</v>
      </c>
      <c r="G14" s="59">
        <f t="shared" si="7"/>
        <v>3616.633446478957</v>
      </c>
      <c r="H14" s="59">
        <f t="shared" si="7"/>
        <v>3670.8829481761418</v>
      </c>
      <c r="I14" s="59">
        <f t="shared" si="7"/>
        <v>3725.9461923987828</v>
      </c>
      <c r="J14" s="35">
        <f t="shared" si="7"/>
        <v>3781.835385284764</v>
      </c>
      <c r="K14" s="35">
        <f t="shared" si="7"/>
        <v>3838.5629160640347</v>
      </c>
      <c r="L14" s="35">
        <f t="shared" si="7"/>
        <v>3896.1413598049949</v>
      </c>
    </row>
    <row r="15" spans="1:12">
      <c r="A15" s="254" t="s">
        <v>65</v>
      </c>
      <c r="B15" s="254"/>
      <c r="C15" s="200">
        <f>'26년 총원가 배분'!T58</f>
        <v>20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9"/>
      <c r="K15" s="19"/>
      <c r="L15" s="19"/>
    </row>
    <row r="16" spans="1:12">
      <c r="A16" s="254" t="s">
        <v>66</v>
      </c>
      <c r="B16" s="254"/>
      <c r="C16" s="200">
        <f>'26년 총원가 배분'!T59</f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9"/>
      <c r="K16" s="19"/>
      <c r="L16" s="19"/>
    </row>
    <row r="17" spans="1:13">
      <c r="A17" s="266" t="s">
        <v>34</v>
      </c>
      <c r="B17" s="210" t="s">
        <v>81</v>
      </c>
      <c r="C17" s="200">
        <f>'26년 총원가 배분'!T60</f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</row>
    <row r="18" spans="1:13">
      <c r="A18" s="267"/>
      <c r="B18" s="37" t="s">
        <v>64</v>
      </c>
      <c r="C18" s="200">
        <f>'26년 총원가 배분'!T61</f>
        <v>4511</v>
      </c>
      <c r="D18" s="10">
        <f>$D$28*1.015^(D4-25)</f>
        <v>1168.2751499999997</v>
      </c>
      <c r="E18" s="10">
        <f t="shared" ref="E18:L18" si="8">$D$28*1.015^(E4-25)</f>
        <v>1185.7992772499995</v>
      </c>
      <c r="F18" s="10">
        <f t="shared" si="8"/>
        <v>1203.5862664087495</v>
      </c>
      <c r="G18" s="10">
        <f t="shared" si="8"/>
        <v>1221.6400604048804</v>
      </c>
      <c r="H18" s="10">
        <f t="shared" si="8"/>
        <v>1239.9646613109535</v>
      </c>
      <c r="I18" s="10">
        <f t="shared" si="8"/>
        <v>1258.5641312306175</v>
      </c>
      <c r="J18" s="10">
        <f t="shared" si="8"/>
        <v>1277.4425931990768</v>
      </c>
      <c r="K18" s="10">
        <f t="shared" si="8"/>
        <v>1296.6042320970625</v>
      </c>
      <c r="L18" s="10">
        <f t="shared" si="8"/>
        <v>1316.0532955785184</v>
      </c>
    </row>
    <row r="19" spans="1:13">
      <c r="A19" s="37" t="s">
        <v>102</v>
      </c>
      <c r="B19" s="37" t="s">
        <v>103</v>
      </c>
      <c r="C19" s="200">
        <f>'26년 총원가 배분'!T62</f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/>
      <c r="K19" s="19"/>
      <c r="L19" s="19"/>
    </row>
    <row r="20" spans="1:13">
      <c r="A20" s="254" t="s">
        <v>63</v>
      </c>
      <c r="B20" s="254"/>
      <c r="C20" s="200">
        <f>'26년 총원가 배분'!T63</f>
        <v>21</v>
      </c>
      <c r="D20" s="19">
        <v>21</v>
      </c>
      <c r="E20" s="19">
        <v>21</v>
      </c>
      <c r="F20" s="19">
        <v>21</v>
      </c>
      <c r="G20" s="19">
        <v>21</v>
      </c>
      <c r="H20" s="19">
        <v>21</v>
      </c>
      <c r="I20" s="19">
        <v>21</v>
      </c>
      <c r="J20" s="19">
        <v>21</v>
      </c>
      <c r="K20" s="19">
        <v>21</v>
      </c>
      <c r="L20" s="19">
        <v>21</v>
      </c>
    </row>
    <row r="21" spans="1:13">
      <c r="A21" s="254" t="s">
        <v>61</v>
      </c>
      <c r="B21" s="13" t="s">
        <v>38</v>
      </c>
      <c r="C21" s="200">
        <f>'26년 총원가 배분'!T64</f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</row>
    <row r="22" spans="1:13">
      <c r="A22" s="254"/>
      <c r="B22" s="5" t="s">
        <v>39</v>
      </c>
      <c r="C22" s="200">
        <f>'26년 총원가 배분'!T65</f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/>
      <c r="K22" s="19"/>
      <c r="L22" s="19"/>
    </row>
    <row r="23" spans="1:13">
      <c r="A23" s="13" t="s">
        <v>67</v>
      </c>
      <c r="B23" s="13" t="s">
        <v>37</v>
      </c>
      <c r="C23" s="200">
        <f>'26년 총원가 배분'!T66</f>
        <v>10</v>
      </c>
      <c r="D23" s="19">
        <v>10</v>
      </c>
      <c r="E23" s="19">
        <v>10</v>
      </c>
      <c r="F23" s="19">
        <v>10</v>
      </c>
      <c r="G23" s="19">
        <v>10</v>
      </c>
      <c r="H23" s="19">
        <v>10</v>
      </c>
      <c r="I23" s="19">
        <v>10</v>
      </c>
      <c r="J23" s="19">
        <v>10</v>
      </c>
      <c r="K23" s="19">
        <v>10</v>
      </c>
      <c r="L23" s="19">
        <v>10</v>
      </c>
    </row>
    <row r="24" spans="1:13">
      <c r="A24" s="257" t="s">
        <v>78</v>
      </c>
      <c r="B24" s="257"/>
      <c r="C24" s="36">
        <f>SUM(C15:C23)</f>
        <v>4562</v>
      </c>
      <c r="D24" s="36">
        <f t="shared" ref="D24:L24" si="9">SUM(D15:D23)</f>
        <v>1199.2751499999997</v>
      </c>
      <c r="E24" s="36">
        <f t="shared" si="9"/>
        <v>1216.7992772499995</v>
      </c>
      <c r="F24" s="36">
        <f t="shared" si="9"/>
        <v>1234.5862664087495</v>
      </c>
      <c r="G24" s="36">
        <f t="shared" si="9"/>
        <v>1252.6400604048804</v>
      </c>
      <c r="H24" s="36">
        <f t="shared" si="9"/>
        <v>1270.9646613109535</v>
      </c>
      <c r="I24" s="36">
        <f t="shared" si="9"/>
        <v>1289.5641312306175</v>
      </c>
      <c r="J24" s="14">
        <f t="shared" si="9"/>
        <v>1308.4425931990768</v>
      </c>
      <c r="K24" s="14">
        <f t="shared" si="9"/>
        <v>1327.6042320970625</v>
      </c>
      <c r="L24" s="14">
        <f t="shared" si="9"/>
        <v>1347.0532955785184</v>
      </c>
      <c r="M24" s="7"/>
    </row>
    <row r="25" spans="1:13">
      <c r="A25" s="222" t="s">
        <v>282</v>
      </c>
      <c r="B25" s="222" t="s">
        <v>354</v>
      </c>
      <c r="C25" s="223">
        <f>'26년 총원가 배분'!T67</f>
        <v>0</v>
      </c>
      <c r="D25" s="223">
        <f>투자비!R65</f>
        <v>702</v>
      </c>
      <c r="E25" s="236">
        <f>D$25*1.015^(E$4-D$4)</f>
        <v>712.53</v>
      </c>
      <c r="F25" s="236">
        <f t="shared" ref="F25:L25" si="10">E$25*1.015^(F$4-E$4)</f>
        <v>723.21794999999986</v>
      </c>
      <c r="G25" s="236">
        <f t="shared" si="10"/>
        <v>734.06621924999979</v>
      </c>
      <c r="H25" s="236">
        <f t="shared" si="10"/>
        <v>745.07721253874968</v>
      </c>
      <c r="I25" s="236">
        <f t="shared" si="10"/>
        <v>756.25337072683089</v>
      </c>
      <c r="J25" s="236">
        <f t="shared" si="10"/>
        <v>767.59717128773332</v>
      </c>
      <c r="K25" s="236">
        <f t="shared" si="10"/>
        <v>779.11112885704927</v>
      </c>
      <c r="L25" s="236">
        <f t="shared" si="10"/>
        <v>790.79779578990497</v>
      </c>
    </row>
    <row r="26" spans="1:1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8" spans="1:13">
      <c r="C28" t="s">
        <v>247</v>
      </c>
      <c r="D28">
        <v>1134</v>
      </c>
    </row>
  </sheetData>
  <mergeCells count="10">
    <mergeCell ref="A21:A22"/>
    <mergeCell ref="A24:B24"/>
    <mergeCell ref="A4:B4"/>
    <mergeCell ref="A5:B5"/>
    <mergeCell ref="A15:B15"/>
    <mergeCell ref="A16:B16"/>
    <mergeCell ref="A20:B20"/>
    <mergeCell ref="A17:A18"/>
    <mergeCell ref="A14:B14"/>
    <mergeCell ref="A6:A12"/>
  </mergeCells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92D050"/>
  </sheetPr>
  <dimension ref="A3:L28"/>
  <sheetViews>
    <sheetView zoomScaleNormal="100" workbookViewId="0">
      <selection activeCell="D25" sqref="D25"/>
    </sheetView>
  </sheetViews>
  <sheetFormatPr defaultRowHeight="16.899999999999999"/>
  <cols>
    <col min="1" max="1" width="14" customWidth="1"/>
    <col min="2" max="2" width="21.875" customWidth="1"/>
    <col min="3" max="4" width="15.875" customWidth="1"/>
    <col min="5" max="5" width="18.75" customWidth="1"/>
    <col min="6" max="6" width="15" customWidth="1"/>
    <col min="7" max="7" width="17.625" customWidth="1"/>
    <col min="8" max="8" width="16.875" customWidth="1"/>
    <col min="9" max="9" width="16.5" customWidth="1"/>
    <col min="10" max="10" width="14.375" customWidth="1"/>
    <col min="11" max="12" width="11.125" customWidth="1"/>
  </cols>
  <sheetData>
    <row r="3" spans="1:12">
      <c r="C3" s="20"/>
      <c r="D3" s="20"/>
      <c r="E3" s="20"/>
      <c r="F3" s="20"/>
      <c r="G3" s="20"/>
      <c r="L3" s="9" t="s">
        <v>77</v>
      </c>
    </row>
    <row r="4" spans="1:12">
      <c r="A4" s="254" t="s">
        <v>88</v>
      </c>
      <c r="B4" s="254"/>
      <c r="C4" s="17">
        <v>26</v>
      </c>
      <c r="D4" s="17">
        <v>27</v>
      </c>
      <c r="E4" s="17">
        <v>28</v>
      </c>
      <c r="F4" s="17">
        <v>29</v>
      </c>
      <c r="G4" s="17">
        <v>30</v>
      </c>
      <c r="H4" s="17">
        <v>31</v>
      </c>
      <c r="I4" s="37">
        <v>32</v>
      </c>
      <c r="J4" s="63">
        <v>33</v>
      </c>
      <c r="K4" s="140">
        <v>34</v>
      </c>
      <c r="L4" s="199">
        <v>35</v>
      </c>
    </row>
    <row r="5" spans="1:12">
      <c r="A5" s="254" t="s">
        <v>68</v>
      </c>
      <c r="B5" s="254"/>
      <c r="C5" s="17" t="s">
        <v>76</v>
      </c>
      <c r="D5" s="17" t="s">
        <v>76</v>
      </c>
      <c r="E5" s="17" t="s">
        <v>76</v>
      </c>
      <c r="F5" s="17" t="s">
        <v>76</v>
      </c>
      <c r="G5" s="17" t="s">
        <v>76</v>
      </c>
      <c r="H5" s="17" t="s">
        <v>76</v>
      </c>
      <c r="I5" s="37" t="s">
        <v>76</v>
      </c>
      <c r="J5" s="63" t="s">
        <v>132</v>
      </c>
      <c r="K5" s="140" t="s">
        <v>76</v>
      </c>
      <c r="L5" s="199" t="s">
        <v>76</v>
      </c>
    </row>
    <row r="6" spans="1:12">
      <c r="A6" s="266" t="s">
        <v>93</v>
      </c>
      <c r="B6" s="6" t="s">
        <v>94</v>
      </c>
      <c r="C6" s="200">
        <f>'26년 총원가 배분'!U48</f>
        <v>86</v>
      </c>
      <c r="D6" s="200">
        <f>$C6*1.015^(D$4-$C$4)</f>
        <v>87.289999999999992</v>
      </c>
      <c r="E6" s="200">
        <f t="shared" ref="E6:L6" si="0">$C6*1.015^(E$4-$C$4)</f>
        <v>88.599349999999973</v>
      </c>
      <c r="F6" s="200">
        <f t="shared" si="0"/>
        <v>89.928340249999962</v>
      </c>
      <c r="G6" s="200">
        <f t="shared" si="0"/>
        <v>91.277265353749954</v>
      </c>
      <c r="H6" s="200">
        <f t="shared" si="0"/>
        <v>92.646424334056192</v>
      </c>
      <c r="I6" s="200">
        <f t="shared" si="0"/>
        <v>94.036120699067013</v>
      </c>
      <c r="J6" s="200">
        <f t="shared" si="0"/>
        <v>95.446662509553008</v>
      </c>
      <c r="K6" s="200">
        <f t="shared" si="0"/>
        <v>96.878362447196295</v>
      </c>
      <c r="L6" s="200">
        <f t="shared" si="0"/>
        <v>98.331537883904218</v>
      </c>
    </row>
    <row r="7" spans="1:12">
      <c r="A7" s="270"/>
      <c r="B7" s="6" t="s">
        <v>95</v>
      </c>
      <c r="C7" s="200">
        <f>'26년 총원가 배분'!U49</f>
        <v>472</v>
      </c>
      <c r="D7" s="200">
        <f>$C7*1.015^(D$4-26)</f>
        <v>479.07999999999993</v>
      </c>
      <c r="E7" s="200">
        <f t="shared" ref="E7:L7" si="1">$C7*1.015^(E$4-26)</f>
        <v>486.26619999999986</v>
      </c>
      <c r="F7" s="200">
        <f t="shared" si="1"/>
        <v>493.5601929999998</v>
      </c>
      <c r="G7" s="200">
        <f t="shared" si="1"/>
        <v>500.96359589499974</v>
      </c>
      <c r="H7" s="200">
        <f t="shared" si="1"/>
        <v>508.47804983342468</v>
      </c>
      <c r="I7" s="200">
        <f t="shared" si="1"/>
        <v>516.1052205809259</v>
      </c>
      <c r="J7" s="200">
        <f t="shared" si="1"/>
        <v>523.84679888963979</v>
      </c>
      <c r="K7" s="200">
        <f t="shared" si="1"/>
        <v>531.70450087298434</v>
      </c>
      <c r="L7" s="200">
        <f t="shared" si="1"/>
        <v>539.68006838607903</v>
      </c>
    </row>
    <row r="8" spans="1:12">
      <c r="A8" s="270"/>
      <c r="B8" s="6" t="s">
        <v>96</v>
      </c>
      <c r="C8" s="200">
        <f>'26년 총원가 배분'!U50</f>
        <v>677</v>
      </c>
      <c r="D8" s="209">
        <f>$C8*1.015^(D$4-25)</f>
        <v>697.46232499999985</v>
      </c>
      <c r="E8" s="225">
        <f t="shared" ref="E8:L8" si="2">$C8*1.015^(E$4-25)</f>
        <v>707.92425987499973</v>
      </c>
      <c r="F8" s="225">
        <f t="shared" si="2"/>
        <v>718.54312377312465</v>
      </c>
      <c r="G8" s="225">
        <f t="shared" si="2"/>
        <v>729.32127062972143</v>
      </c>
      <c r="H8" s="225">
        <f t="shared" si="2"/>
        <v>740.26108968916708</v>
      </c>
      <c r="I8" s="225">
        <f t="shared" si="2"/>
        <v>751.3650060345044</v>
      </c>
      <c r="J8" s="225">
        <f t="shared" si="2"/>
        <v>762.63548112502201</v>
      </c>
      <c r="K8" s="225">
        <f t="shared" si="2"/>
        <v>774.07501334189715</v>
      </c>
      <c r="L8" s="225">
        <f t="shared" si="2"/>
        <v>785.68613854202556</v>
      </c>
    </row>
    <row r="9" spans="1:12">
      <c r="A9" s="270"/>
      <c r="B9" s="6" t="s">
        <v>97</v>
      </c>
      <c r="C9" s="200">
        <f>'26년 총원가 배분'!U51</f>
        <v>119</v>
      </c>
      <c r="D9" s="200">
        <f>$C9*1.015^(D$4-$C$4)</f>
        <v>120.78499999999998</v>
      </c>
      <c r="E9" s="200">
        <f t="shared" ref="E9:L9" si="3">$C9*1.015^(E$4-$C$4)</f>
        <v>122.59677499999997</v>
      </c>
      <c r="F9" s="200">
        <f t="shared" si="3"/>
        <v>124.43572662499996</v>
      </c>
      <c r="G9" s="200">
        <f t="shared" si="3"/>
        <v>126.30226252437494</v>
      </c>
      <c r="H9" s="200">
        <f t="shared" si="3"/>
        <v>128.19679646224054</v>
      </c>
      <c r="I9" s="200">
        <f t="shared" si="3"/>
        <v>130.11974840917412</v>
      </c>
      <c r="J9" s="200">
        <f t="shared" si="3"/>
        <v>132.07154463531171</v>
      </c>
      <c r="K9" s="200">
        <f t="shared" si="3"/>
        <v>134.05261780484139</v>
      </c>
      <c r="L9" s="200">
        <f t="shared" si="3"/>
        <v>136.06340707191399</v>
      </c>
    </row>
    <row r="10" spans="1:12">
      <c r="A10" s="270"/>
      <c r="B10" s="6" t="s">
        <v>281</v>
      </c>
      <c r="C10" s="200">
        <f>'26년 총원가 배분'!U52</f>
        <v>223</v>
      </c>
      <c r="D10" s="200">
        <f>$C10*1.015^(D$4-26)</f>
        <v>226.34499999999997</v>
      </c>
      <c r="E10" s="200">
        <f t="shared" ref="E10:L10" si="4">$C10*1.015^(E$4-26)</f>
        <v>229.74017499999994</v>
      </c>
      <c r="F10" s="200">
        <f t="shared" si="4"/>
        <v>233.18627762499992</v>
      </c>
      <c r="G10" s="200">
        <f t="shared" si="4"/>
        <v>236.68407178937488</v>
      </c>
      <c r="H10" s="200">
        <f t="shared" si="4"/>
        <v>240.23433286621545</v>
      </c>
      <c r="I10" s="200">
        <f t="shared" si="4"/>
        <v>243.83784785920864</v>
      </c>
      <c r="J10" s="200">
        <f t="shared" si="4"/>
        <v>247.49541557709674</v>
      </c>
      <c r="K10" s="200">
        <f t="shared" si="4"/>
        <v>251.20784681075318</v>
      </c>
      <c r="L10" s="200">
        <f t="shared" si="4"/>
        <v>254.97596451291443</v>
      </c>
    </row>
    <row r="11" spans="1:12">
      <c r="A11" s="270"/>
      <c r="B11" s="201" t="s">
        <v>351</v>
      </c>
      <c r="C11" s="200">
        <f>'26년 총원가 배분'!U53</f>
        <v>24</v>
      </c>
      <c r="D11" s="200">
        <f>61*1.015^(D$4-$C$4)</f>
        <v>61.914999999999992</v>
      </c>
      <c r="E11" s="200">
        <f>$D11*1.015^(E$4-$C$4)</f>
        <v>63.786380874999978</v>
      </c>
      <c r="F11" s="223">
        <f t="shared" ref="F11:L12" si="5">$D11*1.015^(F$4-$C$4)</f>
        <v>64.743176588124967</v>
      </c>
      <c r="G11" s="223">
        <f t="shared" si="5"/>
        <v>65.714324236946837</v>
      </c>
      <c r="H11" s="223">
        <f t="shared" si="5"/>
        <v>66.70003910050103</v>
      </c>
      <c r="I11" s="223">
        <f t="shared" si="5"/>
        <v>67.700539687008529</v>
      </c>
      <c r="J11" s="223">
        <f t="shared" si="5"/>
        <v>68.716047782313652</v>
      </c>
      <c r="K11" s="223">
        <f t="shared" si="5"/>
        <v>69.74678849904835</v>
      </c>
      <c r="L11" s="223">
        <f t="shared" si="5"/>
        <v>70.792990326534067</v>
      </c>
    </row>
    <row r="12" spans="1:12">
      <c r="A12" s="267"/>
      <c r="B12" s="201" t="s">
        <v>352</v>
      </c>
      <c r="C12" s="200">
        <f>'26년 총원가 배분'!U54</f>
        <v>3</v>
      </c>
      <c r="D12" s="200">
        <f>7*1.015^(D$4-$C$4)</f>
        <v>7.1049999999999995</v>
      </c>
      <c r="E12" s="200">
        <f>$D12*1.015^(E$4-$C$4)</f>
        <v>7.3197486249999972</v>
      </c>
      <c r="F12" s="223">
        <f t="shared" si="5"/>
        <v>7.4295448543749965</v>
      </c>
      <c r="G12" s="223">
        <f t="shared" si="5"/>
        <v>7.5409880271906209</v>
      </c>
      <c r="H12" s="223">
        <f t="shared" si="5"/>
        <v>7.6541028475984785</v>
      </c>
      <c r="I12" s="223">
        <f t="shared" si="5"/>
        <v>7.7689143903124549</v>
      </c>
      <c r="J12" s="223">
        <f t="shared" si="5"/>
        <v>7.8854481061671402</v>
      </c>
      <c r="K12" s="223">
        <f t="shared" si="5"/>
        <v>8.0037298277596474</v>
      </c>
      <c r="L12" s="223">
        <f t="shared" si="5"/>
        <v>8.1237857751760405</v>
      </c>
    </row>
    <row r="13" spans="1:12">
      <c r="A13" s="6" t="s">
        <v>98</v>
      </c>
      <c r="B13" s="6" t="s">
        <v>99</v>
      </c>
      <c r="C13" s="200">
        <f>'26년 총원가 배분'!U55</f>
        <v>191</v>
      </c>
      <c r="D13" s="209">
        <f>$C13*1.015^(D$4-$C$4)</f>
        <v>193.86499999999998</v>
      </c>
      <c r="E13" s="209">
        <f t="shared" ref="E13:L13" si="6">$C13*1.015^(E$4-$C$4)</f>
        <v>196.77297499999995</v>
      </c>
      <c r="F13" s="209">
        <f t="shared" si="6"/>
        <v>199.72456962499993</v>
      </c>
      <c r="G13" s="209">
        <f t="shared" si="6"/>
        <v>202.72043816937489</v>
      </c>
      <c r="H13" s="209">
        <f t="shared" si="6"/>
        <v>205.76124474191548</v>
      </c>
      <c r="I13" s="209">
        <f t="shared" si="6"/>
        <v>208.84766341304419</v>
      </c>
      <c r="J13" s="209">
        <f t="shared" si="6"/>
        <v>211.98037836423981</v>
      </c>
      <c r="K13" s="209">
        <f t="shared" si="6"/>
        <v>215.16008403970338</v>
      </c>
      <c r="L13" s="209">
        <f t="shared" si="6"/>
        <v>218.38748530029892</v>
      </c>
    </row>
    <row r="14" spans="1:12">
      <c r="A14" s="268" t="s">
        <v>110</v>
      </c>
      <c r="B14" s="269"/>
      <c r="C14" s="59">
        <f t="shared" ref="C14:L14" si="7">SUM(C6:C13)</f>
        <v>1795</v>
      </c>
      <c r="D14" s="59">
        <f t="shared" si="7"/>
        <v>1873.847325</v>
      </c>
      <c r="E14" s="59">
        <f t="shared" si="7"/>
        <v>1903.0058643749996</v>
      </c>
      <c r="F14" s="59">
        <f t="shared" si="7"/>
        <v>1931.5509523406242</v>
      </c>
      <c r="G14" s="59">
        <f t="shared" si="7"/>
        <v>1960.5242166257333</v>
      </c>
      <c r="H14" s="59">
        <f t="shared" si="7"/>
        <v>1989.9320798751191</v>
      </c>
      <c r="I14" s="59">
        <f t="shared" si="7"/>
        <v>2019.7810610732449</v>
      </c>
      <c r="J14" s="35">
        <f t="shared" si="7"/>
        <v>2050.0777769893439</v>
      </c>
      <c r="K14" s="35">
        <f t="shared" si="7"/>
        <v>2080.8289436441837</v>
      </c>
      <c r="L14" s="35">
        <f t="shared" si="7"/>
        <v>2112.041377798846</v>
      </c>
    </row>
    <row r="15" spans="1:12">
      <c r="A15" s="254" t="s">
        <v>65</v>
      </c>
      <c r="B15" s="254"/>
      <c r="C15" s="200">
        <f>'26년 총원가 배분'!U58</f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9"/>
      <c r="K15" s="19"/>
      <c r="L15" s="19"/>
    </row>
    <row r="16" spans="1:12">
      <c r="A16" s="254" t="s">
        <v>66</v>
      </c>
      <c r="B16" s="254"/>
      <c r="C16" s="200">
        <f>'26년 총원가 배분'!U59</f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9"/>
      <c r="K16" s="19"/>
      <c r="L16" s="19"/>
    </row>
    <row r="17" spans="1:12">
      <c r="A17" s="266" t="s">
        <v>34</v>
      </c>
      <c r="B17" s="18" t="s">
        <v>81</v>
      </c>
      <c r="C17" s="200">
        <f>'26년 총원가 배분'!U60</f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9">
        <v>0</v>
      </c>
      <c r="K17" s="19">
        <v>0</v>
      </c>
      <c r="L17" s="19">
        <v>0</v>
      </c>
    </row>
    <row r="18" spans="1:12">
      <c r="A18" s="267"/>
      <c r="B18" s="17" t="s">
        <v>64</v>
      </c>
      <c r="C18" s="200">
        <f>'26년 총원가 배분'!U61</f>
        <v>1504</v>
      </c>
      <c r="D18" s="10">
        <f>$D$28*1.015^(D4-25)</f>
        <v>571.77487499999984</v>
      </c>
      <c r="E18" s="10">
        <f t="shared" ref="E18:L18" si="8">$D$28*1.015^(E4-25)</f>
        <v>580.35149812499981</v>
      </c>
      <c r="F18" s="10">
        <f t="shared" si="8"/>
        <v>589.05677059687468</v>
      </c>
      <c r="G18" s="10">
        <f t="shared" si="8"/>
        <v>597.89262215582778</v>
      </c>
      <c r="H18" s="10">
        <f t="shared" si="8"/>
        <v>606.86101148816499</v>
      </c>
      <c r="I18" s="10">
        <f t="shared" si="8"/>
        <v>615.96392666048746</v>
      </c>
      <c r="J18" s="10">
        <f t="shared" si="8"/>
        <v>625.20338556039462</v>
      </c>
      <c r="K18" s="10">
        <f t="shared" si="8"/>
        <v>634.58143634380053</v>
      </c>
      <c r="L18" s="10">
        <f t="shared" si="8"/>
        <v>644.10015788895748</v>
      </c>
    </row>
    <row r="19" spans="1:12">
      <c r="A19" s="37" t="s">
        <v>102</v>
      </c>
      <c r="B19" s="37" t="s">
        <v>103</v>
      </c>
      <c r="C19" s="200">
        <f>'26년 총원가 배분'!U62</f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</row>
    <row r="20" spans="1:12">
      <c r="A20" s="254" t="s">
        <v>63</v>
      </c>
      <c r="B20" s="254"/>
      <c r="C20" s="200">
        <f>'26년 총원가 배분'!U63</f>
        <v>10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</row>
    <row r="21" spans="1:12">
      <c r="A21" s="254" t="s">
        <v>61</v>
      </c>
      <c r="B21" s="18" t="s">
        <v>38</v>
      </c>
      <c r="C21" s="200">
        <f>'26년 총원가 배분'!U64</f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9">
        <v>0</v>
      </c>
      <c r="K21" s="19">
        <v>0</v>
      </c>
      <c r="L21" s="19">
        <v>0</v>
      </c>
    </row>
    <row r="22" spans="1:12">
      <c r="A22" s="254"/>
      <c r="B22" s="17" t="s">
        <v>39</v>
      </c>
      <c r="C22" s="200">
        <f>'26년 총원가 배분'!U65</f>
        <v>0</v>
      </c>
      <c r="D22" s="61">
        <v>0</v>
      </c>
      <c r="E22" s="61">
        <v>0</v>
      </c>
      <c r="F22" s="61">
        <v>0</v>
      </c>
      <c r="G22" s="61">
        <v>0</v>
      </c>
      <c r="H22" s="61">
        <v>0</v>
      </c>
      <c r="I22" s="61">
        <v>0</v>
      </c>
      <c r="J22" s="19"/>
      <c r="K22" s="19"/>
      <c r="L22" s="19"/>
    </row>
    <row r="23" spans="1:12">
      <c r="A23" s="18" t="s">
        <v>67</v>
      </c>
      <c r="B23" s="18" t="s">
        <v>37</v>
      </c>
      <c r="C23" s="200">
        <f>'26년 총원가 배분'!U66</f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9"/>
      <c r="K23" s="19"/>
      <c r="L23" s="19"/>
    </row>
    <row r="24" spans="1:12">
      <c r="A24" s="257" t="s">
        <v>78</v>
      </c>
      <c r="B24" s="257"/>
      <c r="C24" s="14">
        <f>SUM(C15:C23)</f>
        <v>1514</v>
      </c>
      <c r="D24" s="14">
        <f t="shared" ref="D24:L24" si="9">SUM(D15:D23)</f>
        <v>571.77487499999984</v>
      </c>
      <c r="E24" s="14">
        <f t="shared" si="9"/>
        <v>580.35149812499981</v>
      </c>
      <c r="F24" s="14">
        <f t="shared" si="9"/>
        <v>589.05677059687468</v>
      </c>
      <c r="G24" s="14">
        <f t="shared" si="9"/>
        <v>597.89262215582778</v>
      </c>
      <c r="H24" s="14">
        <f t="shared" si="9"/>
        <v>606.86101148816499</v>
      </c>
      <c r="I24" s="14">
        <f t="shared" si="9"/>
        <v>615.96392666048746</v>
      </c>
      <c r="J24" s="14">
        <f t="shared" si="9"/>
        <v>625.20338556039462</v>
      </c>
      <c r="K24" s="14">
        <f t="shared" si="9"/>
        <v>634.58143634380053</v>
      </c>
      <c r="L24" s="14">
        <f t="shared" si="9"/>
        <v>644.10015788895748</v>
      </c>
    </row>
    <row r="25" spans="1:12">
      <c r="A25" s="222" t="s">
        <v>282</v>
      </c>
      <c r="B25" s="222" t="s">
        <v>354</v>
      </c>
      <c r="C25" s="223">
        <f>'26년 총원가 배분'!U67</f>
        <v>0</v>
      </c>
      <c r="D25" s="223">
        <f>투자비!S65</f>
        <v>547</v>
      </c>
      <c r="E25" s="236">
        <f>D$25*1.015^(E$4-D$4)</f>
        <v>555.20499999999993</v>
      </c>
      <c r="F25" s="236">
        <f t="shared" ref="F25:L25" si="10">E$25*1.015^(F$4-E$4)</f>
        <v>563.53307499999983</v>
      </c>
      <c r="G25" s="236">
        <f t="shared" si="10"/>
        <v>571.98607112499974</v>
      </c>
      <c r="H25" s="236">
        <f t="shared" si="10"/>
        <v>580.56586219187466</v>
      </c>
      <c r="I25" s="236">
        <f t="shared" si="10"/>
        <v>589.27435012475269</v>
      </c>
      <c r="J25" s="236">
        <f t="shared" si="10"/>
        <v>598.11346537662394</v>
      </c>
      <c r="K25" s="236">
        <f t="shared" si="10"/>
        <v>607.08516735727324</v>
      </c>
      <c r="L25" s="236">
        <f t="shared" si="10"/>
        <v>616.1914448676323</v>
      </c>
    </row>
    <row r="26" spans="1:1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8" spans="1:12">
      <c r="C28" t="s">
        <v>247</v>
      </c>
      <c r="D28">
        <v>555</v>
      </c>
    </row>
  </sheetData>
  <mergeCells count="10">
    <mergeCell ref="A21:A22"/>
    <mergeCell ref="A24:B24"/>
    <mergeCell ref="A4:B4"/>
    <mergeCell ref="A5:B5"/>
    <mergeCell ref="A15:B15"/>
    <mergeCell ref="A16:B16"/>
    <mergeCell ref="A20:B20"/>
    <mergeCell ref="A14:B14"/>
    <mergeCell ref="A17:A18"/>
    <mergeCell ref="A6:A12"/>
  </mergeCells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rgb="FF92D050"/>
  </sheetPr>
  <dimension ref="A3:M28"/>
  <sheetViews>
    <sheetView zoomScaleNormal="100" workbookViewId="0">
      <selection activeCell="D25" sqref="D25"/>
    </sheetView>
  </sheetViews>
  <sheetFormatPr defaultRowHeight="16.899999999999999"/>
  <cols>
    <col min="1" max="1" width="12.625" customWidth="1"/>
    <col min="2" max="2" width="21.875" customWidth="1"/>
    <col min="3" max="4" width="15.875" customWidth="1"/>
    <col min="5" max="5" width="18.75" customWidth="1"/>
    <col min="6" max="6" width="15" customWidth="1"/>
    <col min="7" max="7" width="17.625" customWidth="1"/>
    <col min="8" max="8" width="16.875" customWidth="1"/>
    <col min="9" max="9" width="16.5" customWidth="1"/>
    <col min="10" max="10" width="16" customWidth="1"/>
    <col min="11" max="12" width="18" customWidth="1"/>
  </cols>
  <sheetData>
    <row r="3" spans="1:12">
      <c r="C3" s="20"/>
      <c r="D3" s="20"/>
      <c r="E3" s="20"/>
      <c r="F3" s="20"/>
      <c r="G3" s="20"/>
      <c r="L3" s="9" t="s">
        <v>77</v>
      </c>
    </row>
    <row r="4" spans="1:12">
      <c r="A4" s="254" t="s">
        <v>89</v>
      </c>
      <c r="B4" s="254"/>
      <c r="C4" s="17">
        <v>26</v>
      </c>
      <c r="D4" s="17">
        <v>27</v>
      </c>
      <c r="E4" s="17">
        <v>28</v>
      </c>
      <c r="F4" s="17">
        <v>29</v>
      </c>
      <c r="G4" s="17">
        <v>30</v>
      </c>
      <c r="H4" s="17">
        <v>31</v>
      </c>
      <c r="I4" s="37">
        <v>32</v>
      </c>
      <c r="J4" s="63">
        <v>33</v>
      </c>
      <c r="K4" s="140">
        <v>34</v>
      </c>
      <c r="L4" s="199">
        <v>35</v>
      </c>
    </row>
    <row r="5" spans="1:12">
      <c r="A5" s="254" t="s">
        <v>68</v>
      </c>
      <c r="B5" s="254"/>
      <c r="C5" s="17" t="s">
        <v>76</v>
      </c>
      <c r="D5" s="17" t="s">
        <v>76</v>
      </c>
      <c r="E5" s="17" t="s">
        <v>76</v>
      </c>
      <c r="F5" s="17" t="s">
        <v>76</v>
      </c>
      <c r="G5" s="17" t="s">
        <v>76</v>
      </c>
      <c r="H5" s="17" t="s">
        <v>76</v>
      </c>
      <c r="I5" s="37" t="s">
        <v>76</v>
      </c>
      <c r="J5" s="63" t="s">
        <v>132</v>
      </c>
      <c r="K5" s="140" t="s">
        <v>76</v>
      </c>
      <c r="L5" s="199" t="s">
        <v>76</v>
      </c>
    </row>
    <row r="6" spans="1:12">
      <c r="A6" s="266" t="s">
        <v>93</v>
      </c>
      <c r="B6" s="6" t="s">
        <v>94</v>
      </c>
      <c r="C6" s="200">
        <f>'26년 총원가 배분'!V48</f>
        <v>40</v>
      </c>
      <c r="D6" s="200">
        <f>$C6*1.015^(D$4-$C$4)</f>
        <v>40.599999999999994</v>
      </c>
      <c r="E6" s="200">
        <f t="shared" ref="E6:L7" si="0">$C6*1.015^(E$4-$C$4)</f>
        <v>41.208999999999989</v>
      </c>
      <c r="F6" s="200">
        <f t="shared" si="0"/>
        <v>41.827134999999984</v>
      </c>
      <c r="G6" s="200">
        <f t="shared" si="0"/>
        <v>42.454542024999981</v>
      </c>
      <c r="H6" s="200">
        <f t="shared" si="0"/>
        <v>43.091360155374971</v>
      </c>
      <c r="I6" s="200">
        <f t="shared" si="0"/>
        <v>43.737730557705589</v>
      </c>
      <c r="J6" s="200">
        <f t="shared" si="0"/>
        <v>44.393796516071163</v>
      </c>
      <c r="K6" s="200">
        <f t="shared" si="0"/>
        <v>45.059703463812227</v>
      </c>
      <c r="L6" s="200">
        <f t="shared" si="0"/>
        <v>45.735599015769409</v>
      </c>
    </row>
    <row r="7" spans="1:12">
      <c r="A7" s="270"/>
      <c r="B7" s="6" t="s">
        <v>95</v>
      </c>
      <c r="C7" s="200">
        <f>'26년 총원가 배분'!V49</f>
        <v>611</v>
      </c>
      <c r="D7" s="209">
        <f>$C7*1.015^(D$4-$C$4)</f>
        <v>620.16499999999996</v>
      </c>
      <c r="E7" s="209">
        <f t="shared" si="0"/>
        <v>629.46747499999981</v>
      </c>
      <c r="F7" s="209">
        <f t="shared" si="0"/>
        <v>638.90948712499971</v>
      </c>
      <c r="G7" s="209">
        <f t="shared" si="0"/>
        <v>648.49312943187465</v>
      </c>
      <c r="H7" s="209">
        <f t="shared" si="0"/>
        <v>658.22052637335264</v>
      </c>
      <c r="I7" s="209">
        <f t="shared" si="0"/>
        <v>668.09383426895283</v>
      </c>
      <c r="J7" s="209">
        <f t="shared" si="0"/>
        <v>678.11524178298703</v>
      </c>
      <c r="K7" s="209">
        <f t="shared" si="0"/>
        <v>688.28697040973179</v>
      </c>
      <c r="L7" s="209">
        <f t="shared" si="0"/>
        <v>698.61127496587767</v>
      </c>
    </row>
    <row r="8" spans="1:12">
      <c r="A8" s="270"/>
      <c r="B8" s="6" t="s">
        <v>96</v>
      </c>
      <c r="C8" s="200">
        <f>'26년 총원가 배분'!V50</f>
        <v>604</v>
      </c>
      <c r="D8" s="143">
        <f>$C8*1.015^(D$4-25)</f>
        <v>622.25589999999988</v>
      </c>
      <c r="E8" s="225">
        <f t="shared" ref="E8:L8" si="1">$C8*1.015^(E$4-25)</f>
        <v>631.58973849999973</v>
      </c>
      <c r="F8" s="225">
        <f t="shared" si="1"/>
        <v>641.06358457749968</v>
      </c>
      <c r="G8" s="225">
        <f t="shared" si="1"/>
        <v>650.67953834616208</v>
      </c>
      <c r="H8" s="225">
        <f t="shared" si="1"/>
        <v>660.4397314213544</v>
      </c>
      <c r="I8" s="225">
        <f t="shared" si="1"/>
        <v>670.34632739267454</v>
      </c>
      <c r="J8" s="225">
        <f t="shared" si="1"/>
        <v>680.40152230356466</v>
      </c>
      <c r="K8" s="225">
        <f t="shared" si="1"/>
        <v>690.60754513811798</v>
      </c>
      <c r="L8" s="225">
        <f t="shared" si="1"/>
        <v>700.96665831518976</v>
      </c>
    </row>
    <row r="9" spans="1:12">
      <c r="A9" s="270"/>
      <c r="B9" s="6" t="s">
        <v>97</v>
      </c>
      <c r="C9" s="200">
        <f>'26년 총원가 배분'!V51</f>
        <v>84</v>
      </c>
      <c r="D9" s="200">
        <f>$C9*1.015^(D$4-$C$4)</f>
        <v>85.259999999999991</v>
      </c>
      <c r="E9" s="200">
        <f t="shared" ref="E9:L9" si="2">$C9*1.015^(E$4-$C$4)</f>
        <v>86.538899999999984</v>
      </c>
      <c r="F9" s="200">
        <f t="shared" si="2"/>
        <v>87.836983499999974</v>
      </c>
      <c r="G9" s="200">
        <f t="shared" si="2"/>
        <v>89.154538252499947</v>
      </c>
      <c r="H9" s="200">
        <f t="shared" si="2"/>
        <v>90.491856326287433</v>
      </c>
      <c r="I9" s="200">
        <f t="shared" si="2"/>
        <v>91.849234171181735</v>
      </c>
      <c r="J9" s="200">
        <f t="shared" si="2"/>
        <v>93.226972683749452</v>
      </c>
      <c r="K9" s="200">
        <f t="shared" si="2"/>
        <v>94.625377274005686</v>
      </c>
      <c r="L9" s="200">
        <f t="shared" si="2"/>
        <v>96.044757933115747</v>
      </c>
    </row>
    <row r="10" spans="1:12">
      <c r="A10" s="270"/>
      <c r="B10" s="6" t="s">
        <v>281</v>
      </c>
      <c r="C10" s="200">
        <f>'26년 총원가 배분'!V52</f>
        <v>444</v>
      </c>
      <c r="D10" s="200">
        <f>$C10*1.015^(D$4-26)</f>
        <v>450.65999999999997</v>
      </c>
      <c r="E10" s="200">
        <f t="shared" ref="E10:L10" si="3">$C10*1.015^(E$4-26)</f>
        <v>457.41989999999987</v>
      </c>
      <c r="F10" s="200">
        <f t="shared" si="3"/>
        <v>464.28119849999985</v>
      </c>
      <c r="G10" s="200">
        <f t="shared" si="3"/>
        <v>471.24541647749976</v>
      </c>
      <c r="H10" s="200">
        <f t="shared" si="3"/>
        <v>478.31409772466219</v>
      </c>
      <c r="I10" s="200">
        <f t="shared" si="3"/>
        <v>485.48880919053204</v>
      </c>
      <c r="J10" s="200">
        <f t="shared" si="3"/>
        <v>492.77114132838994</v>
      </c>
      <c r="K10" s="200">
        <f t="shared" si="3"/>
        <v>500.16270844831575</v>
      </c>
      <c r="L10" s="200">
        <f t="shared" si="3"/>
        <v>507.6651490750404</v>
      </c>
    </row>
    <row r="11" spans="1:12">
      <c r="A11" s="270"/>
      <c r="B11" s="201" t="s">
        <v>351</v>
      </c>
      <c r="C11" s="200">
        <f>'26년 총원가 배분'!V53</f>
        <v>21</v>
      </c>
      <c r="D11" s="200">
        <f>54*1.015^(D$4-$C$4)</f>
        <v>54.809999999999995</v>
      </c>
      <c r="E11" s="200">
        <f>$D11*1.015^(E$4-$C$4)</f>
        <v>56.466632249999982</v>
      </c>
      <c r="F11" s="223">
        <f t="shared" ref="F11:L12" si="4">$D11*1.015^(F$4-$C$4)</f>
        <v>57.313631733749972</v>
      </c>
      <c r="G11" s="223">
        <f t="shared" si="4"/>
        <v>58.173336209756215</v>
      </c>
      <c r="H11" s="223">
        <f t="shared" si="4"/>
        <v>59.04593625290255</v>
      </c>
      <c r="I11" s="223">
        <f t="shared" si="4"/>
        <v>59.931625296696076</v>
      </c>
      <c r="J11" s="223">
        <f t="shared" si="4"/>
        <v>60.830599676146505</v>
      </c>
      <c r="K11" s="223">
        <f t="shared" si="4"/>
        <v>61.743058671288701</v>
      </c>
      <c r="L11" s="223">
        <f t="shared" si="4"/>
        <v>62.669204551358021</v>
      </c>
    </row>
    <row r="12" spans="1:12">
      <c r="A12" s="267"/>
      <c r="B12" s="201" t="s">
        <v>352</v>
      </c>
      <c r="C12" s="200">
        <f>'26년 총원가 배분'!V54</f>
        <v>3</v>
      </c>
      <c r="D12" s="200">
        <f>6*1.015^(D$4-$C$4)</f>
        <v>6.09</v>
      </c>
      <c r="E12" s="200">
        <f>$D12*1.015^(E$4-$C$4)</f>
        <v>6.2740702499999985</v>
      </c>
      <c r="F12" s="223">
        <f t="shared" si="4"/>
        <v>6.3681813037499975</v>
      </c>
      <c r="G12" s="223">
        <f t="shared" si="4"/>
        <v>6.4637040233062466</v>
      </c>
      <c r="H12" s="223">
        <f t="shared" si="4"/>
        <v>6.5606595836558395</v>
      </c>
      <c r="I12" s="223">
        <f t="shared" si="4"/>
        <v>6.6590694774106751</v>
      </c>
      <c r="J12" s="223">
        <f t="shared" si="4"/>
        <v>6.7589555195718347</v>
      </c>
      <c r="K12" s="223">
        <f t="shared" si="4"/>
        <v>6.8603398523654118</v>
      </c>
      <c r="L12" s="223">
        <f t="shared" si="4"/>
        <v>6.9632449501508917</v>
      </c>
    </row>
    <row r="13" spans="1:12">
      <c r="A13" s="6" t="s">
        <v>98</v>
      </c>
      <c r="B13" s="6" t="s">
        <v>99</v>
      </c>
      <c r="C13" s="200">
        <f>'26년 총원가 배분'!V55</f>
        <v>65</v>
      </c>
      <c r="D13" s="209">
        <f>$C13*1.015^(D$4-$C$4)</f>
        <v>65.974999999999994</v>
      </c>
      <c r="E13" s="209">
        <f t="shared" ref="E13:L13" si="5">$C13*1.015^(E$4-$C$4)</f>
        <v>66.964624999999984</v>
      </c>
      <c r="F13" s="209">
        <f t="shared" si="5"/>
        <v>67.969094374999969</v>
      </c>
      <c r="G13" s="209">
        <f t="shared" si="5"/>
        <v>68.988630790624967</v>
      </c>
      <c r="H13" s="209">
        <f t="shared" si="5"/>
        <v>70.023460252484327</v>
      </c>
      <c r="I13" s="209">
        <f t="shared" si="5"/>
        <v>71.073812156271586</v>
      </c>
      <c r="J13" s="209">
        <f t="shared" si="5"/>
        <v>72.139919338615641</v>
      </c>
      <c r="K13" s="209">
        <f t="shared" si="5"/>
        <v>73.22201812869487</v>
      </c>
      <c r="L13" s="209">
        <f t="shared" si="5"/>
        <v>74.320348400625278</v>
      </c>
    </row>
    <row r="14" spans="1:12">
      <c r="A14" s="268" t="s">
        <v>110</v>
      </c>
      <c r="B14" s="269"/>
      <c r="C14" s="59">
        <f t="shared" ref="C14:L14" si="6">SUM(C6:C13)</f>
        <v>1872</v>
      </c>
      <c r="D14" s="59">
        <f t="shared" si="6"/>
        <v>1945.8158999999998</v>
      </c>
      <c r="E14" s="59">
        <f t="shared" si="6"/>
        <v>1975.9303409999995</v>
      </c>
      <c r="F14" s="59">
        <f t="shared" si="6"/>
        <v>2005.5692961149991</v>
      </c>
      <c r="G14" s="59">
        <f t="shared" si="6"/>
        <v>2035.6528355567239</v>
      </c>
      <c r="H14" s="59">
        <f t="shared" si="6"/>
        <v>2066.1876280900747</v>
      </c>
      <c r="I14" s="59">
        <f t="shared" si="6"/>
        <v>2097.1804425114251</v>
      </c>
      <c r="J14" s="35">
        <f t="shared" si="6"/>
        <v>2128.6381491490961</v>
      </c>
      <c r="K14" s="35">
        <f t="shared" si="6"/>
        <v>2160.5677213863323</v>
      </c>
      <c r="L14" s="35">
        <f t="shared" si="6"/>
        <v>2192.9762372071277</v>
      </c>
    </row>
    <row r="15" spans="1:12">
      <c r="A15" s="254" t="s">
        <v>65</v>
      </c>
      <c r="B15" s="254"/>
      <c r="C15" s="200">
        <f>'26년 총원가 배분'!V58</f>
        <v>11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9"/>
      <c r="K15" s="19"/>
      <c r="L15" s="19"/>
    </row>
    <row r="16" spans="1:12">
      <c r="A16" s="254" t="s">
        <v>66</v>
      </c>
      <c r="B16" s="254"/>
      <c r="C16" s="200">
        <f>'26년 총원가 배분'!V59</f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9"/>
      <c r="K16" s="19"/>
      <c r="L16" s="19"/>
    </row>
    <row r="17" spans="1:13">
      <c r="A17" s="266" t="s">
        <v>34</v>
      </c>
      <c r="B17" s="18" t="s">
        <v>81</v>
      </c>
      <c r="C17" s="200">
        <f>'26년 총원가 배분'!V60</f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9">
        <v>0</v>
      </c>
      <c r="K17" s="19">
        <v>0</v>
      </c>
      <c r="L17" s="19">
        <v>0</v>
      </c>
    </row>
    <row r="18" spans="1:13">
      <c r="A18" s="267"/>
      <c r="B18" s="17" t="s">
        <v>64</v>
      </c>
      <c r="C18" s="200">
        <f>'26년 총원가 배분'!V61</f>
        <v>2098</v>
      </c>
      <c r="D18" s="10">
        <f>$D$28*1.015^(D4-25)</f>
        <v>950.89767499999971</v>
      </c>
      <c r="E18" s="10">
        <f t="shared" ref="E18:L18" si="7">$D$28*1.015^(E4-25)</f>
        <v>965.16114012499963</v>
      </c>
      <c r="F18" s="10">
        <f t="shared" si="7"/>
        <v>979.63855722687447</v>
      </c>
      <c r="G18" s="10">
        <f t="shared" si="7"/>
        <v>994.33313558527743</v>
      </c>
      <c r="H18" s="10">
        <f t="shared" si="7"/>
        <v>1009.2481326190564</v>
      </c>
      <c r="I18" s="10">
        <f t="shared" si="7"/>
        <v>1024.3868546083422</v>
      </c>
      <c r="J18" s="10">
        <f t="shared" si="7"/>
        <v>1039.7526574274673</v>
      </c>
      <c r="K18" s="10">
        <f t="shared" si="7"/>
        <v>1055.3489472888791</v>
      </c>
      <c r="L18" s="10">
        <f t="shared" si="7"/>
        <v>1071.1791814982121</v>
      </c>
    </row>
    <row r="19" spans="1:13">
      <c r="A19" s="37" t="s">
        <v>102</v>
      </c>
      <c r="B19" s="37" t="s">
        <v>103</v>
      </c>
      <c r="C19" s="200">
        <f>'26년 총원가 배분'!V62</f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9">
        <v>0</v>
      </c>
      <c r="K19" s="19">
        <v>0</v>
      </c>
      <c r="L19" s="19">
        <v>0</v>
      </c>
    </row>
    <row r="20" spans="1:13">
      <c r="A20" s="254" t="s">
        <v>63</v>
      </c>
      <c r="B20" s="254"/>
      <c r="C20" s="200">
        <f>'26년 총원가 배분'!V63</f>
        <v>6</v>
      </c>
      <c r="D20" s="10"/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9">
        <v>0</v>
      </c>
      <c r="K20" s="19">
        <v>0</v>
      </c>
      <c r="L20" s="19">
        <v>0</v>
      </c>
    </row>
    <row r="21" spans="1:13">
      <c r="A21" s="254" t="s">
        <v>61</v>
      </c>
      <c r="B21" s="18" t="s">
        <v>38</v>
      </c>
      <c r="C21" s="200">
        <f>'26년 총원가 배분'!V64</f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9">
        <v>0</v>
      </c>
      <c r="K21" s="19">
        <v>0</v>
      </c>
      <c r="L21" s="19">
        <v>0</v>
      </c>
    </row>
    <row r="22" spans="1:13">
      <c r="A22" s="254"/>
      <c r="B22" s="17" t="s">
        <v>39</v>
      </c>
      <c r="C22" s="200">
        <f>'26년 총원가 배분'!V65</f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9">
        <v>0</v>
      </c>
      <c r="K22" s="19">
        <v>0</v>
      </c>
      <c r="L22" s="19">
        <v>0</v>
      </c>
    </row>
    <row r="23" spans="1:13">
      <c r="A23" s="18" t="s">
        <v>67</v>
      </c>
      <c r="B23" s="18" t="s">
        <v>37</v>
      </c>
      <c r="C23" s="200">
        <f>'26년 총원가 배분'!V66</f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9">
        <v>0</v>
      </c>
      <c r="K23" s="19">
        <v>0</v>
      </c>
      <c r="L23" s="19">
        <v>0</v>
      </c>
    </row>
    <row r="24" spans="1:13">
      <c r="A24" s="257" t="s">
        <v>78</v>
      </c>
      <c r="B24" s="257"/>
      <c r="C24" s="14">
        <f>SUM(C15:C23)</f>
        <v>2115</v>
      </c>
      <c r="D24" s="14">
        <f t="shared" ref="D24:L24" si="8">SUM(D15:D23)</f>
        <v>950.89767499999971</v>
      </c>
      <c r="E24" s="14">
        <f t="shared" si="8"/>
        <v>965.16114012499963</v>
      </c>
      <c r="F24" s="14">
        <f t="shared" si="8"/>
        <v>979.63855722687447</v>
      </c>
      <c r="G24" s="14">
        <f t="shared" si="8"/>
        <v>994.33313558527743</v>
      </c>
      <c r="H24" s="14">
        <f t="shared" si="8"/>
        <v>1009.2481326190564</v>
      </c>
      <c r="I24" s="14">
        <f t="shared" si="8"/>
        <v>1024.3868546083422</v>
      </c>
      <c r="J24" s="14">
        <f t="shared" si="8"/>
        <v>1039.7526574274673</v>
      </c>
      <c r="K24" s="14">
        <f t="shared" si="8"/>
        <v>1055.3489472888791</v>
      </c>
      <c r="L24" s="14">
        <f t="shared" si="8"/>
        <v>1071.1791814982121</v>
      </c>
      <c r="M24" s="7"/>
    </row>
    <row r="25" spans="1:13">
      <c r="A25" s="222" t="s">
        <v>282</v>
      </c>
      <c r="B25" s="222" t="s">
        <v>354</v>
      </c>
      <c r="C25" s="223">
        <f>'26년 총원가 배분'!V67</f>
        <v>0</v>
      </c>
      <c r="D25" s="223">
        <f>투자비!T65</f>
        <v>0</v>
      </c>
      <c r="E25" s="236">
        <f>D$25*1.015^(E$4-D$4)</f>
        <v>0</v>
      </c>
      <c r="F25" s="236">
        <f t="shared" ref="F25:L25" si="9">E$25*1.015^(F$4-E$4)</f>
        <v>0</v>
      </c>
      <c r="G25" s="236">
        <f t="shared" si="9"/>
        <v>0</v>
      </c>
      <c r="H25" s="236">
        <f t="shared" si="9"/>
        <v>0</v>
      </c>
      <c r="I25" s="236">
        <f t="shared" si="9"/>
        <v>0</v>
      </c>
      <c r="J25" s="236">
        <f t="shared" si="9"/>
        <v>0</v>
      </c>
      <c r="K25" s="236">
        <f t="shared" si="9"/>
        <v>0</v>
      </c>
      <c r="L25" s="236">
        <f t="shared" si="9"/>
        <v>0</v>
      </c>
    </row>
    <row r="26" spans="1:1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8" spans="1:13">
      <c r="C28" t="s">
        <v>247</v>
      </c>
      <c r="D28">
        <v>923</v>
      </c>
    </row>
  </sheetData>
  <mergeCells count="10">
    <mergeCell ref="A21:A22"/>
    <mergeCell ref="A24:B24"/>
    <mergeCell ref="A4:B4"/>
    <mergeCell ref="A5:B5"/>
    <mergeCell ref="A15:B15"/>
    <mergeCell ref="A16:B16"/>
    <mergeCell ref="A20:B20"/>
    <mergeCell ref="A17:A18"/>
    <mergeCell ref="A14:B14"/>
    <mergeCell ref="A6:A12"/>
  </mergeCells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rgb="FF92D050"/>
  </sheetPr>
  <dimension ref="A3:M28"/>
  <sheetViews>
    <sheetView zoomScaleNormal="100" workbookViewId="0">
      <selection activeCell="C7" sqref="C7"/>
    </sheetView>
  </sheetViews>
  <sheetFormatPr defaultRowHeight="16.899999999999999"/>
  <cols>
    <col min="1" max="1" width="12.625" customWidth="1"/>
    <col min="2" max="2" width="21.875" customWidth="1"/>
    <col min="3" max="4" width="15.875" customWidth="1"/>
    <col min="5" max="5" width="18.75" customWidth="1"/>
    <col min="6" max="6" width="15" customWidth="1"/>
    <col min="7" max="7" width="17.625" customWidth="1"/>
    <col min="8" max="8" width="16.875" customWidth="1"/>
    <col min="9" max="9" width="16.5" customWidth="1"/>
    <col min="10" max="10" width="14.375" customWidth="1"/>
    <col min="11" max="13" width="15.625" customWidth="1"/>
  </cols>
  <sheetData>
    <row r="3" spans="1:12">
      <c r="C3" s="20"/>
      <c r="D3" s="20"/>
      <c r="E3" s="20"/>
      <c r="F3" s="20"/>
      <c r="G3" s="20"/>
      <c r="L3" s="9" t="s">
        <v>77</v>
      </c>
    </row>
    <row r="4" spans="1:12">
      <c r="A4" s="254" t="s">
        <v>90</v>
      </c>
      <c r="B4" s="254"/>
      <c r="C4" s="17">
        <v>26</v>
      </c>
      <c r="D4" s="17">
        <v>27</v>
      </c>
      <c r="E4" s="17">
        <v>28</v>
      </c>
      <c r="F4" s="17">
        <v>29</v>
      </c>
      <c r="G4" s="17">
        <v>30</v>
      </c>
      <c r="H4" s="17">
        <v>31</v>
      </c>
      <c r="I4" s="37">
        <v>32</v>
      </c>
      <c r="J4" s="63">
        <v>33</v>
      </c>
      <c r="K4" s="140">
        <v>34</v>
      </c>
      <c r="L4" s="199">
        <v>35</v>
      </c>
    </row>
    <row r="5" spans="1:12">
      <c r="A5" s="254" t="s">
        <v>68</v>
      </c>
      <c r="B5" s="254"/>
      <c r="C5" s="17" t="s">
        <v>76</v>
      </c>
      <c r="D5" s="17" t="s">
        <v>76</v>
      </c>
      <c r="E5" s="17" t="s">
        <v>76</v>
      </c>
      <c r="F5" s="17" t="s">
        <v>76</v>
      </c>
      <c r="G5" s="17" t="s">
        <v>76</v>
      </c>
      <c r="H5" s="17" t="s">
        <v>76</v>
      </c>
      <c r="I5" s="37" t="s">
        <v>76</v>
      </c>
      <c r="J5" s="63" t="s">
        <v>132</v>
      </c>
      <c r="K5" s="140" t="s">
        <v>76</v>
      </c>
      <c r="L5" s="199" t="s">
        <v>76</v>
      </c>
    </row>
    <row r="6" spans="1:12">
      <c r="A6" s="266" t="s">
        <v>93</v>
      </c>
      <c r="B6" s="6" t="s">
        <v>94</v>
      </c>
      <c r="C6" s="200">
        <f>'26년 총원가 배분'!W48</f>
        <v>32</v>
      </c>
      <c r="D6" s="200">
        <f>$C6*1.015^(D$4-$C$4)</f>
        <v>32.479999999999997</v>
      </c>
      <c r="E6" s="200">
        <f t="shared" ref="E6:L7" si="0">$C6*1.015^(E$4-$C$4)</f>
        <v>32.967199999999991</v>
      </c>
      <c r="F6" s="200">
        <f t="shared" si="0"/>
        <v>33.461707999999987</v>
      </c>
      <c r="G6" s="200">
        <f t="shared" si="0"/>
        <v>33.963633619999982</v>
      </c>
      <c r="H6" s="200">
        <f t="shared" si="0"/>
        <v>34.473088124299977</v>
      </c>
      <c r="I6" s="200">
        <f t="shared" si="0"/>
        <v>34.99018444616447</v>
      </c>
      <c r="J6" s="200">
        <f t="shared" si="0"/>
        <v>35.515037212856932</v>
      </c>
      <c r="K6" s="200">
        <f t="shared" si="0"/>
        <v>36.047762771049783</v>
      </c>
      <c r="L6" s="200">
        <f t="shared" si="0"/>
        <v>36.588479212615525</v>
      </c>
    </row>
    <row r="7" spans="1:12">
      <c r="A7" s="270"/>
      <c r="B7" s="6" t="s">
        <v>95</v>
      </c>
      <c r="C7" s="200">
        <f>'26년 총원가 배분'!W49</f>
        <v>114</v>
      </c>
      <c r="D7" s="209">
        <f>$C7*1.015^(D$4-$C$4)</f>
        <v>115.71</v>
      </c>
      <c r="E7" s="209">
        <f t="shared" si="0"/>
        <v>117.44564999999997</v>
      </c>
      <c r="F7" s="209">
        <f t="shared" si="0"/>
        <v>119.20733474999996</v>
      </c>
      <c r="G7" s="209">
        <f t="shared" si="0"/>
        <v>120.99544477124994</v>
      </c>
      <c r="H7" s="209">
        <f t="shared" si="0"/>
        <v>122.81037644281867</v>
      </c>
      <c r="I7" s="209">
        <f t="shared" si="0"/>
        <v>124.65253208946092</v>
      </c>
      <c r="J7" s="209">
        <f t="shared" si="0"/>
        <v>126.52232007080282</v>
      </c>
      <c r="K7" s="209">
        <f t="shared" si="0"/>
        <v>128.42015487186484</v>
      </c>
      <c r="L7" s="209">
        <f t="shared" si="0"/>
        <v>130.34645719494281</v>
      </c>
    </row>
    <row r="8" spans="1:12">
      <c r="A8" s="270"/>
      <c r="B8" s="6" t="s">
        <v>96</v>
      </c>
      <c r="C8" s="200">
        <f>'26년 총원가 배분'!W50</f>
        <v>273</v>
      </c>
      <c r="D8" s="143">
        <f>$C8*1.015^(D$4-25)</f>
        <v>281.25142499999993</v>
      </c>
      <c r="E8" s="225">
        <f t="shared" ref="E8:L8" si="1">$C8*1.015^(E$4-25)</f>
        <v>285.47019637499989</v>
      </c>
      <c r="F8" s="225">
        <f t="shared" si="1"/>
        <v>289.75224932062486</v>
      </c>
      <c r="G8" s="225">
        <f t="shared" si="1"/>
        <v>294.09853306043419</v>
      </c>
      <c r="H8" s="225">
        <f t="shared" si="1"/>
        <v>298.51001105634066</v>
      </c>
      <c r="I8" s="225">
        <f t="shared" si="1"/>
        <v>302.98766122218569</v>
      </c>
      <c r="J8" s="225">
        <f t="shared" si="1"/>
        <v>307.53247614051844</v>
      </c>
      <c r="K8" s="225">
        <f t="shared" si="1"/>
        <v>312.14546328262617</v>
      </c>
      <c r="L8" s="225">
        <f t="shared" si="1"/>
        <v>316.82764523186557</v>
      </c>
    </row>
    <row r="9" spans="1:12">
      <c r="A9" s="270"/>
      <c r="B9" s="6" t="s">
        <v>97</v>
      </c>
      <c r="C9" s="200">
        <f>'26년 총원가 배분'!W51</f>
        <v>61</v>
      </c>
      <c r="D9" s="200">
        <f>$C9*1.015^(D$4-$C$4)</f>
        <v>61.914999999999992</v>
      </c>
      <c r="E9" s="200">
        <f t="shared" ref="E9:L9" si="2">$C9*1.015^(E$4-$C$4)</f>
        <v>62.843724999999985</v>
      </c>
      <c r="F9" s="200">
        <f t="shared" si="2"/>
        <v>63.786380874999978</v>
      </c>
      <c r="G9" s="200">
        <f t="shared" si="2"/>
        <v>64.743176588124967</v>
      </c>
      <c r="H9" s="200">
        <f t="shared" si="2"/>
        <v>65.714324236946837</v>
      </c>
      <c r="I9" s="200">
        <f t="shared" si="2"/>
        <v>66.700039100501016</v>
      </c>
      <c r="J9" s="200">
        <f t="shared" si="2"/>
        <v>67.700539687008529</v>
      </c>
      <c r="K9" s="200">
        <f t="shared" si="2"/>
        <v>68.716047782313652</v>
      </c>
      <c r="L9" s="200">
        <f t="shared" si="2"/>
        <v>69.74678849904835</v>
      </c>
    </row>
    <row r="10" spans="1:12">
      <c r="A10" s="270"/>
      <c r="B10" s="6" t="s">
        <v>281</v>
      </c>
      <c r="C10" s="200">
        <f>'26년 총원가 배분'!W52</f>
        <v>335</v>
      </c>
      <c r="D10" s="200">
        <f>$C10*1.015^(D$4-26)</f>
        <v>340.02499999999998</v>
      </c>
      <c r="E10" s="200">
        <f t="shared" ref="E10:L10" si="3">$C10*1.015^(E$4-26)</f>
        <v>345.12537499999991</v>
      </c>
      <c r="F10" s="200">
        <f t="shared" si="3"/>
        <v>350.30225562499987</v>
      </c>
      <c r="G10" s="200">
        <f t="shared" si="3"/>
        <v>355.55678945937478</v>
      </c>
      <c r="H10" s="200">
        <f t="shared" si="3"/>
        <v>360.89014130126537</v>
      </c>
      <c r="I10" s="200">
        <f t="shared" si="3"/>
        <v>366.30349342078432</v>
      </c>
      <c r="J10" s="200">
        <f t="shared" si="3"/>
        <v>371.79804582209601</v>
      </c>
      <c r="K10" s="200">
        <f t="shared" si="3"/>
        <v>377.37501650942744</v>
      </c>
      <c r="L10" s="200">
        <f t="shared" si="3"/>
        <v>383.03564175706879</v>
      </c>
    </row>
    <row r="11" spans="1:12">
      <c r="A11" s="270"/>
      <c r="B11" s="201" t="s">
        <v>351</v>
      </c>
      <c r="C11" s="200">
        <f>'26년 총원가 배분'!W53</f>
        <v>10</v>
      </c>
      <c r="D11" s="200">
        <f>25*1.015^(D$4-$C$4)</f>
        <v>25.374999999999996</v>
      </c>
      <c r="E11" s="200">
        <f>$D11*1.015^(E$4-$C$4)</f>
        <v>26.141959374999988</v>
      </c>
      <c r="F11" s="223">
        <f t="shared" ref="F11:L12" si="4">$D11*1.015^(F$4-$C$4)</f>
        <v>26.534088765624986</v>
      </c>
      <c r="G11" s="223">
        <f t="shared" si="4"/>
        <v>26.932100097109355</v>
      </c>
      <c r="H11" s="223">
        <f t="shared" si="4"/>
        <v>27.336081598565993</v>
      </c>
      <c r="I11" s="223">
        <f t="shared" si="4"/>
        <v>27.746122822544478</v>
      </c>
      <c r="J11" s="223">
        <f t="shared" si="4"/>
        <v>28.16231466488264</v>
      </c>
      <c r="K11" s="223">
        <f t="shared" si="4"/>
        <v>28.584749384855879</v>
      </c>
      <c r="L11" s="223">
        <f t="shared" si="4"/>
        <v>29.013520625628711</v>
      </c>
    </row>
    <row r="12" spans="1:12">
      <c r="A12" s="267"/>
      <c r="B12" s="201" t="s">
        <v>352</v>
      </c>
      <c r="C12" s="200">
        <f>'26년 총원가 배분'!W54</f>
        <v>1</v>
      </c>
      <c r="D12" s="200">
        <f>3*1.015^(D$4-$C$4)</f>
        <v>3.0449999999999999</v>
      </c>
      <c r="E12" s="200">
        <f>$D12*1.015^(E$4-$C$4)</f>
        <v>3.1370351249999993</v>
      </c>
      <c r="F12" s="223">
        <f t="shared" si="4"/>
        <v>3.1840906518749987</v>
      </c>
      <c r="G12" s="223">
        <f t="shared" si="4"/>
        <v>3.2318520116531233</v>
      </c>
      <c r="H12" s="223">
        <f t="shared" si="4"/>
        <v>3.2803297918279197</v>
      </c>
      <c r="I12" s="223">
        <f t="shared" si="4"/>
        <v>3.3295347387053376</v>
      </c>
      <c r="J12" s="223">
        <f t="shared" si="4"/>
        <v>3.3794777597859174</v>
      </c>
      <c r="K12" s="223">
        <f t="shared" si="4"/>
        <v>3.4301699261827059</v>
      </c>
      <c r="L12" s="223">
        <f t="shared" si="4"/>
        <v>3.4816224750754459</v>
      </c>
    </row>
    <row r="13" spans="1:12">
      <c r="A13" s="208" t="s">
        <v>98</v>
      </c>
      <c r="B13" s="6" t="s">
        <v>99</v>
      </c>
      <c r="C13" s="200">
        <f>'26년 총원가 배분'!W55</f>
        <v>78</v>
      </c>
      <c r="D13" s="209">
        <f>$C13*1.015^(D$4-$C$4)</f>
        <v>79.169999999999987</v>
      </c>
      <c r="E13" s="209">
        <f t="shared" ref="E13:L13" si="5">$C13*1.015^(E$4-$C$4)</f>
        <v>80.357549999999975</v>
      </c>
      <c r="F13" s="209">
        <f t="shared" si="5"/>
        <v>81.562913249999966</v>
      </c>
      <c r="G13" s="209">
        <f t="shared" si="5"/>
        <v>82.786356948749955</v>
      </c>
      <c r="H13" s="209">
        <f t="shared" si="5"/>
        <v>84.028152302981198</v>
      </c>
      <c r="I13" s="209">
        <f t="shared" si="5"/>
        <v>85.2885745875259</v>
      </c>
      <c r="J13" s="209">
        <f t="shared" si="5"/>
        <v>86.567903206338769</v>
      </c>
      <c r="K13" s="209">
        <f t="shared" si="5"/>
        <v>87.866421754433844</v>
      </c>
      <c r="L13" s="209">
        <f t="shared" si="5"/>
        <v>89.184418080750348</v>
      </c>
    </row>
    <row r="14" spans="1:12">
      <c r="A14" s="268" t="s">
        <v>110</v>
      </c>
      <c r="B14" s="269"/>
      <c r="C14" s="59">
        <f t="shared" ref="C14:L14" si="6">SUM(C6:C13)</f>
        <v>904</v>
      </c>
      <c r="D14" s="59">
        <f t="shared" si="6"/>
        <v>938.97142499999984</v>
      </c>
      <c r="E14" s="59">
        <f t="shared" si="6"/>
        <v>953.48869087499963</v>
      </c>
      <c r="F14" s="59">
        <f t="shared" si="6"/>
        <v>967.79102123812459</v>
      </c>
      <c r="G14" s="59">
        <f t="shared" si="6"/>
        <v>982.3078865566963</v>
      </c>
      <c r="H14" s="59">
        <f t="shared" si="6"/>
        <v>997.04250485504667</v>
      </c>
      <c r="I14" s="59">
        <f t="shared" si="6"/>
        <v>1011.9981424278722</v>
      </c>
      <c r="J14" s="35">
        <f t="shared" si="6"/>
        <v>1027.1781145642899</v>
      </c>
      <c r="K14" s="35">
        <f t="shared" si="6"/>
        <v>1042.5857862827543</v>
      </c>
      <c r="L14" s="35">
        <f t="shared" si="6"/>
        <v>1058.2245730769957</v>
      </c>
    </row>
    <row r="15" spans="1:12">
      <c r="A15" s="254" t="s">
        <v>65</v>
      </c>
      <c r="B15" s="254"/>
      <c r="C15" s="200">
        <f>'26년 총원가 배분'!W58</f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9"/>
      <c r="K15" s="19"/>
      <c r="L15" s="19"/>
    </row>
    <row r="16" spans="1:12">
      <c r="A16" s="254" t="s">
        <v>66</v>
      </c>
      <c r="B16" s="254"/>
      <c r="C16" s="200">
        <f>'26년 총원가 배분'!W59</f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9"/>
      <c r="K16" s="19"/>
      <c r="L16" s="19"/>
    </row>
    <row r="17" spans="1:13">
      <c r="A17" s="266" t="s">
        <v>34</v>
      </c>
      <c r="B17" s="18" t="s">
        <v>81</v>
      </c>
      <c r="C17" s="200">
        <f>'26년 총원가 배분'!W60</f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9">
        <v>0</v>
      </c>
      <c r="K17" s="19">
        <v>0</v>
      </c>
      <c r="L17" s="19">
        <v>0</v>
      </c>
    </row>
    <row r="18" spans="1:13">
      <c r="A18" s="267"/>
      <c r="B18" s="17" t="s">
        <v>64</v>
      </c>
      <c r="C18" s="200">
        <f>'26년 총원가 배분'!W61</f>
        <v>128</v>
      </c>
      <c r="D18" s="10">
        <f>$D$28*1.015^(D4-25)</f>
        <v>77.266874999999985</v>
      </c>
      <c r="E18" s="10">
        <f t="shared" ref="E18:L18" si="7">$D$28*1.015^(E4-25)</f>
        <v>78.425878124999969</v>
      </c>
      <c r="F18" s="10">
        <f t="shared" si="7"/>
        <v>79.602266296874959</v>
      </c>
      <c r="G18" s="10">
        <f t="shared" si="7"/>
        <v>80.796300291328066</v>
      </c>
      <c r="H18" s="10">
        <f t="shared" si="7"/>
        <v>82.008244795697976</v>
      </c>
      <c r="I18" s="10">
        <f t="shared" si="7"/>
        <v>83.238368467633435</v>
      </c>
      <c r="J18" s="10">
        <f t="shared" si="7"/>
        <v>84.48694399464793</v>
      </c>
      <c r="K18" s="10">
        <f t="shared" si="7"/>
        <v>85.754248154567634</v>
      </c>
      <c r="L18" s="10">
        <f t="shared" si="7"/>
        <v>87.040561876886144</v>
      </c>
    </row>
    <row r="19" spans="1:13">
      <c r="A19" s="37" t="s">
        <v>102</v>
      </c>
      <c r="B19" s="37" t="s">
        <v>103</v>
      </c>
      <c r="C19" s="200">
        <f>'26년 총원가 배분'!W62</f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9"/>
      <c r="K19" s="19"/>
      <c r="L19" s="19"/>
    </row>
    <row r="20" spans="1:13">
      <c r="A20" s="254" t="s">
        <v>63</v>
      </c>
      <c r="B20" s="254"/>
      <c r="C20" s="200">
        <f>'26년 총원가 배분'!W63</f>
        <v>0</v>
      </c>
      <c r="D20" s="10"/>
      <c r="E20" s="10">
        <v>0</v>
      </c>
      <c r="F20" s="10">
        <v>0</v>
      </c>
      <c r="G20" s="10"/>
      <c r="H20" s="10">
        <v>0</v>
      </c>
      <c r="I20" s="10">
        <v>0</v>
      </c>
      <c r="J20" s="19"/>
      <c r="K20" s="19"/>
      <c r="L20" s="19"/>
    </row>
    <row r="21" spans="1:13">
      <c r="A21" s="254" t="s">
        <v>61</v>
      </c>
      <c r="B21" s="18" t="s">
        <v>38</v>
      </c>
      <c r="C21" s="200">
        <f>'26년 총원가 배분'!W64</f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9">
        <v>0</v>
      </c>
      <c r="K21" s="19">
        <v>0</v>
      </c>
      <c r="L21" s="19">
        <v>0</v>
      </c>
    </row>
    <row r="22" spans="1:13">
      <c r="A22" s="254"/>
      <c r="B22" s="17" t="s">
        <v>39</v>
      </c>
      <c r="C22" s="200">
        <f>'26년 총원가 배분'!W65</f>
        <v>135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9"/>
      <c r="K22" s="19"/>
      <c r="L22" s="19"/>
    </row>
    <row r="23" spans="1:13">
      <c r="A23" s="18" t="s">
        <v>67</v>
      </c>
      <c r="B23" s="18" t="s">
        <v>37</v>
      </c>
      <c r="C23" s="200">
        <f>'26년 총원가 배분'!W66</f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9"/>
      <c r="K23" s="19"/>
      <c r="L23" s="19"/>
    </row>
    <row r="24" spans="1:13">
      <c r="A24" s="257" t="s">
        <v>78</v>
      </c>
      <c r="B24" s="257"/>
      <c r="C24" s="14">
        <f>SUM(C15:C23)</f>
        <v>263</v>
      </c>
      <c r="D24" s="14">
        <f t="shared" ref="D24:L24" si="8">SUM(D15:D23)</f>
        <v>77.266874999999985</v>
      </c>
      <c r="E24" s="14">
        <f t="shared" si="8"/>
        <v>78.425878124999969</v>
      </c>
      <c r="F24" s="14">
        <f t="shared" si="8"/>
        <v>79.602266296874959</v>
      </c>
      <c r="G24" s="14">
        <f t="shared" si="8"/>
        <v>80.796300291328066</v>
      </c>
      <c r="H24" s="14">
        <f t="shared" si="8"/>
        <v>82.008244795697976</v>
      </c>
      <c r="I24" s="14">
        <f t="shared" si="8"/>
        <v>83.238368467633435</v>
      </c>
      <c r="J24" s="14">
        <f t="shared" si="8"/>
        <v>84.48694399464793</v>
      </c>
      <c r="K24" s="14">
        <f t="shared" si="8"/>
        <v>85.754248154567634</v>
      </c>
      <c r="L24" s="14">
        <f t="shared" si="8"/>
        <v>87.040561876886144</v>
      </c>
      <c r="M24" s="7"/>
    </row>
    <row r="25" spans="1:13">
      <c r="A25" s="222" t="s">
        <v>282</v>
      </c>
      <c r="B25" s="222" t="s">
        <v>354</v>
      </c>
      <c r="C25" s="223">
        <f>'26년 총원가 배분'!W67</f>
        <v>0</v>
      </c>
      <c r="D25" s="223">
        <f>투자비!U65</f>
        <v>0</v>
      </c>
      <c r="E25" s="236">
        <f>D$25*1.015^(E$4-D$4)</f>
        <v>0</v>
      </c>
      <c r="F25" s="236">
        <f t="shared" ref="F25:L25" si="9">E$25*1.015^(F$4-E$4)</f>
        <v>0</v>
      </c>
      <c r="G25" s="236">
        <f t="shared" si="9"/>
        <v>0</v>
      </c>
      <c r="H25" s="236">
        <f t="shared" si="9"/>
        <v>0</v>
      </c>
      <c r="I25" s="236">
        <f t="shared" si="9"/>
        <v>0</v>
      </c>
      <c r="J25" s="236">
        <f t="shared" si="9"/>
        <v>0</v>
      </c>
      <c r="K25" s="236">
        <f t="shared" si="9"/>
        <v>0</v>
      </c>
      <c r="L25" s="236">
        <f t="shared" si="9"/>
        <v>0</v>
      </c>
    </row>
    <row r="26" spans="1:1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8" spans="1:13">
      <c r="C28" t="s">
        <v>247</v>
      </c>
      <c r="D28">
        <v>75</v>
      </c>
    </row>
  </sheetData>
  <mergeCells count="10">
    <mergeCell ref="A21:A22"/>
    <mergeCell ref="A24:B24"/>
    <mergeCell ref="A4:B4"/>
    <mergeCell ref="A5:B5"/>
    <mergeCell ref="A15:B15"/>
    <mergeCell ref="A16:B16"/>
    <mergeCell ref="A20:B20"/>
    <mergeCell ref="A17:A18"/>
    <mergeCell ref="A14:B14"/>
    <mergeCell ref="A6:A12"/>
  </mergeCells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rgb="FF92D050"/>
  </sheetPr>
  <dimension ref="A3:M28"/>
  <sheetViews>
    <sheetView zoomScaleNormal="100" workbookViewId="0">
      <selection activeCell="D25" sqref="D25"/>
    </sheetView>
  </sheetViews>
  <sheetFormatPr defaultRowHeight="16.899999999999999"/>
  <cols>
    <col min="1" max="1" width="12.625" customWidth="1"/>
    <col min="2" max="2" width="21.875" customWidth="1"/>
    <col min="3" max="4" width="15.875" customWidth="1"/>
    <col min="5" max="5" width="18.75" customWidth="1"/>
    <col min="6" max="6" width="15" customWidth="1"/>
    <col min="7" max="7" width="17.625" customWidth="1"/>
    <col min="8" max="8" width="16.875" customWidth="1"/>
    <col min="9" max="9" width="16.5" customWidth="1"/>
    <col min="10" max="10" width="14.625" customWidth="1"/>
  </cols>
  <sheetData>
    <row r="3" spans="1:12">
      <c r="C3" s="20"/>
      <c r="D3" s="20"/>
      <c r="E3" s="20"/>
      <c r="F3" s="20"/>
      <c r="G3" s="20"/>
      <c r="L3" s="9" t="s">
        <v>77</v>
      </c>
    </row>
    <row r="4" spans="1:12">
      <c r="A4" s="254" t="s">
        <v>91</v>
      </c>
      <c r="B4" s="254"/>
      <c r="C4" s="17">
        <v>26</v>
      </c>
      <c r="D4" s="17">
        <v>27</v>
      </c>
      <c r="E4" s="17">
        <v>28</v>
      </c>
      <c r="F4" s="17">
        <v>29</v>
      </c>
      <c r="G4" s="17">
        <v>30</v>
      </c>
      <c r="H4" s="17">
        <v>31</v>
      </c>
      <c r="I4" s="37">
        <v>32</v>
      </c>
      <c r="J4" s="63">
        <v>33</v>
      </c>
      <c r="K4" s="140">
        <v>34</v>
      </c>
      <c r="L4" s="199">
        <v>35</v>
      </c>
    </row>
    <row r="5" spans="1:12">
      <c r="A5" s="254" t="s">
        <v>68</v>
      </c>
      <c r="B5" s="254"/>
      <c r="C5" s="37" t="s">
        <v>76</v>
      </c>
      <c r="D5" s="37" t="s">
        <v>76</v>
      </c>
      <c r="E5" s="37" t="s">
        <v>76</v>
      </c>
      <c r="F5" s="37" t="s">
        <v>76</v>
      </c>
      <c r="G5" s="37" t="s">
        <v>76</v>
      </c>
      <c r="H5" s="37" t="s">
        <v>76</v>
      </c>
      <c r="I5" s="37" t="s">
        <v>76</v>
      </c>
      <c r="J5" s="63" t="s">
        <v>132</v>
      </c>
      <c r="K5" s="140" t="s">
        <v>76</v>
      </c>
      <c r="L5" s="199" t="s">
        <v>76</v>
      </c>
    </row>
    <row r="6" spans="1:12">
      <c r="A6" s="266" t="s">
        <v>93</v>
      </c>
      <c r="B6" s="6" t="s">
        <v>94</v>
      </c>
      <c r="C6" s="200">
        <f>'26년 총원가 배분'!X48</f>
        <v>150</v>
      </c>
      <c r="D6" s="200">
        <f>$C6*1.015^(D$4-$C$4)</f>
        <v>152.24999999999997</v>
      </c>
      <c r="E6" s="200">
        <f t="shared" ref="E6:L7" si="0">$C6*1.015^(E$4-$C$4)</f>
        <v>154.53374999999997</v>
      </c>
      <c r="F6" s="200">
        <f t="shared" si="0"/>
        <v>156.85175624999994</v>
      </c>
      <c r="G6" s="200">
        <f t="shared" si="0"/>
        <v>159.20453259374992</v>
      </c>
      <c r="H6" s="200">
        <f t="shared" si="0"/>
        <v>161.59260058265613</v>
      </c>
      <c r="I6" s="200">
        <f t="shared" si="0"/>
        <v>164.01648959139595</v>
      </c>
      <c r="J6" s="200">
        <f t="shared" si="0"/>
        <v>166.47673693526687</v>
      </c>
      <c r="K6" s="200">
        <f t="shared" si="0"/>
        <v>168.97388798929586</v>
      </c>
      <c r="L6" s="200">
        <f t="shared" si="0"/>
        <v>171.50849630913527</v>
      </c>
    </row>
    <row r="7" spans="1:12">
      <c r="A7" s="270"/>
      <c r="B7" s="6" t="s">
        <v>95</v>
      </c>
      <c r="C7" s="200">
        <f>'26년 총원가 배분'!X49</f>
        <v>308</v>
      </c>
      <c r="D7" s="209">
        <f>$C7*1.015^(D$4-$C$4)</f>
        <v>312.61999999999995</v>
      </c>
      <c r="E7" s="209">
        <f t="shared" si="0"/>
        <v>317.30929999999989</v>
      </c>
      <c r="F7" s="209">
        <f t="shared" si="0"/>
        <v>322.06893949999989</v>
      </c>
      <c r="G7" s="209">
        <f t="shared" si="0"/>
        <v>326.8999735924998</v>
      </c>
      <c r="H7" s="209">
        <f t="shared" si="0"/>
        <v>331.8034731963873</v>
      </c>
      <c r="I7" s="209">
        <f t="shared" si="0"/>
        <v>336.78052529433302</v>
      </c>
      <c r="J7" s="209">
        <f t="shared" si="0"/>
        <v>341.83223317374797</v>
      </c>
      <c r="K7" s="209">
        <f t="shared" si="0"/>
        <v>346.95971667135416</v>
      </c>
      <c r="L7" s="209">
        <f t="shared" si="0"/>
        <v>352.16411242142442</v>
      </c>
    </row>
    <row r="8" spans="1:12">
      <c r="A8" s="270"/>
      <c r="B8" s="6" t="s">
        <v>96</v>
      </c>
      <c r="C8" s="200">
        <f>'26년 총원가 배분'!X50</f>
        <v>40</v>
      </c>
      <c r="D8" s="143">
        <f>$C8*1.015^(D$4-25)</f>
        <v>41.208999999999989</v>
      </c>
      <c r="E8" s="225">
        <f t="shared" ref="E8:L8" si="1">$C8*1.015^(E$4-25)</f>
        <v>41.827134999999984</v>
      </c>
      <c r="F8" s="225">
        <f t="shared" si="1"/>
        <v>42.454542024999981</v>
      </c>
      <c r="G8" s="225">
        <f t="shared" si="1"/>
        <v>43.091360155374971</v>
      </c>
      <c r="H8" s="225">
        <f t="shared" si="1"/>
        <v>43.737730557705589</v>
      </c>
      <c r="I8" s="225">
        <f t="shared" si="1"/>
        <v>44.393796516071163</v>
      </c>
      <c r="J8" s="225">
        <f t="shared" si="1"/>
        <v>45.059703463812227</v>
      </c>
      <c r="K8" s="225">
        <f t="shared" si="1"/>
        <v>45.735599015769409</v>
      </c>
      <c r="L8" s="225">
        <f t="shared" si="1"/>
        <v>46.421633001005944</v>
      </c>
    </row>
    <row r="9" spans="1:12">
      <c r="A9" s="270"/>
      <c r="B9" s="6" t="s">
        <v>97</v>
      </c>
      <c r="C9" s="200">
        <f>'26년 총원가 배분'!X51</f>
        <v>53</v>
      </c>
      <c r="D9" s="200">
        <f>$C9*1.015^(D$4-$C$4)</f>
        <v>53.794999999999995</v>
      </c>
      <c r="E9" s="200">
        <f t="shared" ref="E9:L9" si="2">$C9*1.015^(E$4-$C$4)</f>
        <v>54.601924999999987</v>
      </c>
      <c r="F9" s="200">
        <f t="shared" si="2"/>
        <v>55.420953874999981</v>
      </c>
      <c r="G9" s="200">
        <f t="shared" si="2"/>
        <v>56.252268183124968</v>
      </c>
      <c r="H9" s="200">
        <f t="shared" si="2"/>
        <v>57.096052205871835</v>
      </c>
      <c r="I9" s="200">
        <f t="shared" si="2"/>
        <v>57.952492988959904</v>
      </c>
      <c r="J9" s="200">
        <f t="shared" si="2"/>
        <v>58.821780383794291</v>
      </c>
      <c r="K9" s="200">
        <f t="shared" si="2"/>
        <v>59.704107089551201</v>
      </c>
      <c r="L9" s="200">
        <f t="shared" si="2"/>
        <v>60.599668695894465</v>
      </c>
    </row>
    <row r="10" spans="1:12">
      <c r="A10" s="270"/>
      <c r="B10" s="6" t="s">
        <v>281</v>
      </c>
      <c r="C10" s="200">
        <f>'26년 총원가 배분'!X52</f>
        <v>264</v>
      </c>
      <c r="D10" s="200">
        <f>$C10*1.015^(D$4-26)</f>
        <v>267.95999999999998</v>
      </c>
      <c r="E10" s="200">
        <f t="shared" ref="E10:L10" si="3">$C10*1.015^(E$4-26)</f>
        <v>271.97939999999994</v>
      </c>
      <c r="F10" s="200">
        <f t="shared" si="3"/>
        <v>276.05909099999991</v>
      </c>
      <c r="G10" s="200">
        <f t="shared" si="3"/>
        <v>280.19997736499982</v>
      </c>
      <c r="H10" s="200">
        <f t="shared" si="3"/>
        <v>284.4029770254748</v>
      </c>
      <c r="I10" s="200">
        <f t="shared" si="3"/>
        <v>288.66902168085687</v>
      </c>
      <c r="J10" s="200">
        <f t="shared" si="3"/>
        <v>292.99905700606968</v>
      </c>
      <c r="K10" s="200">
        <f t="shared" si="3"/>
        <v>297.3940428611607</v>
      </c>
      <c r="L10" s="200">
        <f t="shared" si="3"/>
        <v>301.85495350407808</v>
      </c>
    </row>
    <row r="11" spans="1:12">
      <c r="A11" s="270"/>
      <c r="B11" s="201" t="s">
        <v>351</v>
      </c>
      <c r="C11" s="200">
        <f>'26년 총원가 배분'!X53</f>
        <v>1</v>
      </c>
      <c r="D11" s="200">
        <f>4*1.015^(D$4-$C$4)</f>
        <v>4.0599999999999996</v>
      </c>
      <c r="E11" s="200">
        <f>$D11*1.015^(E$4-$C$4)</f>
        <v>4.1827134999999984</v>
      </c>
      <c r="F11" s="223">
        <f t="shared" ref="F11:L12" si="4">$D11*1.015^(F$4-$C$4)</f>
        <v>4.2454542024999977</v>
      </c>
      <c r="G11" s="223">
        <f t="shared" si="4"/>
        <v>4.3091360155374971</v>
      </c>
      <c r="H11" s="223">
        <f t="shared" si="4"/>
        <v>4.3737730557705587</v>
      </c>
      <c r="I11" s="223">
        <f t="shared" si="4"/>
        <v>4.4393796516071165</v>
      </c>
      <c r="J11" s="223">
        <f t="shared" si="4"/>
        <v>4.5059703463812228</v>
      </c>
      <c r="K11" s="223">
        <f t="shared" si="4"/>
        <v>4.5735599015769406</v>
      </c>
      <c r="L11" s="223">
        <f t="shared" si="4"/>
        <v>4.6421633001005942</v>
      </c>
    </row>
    <row r="12" spans="1:12">
      <c r="A12" s="267"/>
      <c r="B12" s="201" t="s">
        <v>352</v>
      </c>
      <c r="C12" s="200">
        <f>'26년 총원가 배분'!X54</f>
        <v>0</v>
      </c>
      <c r="D12" s="200">
        <f>1*1.015^(D$4-$C$4)</f>
        <v>1.0149999999999999</v>
      </c>
      <c r="E12" s="200">
        <f>$D12*1.015^(E$4-$C$4)</f>
        <v>1.0456783749999996</v>
      </c>
      <c r="F12" s="223">
        <f t="shared" si="4"/>
        <v>1.0613635506249994</v>
      </c>
      <c r="G12" s="223">
        <f t="shared" si="4"/>
        <v>1.0772840038843743</v>
      </c>
      <c r="H12" s="223">
        <f t="shared" si="4"/>
        <v>1.0934432639426397</v>
      </c>
      <c r="I12" s="223">
        <f t="shared" si="4"/>
        <v>1.1098449129017791</v>
      </c>
      <c r="J12" s="223">
        <f t="shared" si="4"/>
        <v>1.1264925865953057</v>
      </c>
      <c r="K12" s="223">
        <f t="shared" si="4"/>
        <v>1.1433899753942351</v>
      </c>
      <c r="L12" s="223">
        <f t="shared" si="4"/>
        <v>1.1605408250251485</v>
      </c>
    </row>
    <row r="13" spans="1:12">
      <c r="A13" s="6" t="s">
        <v>98</v>
      </c>
      <c r="B13" s="6" t="s">
        <v>99</v>
      </c>
      <c r="C13" s="200">
        <f>'26년 총원가 배분'!X55</f>
        <v>160</v>
      </c>
      <c r="D13" s="209">
        <f>$C13*1.015^(D$4-$C$4)</f>
        <v>162.39999999999998</v>
      </c>
      <c r="E13" s="209">
        <f t="shared" ref="E13:L13" si="5">$C13*1.015^(E$4-$C$4)</f>
        <v>164.83599999999996</v>
      </c>
      <c r="F13" s="209">
        <f t="shared" si="5"/>
        <v>167.30853999999994</v>
      </c>
      <c r="G13" s="209">
        <f t="shared" si="5"/>
        <v>169.81816809999992</v>
      </c>
      <c r="H13" s="209">
        <f t="shared" si="5"/>
        <v>172.36544062149989</v>
      </c>
      <c r="I13" s="209">
        <f t="shared" si="5"/>
        <v>174.95092223082236</v>
      </c>
      <c r="J13" s="209">
        <f t="shared" si="5"/>
        <v>177.57518606428465</v>
      </c>
      <c r="K13" s="209">
        <f t="shared" si="5"/>
        <v>180.23881385524891</v>
      </c>
      <c r="L13" s="209">
        <f t="shared" si="5"/>
        <v>182.94239606307764</v>
      </c>
    </row>
    <row r="14" spans="1:12">
      <c r="A14" s="268" t="s">
        <v>110</v>
      </c>
      <c r="B14" s="269"/>
      <c r="C14" s="59">
        <f t="shared" ref="C14:L14" si="6">SUM(C6:C13)</f>
        <v>976</v>
      </c>
      <c r="D14" s="59">
        <f t="shared" si="6"/>
        <v>995.30899999999974</v>
      </c>
      <c r="E14" s="59">
        <f t="shared" si="6"/>
        <v>1010.3159018749996</v>
      </c>
      <c r="F14" s="59">
        <f t="shared" si="6"/>
        <v>1025.4706404031247</v>
      </c>
      <c r="G14" s="59">
        <f t="shared" si="6"/>
        <v>1040.8527000091715</v>
      </c>
      <c r="H14" s="59">
        <f t="shared" si="6"/>
        <v>1056.4654905093087</v>
      </c>
      <c r="I14" s="59">
        <f t="shared" si="6"/>
        <v>1072.3124728669482</v>
      </c>
      <c r="J14" s="35">
        <f t="shared" si="6"/>
        <v>1088.3971599599522</v>
      </c>
      <c r="K14" s="35">
        <f t="shared" si="6"/>
        <v>1104.7231173593511</v>
      </c>
      <c r="L14" s="35">
        <f t="shared" si="6"/>
        <v>1121.2939641197415</v>
      </c>
    </row>
    <row r="15" spans="1:12">
      <c r="A15" s="254" t="s">
        <v>65</v>
      </c>
      <c r="B15" s="254"/>
      <c r="C15" s="200">
        <f>'26년 총원가 배분'!X58</f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9">
        <v>0</v>
      </c>
      <c r="K15" s="19">
        <v>0</v>
      </c>
      <c r="L15" s="19">
        <v>0</v>
      </c>
    </row>
    <row r="16" spans="1:12">
      <c r="A16" s="254" t="s">
        <v>66</v>
      </c>
      <c r="B16" s="254"/>
      <c r="C16" s="200">
        <f>'26년 총원가 배분'!X59</f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9">
        <v>0</v>
      </c>
      <c r="K16" s="19">
        <v>0</v>
      </c>
      <c r="L16" s="19">
        <v>0</v>
      </c>
    </row>
    <row r="17" spans="1:13">
      <c r="A17" s="266" t="s">
        <v>34</v>
      </c>
      <c r="B17" s="210" t="s">
        <v>81</v>
      </c>
      <c r="C17" s="50">
        <f>'26년 총원가 배분'!X60</f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</row>
    <row r="18" spans="1:13">
      <c r="A18" s="267"/>
      <c r="B18" s="17" t="s">
        <v>64</v>
      </c>
      <c r="C18" s="200">
        <f>'26년 총원가 배분'!X61</f>
        <v>1</v>
      </c>
      <c r="D18" s="10">
        <f>$D$28*1.015^(D4-25)</f>
        <v>81.387774999999976</v>
      </c>
      <c r="E18" s="10">
        <f t="shared" ref="E18:L18" si="7">$D$28*1.015^(E4-25)</f>
        <v>82.608591624999974</v>
      </c>
      <c r="F18" s="10">
        <f t="shared" si="7"/>
        <v>83.847720499374958</v>
      </c>
      <c r="G18" s="10">
        <f t="shared" si="7"/>
        <v>85.10543630686557</v>
      </c>
      <c r="H18" s="10">
        <f t="shared" si="7"/>
        <v>86.382017851468532</v>
      </c>
      <c r="I18" s="10">
        <f t="shared" si="7"/>
        <v>87.677748119240547</v>
      </c>
      <c r="J18" s="10">
        <f t="shared" si="7"/>
        <v>88.992914341029149</v>
      </c>
      <c r="K18" s="10">
        <f t="shared" si="7"/>
        <v>90.327808056144576</v>
      </c>
      <c r="L18" s="10">
        <f t="shared" si="7"/>
        <v>91.682725176986736</v>
      </c>
    </row>
    <row r="19" spans="1:13">
      <c r="A19" s="37" t="s">
        <v>102</v>
      </c>
      <c r="B19" s="37" t="s">
        <v>103</v>
      </c>
      <c r="C19" s="200">
        <f>'26년 총원가 배분'!X62</f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9"/>
      <c r="K19" s="19"/>
      <c r="L19" s="19"/>
    </row>
    <row r="20" spans="1:13">
      <c r="A20" s="254" t="s">
        <v>63</v>
      </c>
      <c r="B20" s="254"/>
      <c r="C20" s="200">
        <f>'26년 총원가 배분'!X63</f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9"/>
      <c r="K20" s="19"/>
      <c r="L20" s="19"/>
    </row>
    <row r="21" spans="1:13">
      <c r="A21" s="254" t="s">
        <v>61</v>
      </c>
      <c r="B21" s="210" t="s">
        <v>38</v>
      </c>
      <c r="C21" s="50">
        <f>'26년 총원가 배분'!X64</f>
        <v>0</v>
      </c>
      <c r="D21" s="19"/>
      <c r="E21" s="19"/>
      <c r="F21" s="19"/>
      <c r="G21" s="19"/>
      <c r="H21" s="19"/>
      <c r="I21" s="19"/>
      <c r="J21" s="19">
        <v>0</v>
      </c>
      <c r="K21" s="19">
        <v>0</v>
      </c>
      <c r="L21" s="19">
        <v>0</v>
      </c>
    </row>
    <row r="22" spans="1:13">
      <c r="A22" s="254"/>
      <c r="B22" s="17" t="s">
        <v>39</v>
      </c>
      <c r="C22" s="200">
        <f>'26년 총원가 배분'!X65</f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9"/>
      <c r="K22" s="19"/>
      <c r="L22" s="19"/>
    </row>
    <row r="23" spans="1:13">
      <c r="A23" s="18" t="s">
        <v>67</v>
      </c>
      <c r="B23" s="18" t="s">
        <v>37</v>
      </c>
      <c r="C23" s="200">
        <f>'26년 총원가 배분'!X66</f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9"/>
      <c r="K23" s="19"/>
      <c r="L23" s="19"/>
    </row>
    <row r="24" spans="1:13">
      <c r="A24" s="257" t="s">
        <v>78</v>
      </c>
      <c r="B24" s="257"/>
      <c r="C24" s="14">
        <f>SUM(C15:C23)</f>
        <v>1</v>
      </c>
      <c r="D24" s="14">
        <f t="shared" ref="D24:L24" si="8">SUM(D15:D23)</f>
        <v>81.387774999999976</v>
      </c>
      <c r="E24" s="14">
        <f t="shared" si="8"/>
        <v>82.608591624999974</v>
      </c>
      <c r="F24" s="14">
        <f t="shared" si="8"/>
        <v>83.847720499374958</v>
      </c>
      <c r="G24" s="14">
        <f t="shared" si="8"/>
        <v>85.10543630686557</v>
      </c>
      <c r="H24" s="14">
        <f t="shared" si="8"/>
        <v>86.382017851468532</v>
      </c>
      <c r="I24" s="14">
        <f t="shared" si="8"/>
        <v>87.677748119240547</v>
      </c>
      <c r="J24" s="14">
        <f t="shared" si="8"/>
        <v>88.992914341029149</v>
      </c>
      <c r="K24" s="14">
        <f t="shared" si="8"/>
        <v>90.327808056144576</v>
      </c>
      <c r="L24" s="14">
        <f t="shared" si="8"/>
        <v>91.682725176986736</v>
      </c>
      <c r="M24" s="7"/>
    </row>
    <row r="25" spans="1:13">
      <c r="A25" s="222" t="s">
        <v>282</v>
      </c>
      <c r="B25" s="222" t="s">
        <v>354</v>
      </c>
      <c r="C25" s="223">
        <f>'26년 총원가 배분'!X67</f>
        <v>0</v>
      </c>
      <c r="D25" s="223">
        <f>투자비!V65</f>
        <v>262</v>
      </c>
      <c r="E25" s="236">
        <f>D$25*1.015^(E$4-D$4)</f>
        <v>265.92999999999995</v>
      </c>
      <c r="F25" s="236">
        <f t="shared" ref="F25:L25" si="9">E$25*1.015^(F$4-E$4)</f>
        <v>269.91894999999994</v>
      </c>
      <c r="G25" s="236">
        <f t="shared" si="9"/>
        <v>273.96773424999992</v>
      </c>
      <c r="H25" s="236">
        <f t="shared" si="9"/>
        <v>278.07725026374987</v>
      </c>
      <c r="I25" s="236">
        <f t="shared" si="9"/>
        <v>282.24840901770608</v>
      </c>
      <c r="J25" s="236">
        <f t="shared" si="9"/>
        <v>286.48213515297164</v>
      </c>
      <c r="K25" s="236">
        <f t="shared" si="9"/>
        <v>290.77936718026621</v>
      </c>
      <c r="L25" s="236">
        <f t="shared" si="9"/>
        <v>295.14105768797015</v>
      </c>
    </row>
    <row r="26" spans="1:1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>
      <c r="A27" s="3"/>
      <c r="B27" s="271"/>
      <c r="C27" s="271"/>
      <c r="D27" s="15"/>
      <c r="E27" s="15"/>
      <c r="F27" s="15"/>
      <c r="G27" s="15"/>
      <c r="H27" s="15"/>
      <c r="I27" s="7"/>
      <c r="J27" s="7"/>
      <c r="K27" s="7"/>
      <c r="L27" s="7"/>
      <c r="M27" s="7"/>
    </row>
    <row r="28" spans="1:13">
      <c r="C28" t="s">
        <v>247</v>
      </c>
      <c r="D28">
        <v>79</v>
      </c>
    </row>
  </sheetData>
  <mergeCells count="11">
    <mergeCell ref="A21:A22"/>
    <mergeCell ref="A24:B24"/>
    <mergeCell ref="B27:C27"/>
    <mergeCell ref="A4:B4"/>
    <mergeCell ref="A5:B5"/>
    <mergeCell ref="A15:B15"/>
    <mergeCell ref="A16:B16"/>
    <mergeCell ref="A20:B20"/>
    <mergeCell ref="A14:B14"/>
    <mergeCell ref="A17:A18"/>
    <mergeCell ref="A6:A12"/>
  </mergeCells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rgb="FF92D050"/>
  </sheetPr>
  <dimension ref="A3:M28"/>
  <sheetViews>
    <sheetView zoomScale="85" zoomScaleNormal="85" workbookViewId="0">
      <selection activeCell="D25" sqref="D25"/>
    </sheetView>
  </sheetViews>
  <sheetFormatPr defaultRowHeight="16.899999999999999"/>
  <cols>
    <col min="1" max="1" width="12.625" customWidth="1"/>
    <col min="2" max="2" width="21.875" customWidth="1"/>
    <col min="3" max="4" width="15.875" customWidth="1"/>
    <col min="5" max="5" width="18.75" customWidth="1"/>
    <col min="6" max="6" width="15" customWidth="1"/>
    <col min="7" max="7" width="17.625" customWidth="1"/>
    <col min="8" max="8" width="16.875" customWidth="1"/>
    <col min="9" max="9" width="16.5" customWidth="1"/>
    <col min="10" max="12" width="15.625" customWidth="1"/>
  </cols>
  <sheetData>
    <row r="3" spans="1:12">
      <c r="C3" s="20"/>
      <c r="D3" s="20"/>
      <c r="E3" s="20"/>
      <c r="F3" s="20"/>
      <c r="G3" s="20"/>
      <c r="L3" s="9" t="s">
        <v>77</v>
      </c>
    </row>
    <row r="4" spans="1:12">
      <c r="A4" s="254" t="s">
        <v>92</v>
      </c>
      <c r="B4" s="254"/>
      <c r="C4" s="17">
        <v>26</v>
      </c>
      <c r="D4" s="17">
        <v>27</v>
      </c>
      <c r="E4" s="17">
        <v>28</v>
      </c>
      <c r="F4" s="17">
        <v>29</v>
      </c>
      <c r="G4" s="17">
        <v>30</v>
      </c>
      <c r="H4" s="17">
        <v>31</v>
      </c>
      <c r="I4" s="37">
        <v>32</v>
      </c>
      <c r="J4" s="63">
        <v>33</v>
      </c>
      <c r="K4" s="140">
        <v>34</v>
      </c>
      <c r="L4" s="199">
        <v>35</v>
      </c>
    </row>
    <row r="5" spans="1:12">
      <c r="A5" s="254" t="s">
        <v>68</v>
      </c>
      <c r="B5" s="254"/>
      <c r="C5" s="37" t="s">
        <v>76</v>
      </c>
      <c r="D5" s="37" t="s">
        <v>76</v>
      </c>
      <c r="E5" s="37" t="s">
        <v>76</v>
      </c>
      <c r="F5" s="37" t="s">
        <v>76</v>
      </c>
      <c r="G5" s="37" t="s">
        <v>76</v>
      </c>
      <c r="H5" s="37" t="s">
        <v>76</v>
      </c>
      <c r="I5" s="37" t="s">
        <v>76</v>
      </c>
      <c r="J5" s="63" t="s">
        <v>132</v>
      </c>
      <c r="K5" s="140" t="s">
        <v>76</v>
      </c>
      <c r="L5" s="199" t="s">
        <v>76</v>
      </c>
    </row>
    <row r="6" spans="1:12">
      <c r="A6" s="266" t="s">
        <v>93</v>
      </c>
      <c r="B6" s="6" t="s">
        <v>94</v>
      </c>
      <c r="C6" s="200">
        <f>'26년 총원가 배분'!Y48</f>
        <v>0</v>
      </c>
      <c r="D6" s="200">
        <f>$C6*1.015^(D$4-$C$4)</f>
        <v>0</v>
      </c>
      <c r="E6" s="200">
        <f t="shared" ref="E6:L7" si="0">$C6*1.015^(E$4-$C$4)</f>
        <v>0</v>
      </c>
      <c r="F6" s="200">
        <f t="shared" si="0"/>
        <v>0</v>
      </c>
      <c r="G6" s="200">
        <f t="shared" si="0"/>
        <v>0</v>
      </c>
      <c r="H6" s="200">
        <f t="shared" si="0"/>
        <v>0</v>
      </c>
      <c r="I6" s="200">
        <f t="shared" si="0"/>
        <v>0</v>
      </c>
      <c r="J6" s="200">
        <f t="shared" si="0"/>
        <v>0</v>
      </c>
      <c r="K6" s="200">
        <f t="shared" si="0"/>
        <v>0</v>
      </c>
      <c r="L6" s="200">
        <f t="shared" si="0"/>
        <v>0</v>
      </c>
    </row>
    <row r="7" spans="1:12">
      <c r="A7" s="270"/>
      <c r="B7" s="6" t="s">
        <v>95</v>
      </c>
      <c r="C7" s="200">
        <f>'26년 총원가 배분'!Y49</f>
        <v>165</v>
      </c>
      <c r="D7" s="209">
        <f>$C7*1.015^(D$4-$C$4)</f>
        <v>167.47499999999999</v>
      </c>
      <c r="E7" s="209">
        <f t="shared" si="0"/>
        <v>169.98712499999996</v>
      </c>
      <c r="F7" s="209">
        <f t="shared" si="0"/>
        <v>172.53693187499994</v>
      </c>
      <c r="G7" s="209">
        <f t="shared" si="0"/>
        <v>175.12498585312491</v>
      </c>
      <c r="H7" s="209">
        <f t="shared" si="0"/>
        <v>177.75186064092176</v>
      </c>
      <c r="I7" s="209">
        <f t="shared" si="0"/>
        <v>180.41813855053556</v>
      </c>
      <c r="J7" s="209">
        <f t="shared" si="0"/>
        <v>183.12441062879356</v>
      </c>
      <c r="K7" s="209">
        <f t="shared" si="0"/>
        <v>185.87127678822543</v>
      </c>
      <c r="L7" s="209">
        <f t="shared" si="0"/>
        <v>188.65934594004881</v>
      </c>
    </row>
    <row r="8" spans="1:12">
      <c r="A8" s="270"/>
      <c r="B8" s="6" t="s">
        <v>96</v>
      </c>
      <c r="C8" s="200">
        <f>'26년 총원가 배분'!Y50</f>
        <v>40</v>
      </c>
      <c r="D8" s="143">
        <f>$C8*1.015^(D$4-25)</f>
        <v>41.208999999999989</v>
      </c>
      <c r="E8" s="225">
        <f t="shared" ref="E8:L8" si="1">$C8*1.015^(E$4-25)</f>
        <v>41.827134999999984</v>
      </c>
      <c r="F8" s="225">
        <f t="shared" si="1"/>
        <v>42.454542024999981</v>
      </c>
      <c r="G8" s="225">
        <f t="shared" si="1"/>
        <v>43.091360155374971</v>
      </c>
      <c r="H8" s="225">
        <f t="shared" si="1"/>
        <v>43.737730557705589</v>
      </c>
      <c r="I8" s="225">
        <f t="shared" si="1"/>
        <v>44.393796516071163</v>
      </c>
      <c r="J8" s="225">
        <f t="shared" si="1"/>
        <v>45.059703463812227</v>
      </c>
      <c r="K8" s="225">
        <f t="shared" si="1"/>
        <v>45.735599015769409</v>
      </c>
      <c r="L8" s="225">
        <f t="shared" si="1"/>
        <v>46.421633001005944</v>
      </c>
    </row>
    <row r="9" spans="1:12">
      <c r="A9" s="270"/>
      <c r="B9" s="6" t="s">
        <v>97</v>
      </c>
      <c r="C9" s="200">
        <f>'26년 총원가 배분'!Y51</f>
        <v>93</v>
      </c>
      <c r="D9" s="200">
        <f>$C9*1.015^(D$4-$C$4)</f>
        <v>94.394999999999996</v>
      </c>
      <c r="E9" s="200">
        <f t="shared" ref="E9:L9" si="2">$C9*1.015^(E$4-$C$4)</f>
        <v>95.810924999999969</v>
      </c>
      <c r="F9" s="200">
        <f t="shared" si="2"/>
        <v>97.248088874999965</v>
      </c>
      <c r="G9" s="200">
        <f t="shared" si="2"/>
        <v>98.706810208124949</v>
      </c>
      <c r="H9" s="200">
        <f t="shared" si="2"/>
        <v>100.18741236124681</v>
      </c>
      <c r="I9" s="200">
        <f t="shared" si="2"/>
        <v>101.69022354666549</v>
      </c>
      <c r="J9" s="200">
        <f t="shared" si="2"/>
        <v>103.21557689986545</v>
      </c>
      <c r="K9" s="200">
        <f t="shared" si="2"/>
        <v>104.76381055336343</v>
      </c>
      <c r="L9" s="200">
        <f t="shared" si="2"/>
        <v>106.33526771166387</v>
      </c>
    </row>
    <row r="10" spans="1:12">
      <c r="A10" s="270"/>
      <c r="B10" s="6" t="s">
        <v>281</v>
      </c>
      <c r="C10" s="200">
        <f>'26년 총원가 배분'!Y52</f>
        <v>28</v>
      </c>
      <c r="D10" s="200">
        <f>$C10*1.015^(D$4-26)</f>
        <v>28.419999999999998</v>
      </c>
      <c r="E10" s="200">
        <f t="shared" ref="E10:L10" si="3">$C10*1.015^(E$4-26)</f>
        <v>28.846299999999992</v>
      </c>
      <c r="F10" s="200">
        <f t="shared" si="3"/>
        <v>29.278994499999989</v>
      </c>
      <c r="G10" s="200">
        <f t="shared" si="3"/>
        <v>29.718179417499982</v>
      </c>
      <c r="H10" s="200">
        <f t="shared" si="3"/>
        <v>30.16395210876248</v>
      </c>
      <c r="I10" s="200">
        <f t="shared" si="3"/>
        <v>30.61641139039391</v>
      </c>
      <c r="J10" s="200">
        <f t="shared" si="3"/>
        <v>31.075657561249816</v>
      </c>
      <c r="K10" s="200">
        <f t="shared" si="3"/>
        <v>31.541792424668561</v>
      </c>
      <c r="L10" s="200">
        <f t="shared" si="3"/>
        <v>32.014919311038582</v>
      </c>
    </row>
    <row r="11" spans="1:12">
      <c r="A11" s="270"/>
      <c r="B11" s="201" t="s">
        <v>351</v>
      </c>
      <c r="C11" s="200">
        <f>'26년 총원가 배분'!Y53</f>
        <v>1</v>
      </c>
      <c r="D11" s="200">
        <f>4*1.015^(D$4-$C$4)</f>
        <v>4.0599999999999996</v>
      </c>
      <c r="E11" s="200">
        <f>$D11*1.015^(E$4-$C$4)</f>
        <v>4.1827134999999984</v>
      </c>
      <c r="F11" s="223">
        <f t="shared" ref="F11:L12" si="4">$D11*1.015^(F$4-$C$4)</f>
        <v>4.2454542024999977</v>
      </c>
      <c r="G11" s="223">
        <f t="shared" si="4"/>
        <v>4.3091360155374971</v>
      </c>
      <c r="H11" s="223">
        <f t="shared" si="4"/>
        <v>4.3737730557705587</v>
      </c>
      <c r="I11" s="223">
        <f t="shared" si="4"/>
        <v>4.4393796516071165</v>
      </c>
      <c r="J11" s="223">
        <f t="shared" si="4"/>
        <v>4.5059703463812228</v>
      </c>
      <c r="K11" s="223">
        <f t="shared" si="4"/>
        <v>4.5735599015769406</v>
      </c>
      <c r="L11" s="223">
        <f t="shared" si="4"/>
        <v>4.6421633001005942</v>
      </c>
    </row>
    <row r="12" spans="1:12">
      <c r="A12" s="267"/>
      <c r="B12" s="201" t="s">
        <v>352</v>
      </c>
      <c r="C12" s="200">
        <f>'26년 총원가 배분'!Y54</f>
        <v>0</v>
      </c>
      <c r="D12" s="200">
        <f>1*1.015^(D$4-$C$4)</f>
        <v>1.0149999999999999</v>
      </c>
      <c r="E12" s="200">
        <f>$D12*1.015^(E$4-$C$4)</f>
        <v>1.0456783749999996</v>
      </c>
      <c r="F12" s="223">
        <f t="shared" si="4"/>
        <v>1.0613635506249994</v>
      </c>
      <c r="G12" s="223">
        <f t="shared" si="4"/>
        <v>1.0772840038843743</v>
      </c>
      <c r="H12" s="223">
        <f t="shared" si="4"/>
        <v>1.0934432639426397</v>
      </c>
      <c r="I12" s="223">
        <f t="shared" si="4"/>
        <v>1.1098449129017791</v>
      </c>
      <c r="J12" s="223">
        <f t="shared" si="4"/>
        <v>1.1264925865953057</v>
      </c>
      <c r="K12" s="223">
        <f t="shared" si="4"/>
        <v>1.1433899753942351</v>
      </c>
      <c r="L12" s="223">
        <f t="shared" si="4"/>
        <v>1.1605408250251485</v>
      </c>
    </row>
    <row r="13" spans="1:12">
      <c r="A13" s="6" t="s">
        <v>98</v>
      </c>
      <c r="B13" s="6" t="s">
        <v>99</v>
      </c>
      <c r="C13" s="200">
        <f>'26년 총원가 배분'!Y55</f>
        <v>51</v>
      </c>
      <c r="D13" s="209">
        <f>$C13*1.015^(D$4-$C$4)</f>
        <v>51.764999999999993</v>
      </c>
      <c r="E13" s="209">
        <f t="shared" ref="E13:L13" si="5">$C13*1.015^(E$4-$C$4)</f>
        <v>52.541474999999984</v>
      </c>
      <c r="F13" s="209">
        <f t="shared" si="5"/>
        <v>53.329597124999978</v>
      </c>
      <c r="G13" s="209">
        <f t="shared" si="5"/>
        <v>54.129541081874969</v>
      </c>
      <c r="H13" s="209">
        <f t="shared" si="5"/>
        <v>54.94148419810309</v>
      </c>
      <c r="I13" s="209">
        <f t="shared" si="5"/>
        <v>55.765606461074626</v>
      </c>
      <c r="J13" s="209">
        <f t="shared" si="5"/>
        <v>56.602090557990735</v>
      </c>
      <c r="K13" s="209">
        <f t="shared" si="5"/>
        <v>57.451121916360592</v>
      </c>
      <c r="L13" s="209">
        <f t="shared" si="5"/>
        <v>58.312888745105994</v>
      </c>
    </row>
    <row r="14" spans="1:12">
      <c r="A14" s="268" t="s">
        <v>119</v>
      </c>
      <c r="B14" s="269"/>
      <c r="C14" s="143">
        <f>SUM(C6:C13)</f>
        <v>378</v>
      </c>
      <c r="D14" s="223">
        <f>SUM(D6:D13)</f>
        <v>388.33899999999994</v>
      </c>
      <c r="E14" s="223">
        <f t="shared" ref="E14:L14" si="6">SUM(E6:E13)</f>
        <v>394.24135187499985</v>
      </c>
      <c r="F14" s="223">
        <f t="shared" si="6"/>
        <v>400.15497215312485</v>
      </c>
      <c r="G14" s="223">
        <f t="shared" si="6"/>
        <v>406.15729673542165</v>
      </c>
      <c r="H14" s="223">
        <f t="shared" si="6"/>
        <v>412.24965618645291</v>
      </c>
      <c r="I14" s="223">
        <f t="shared" si="6"/>
        <v>418.43340102924969</v>
      </c>
      <c r="J14" s="223">
        <f t="shared" si="6"/>
        <v>424.70990204468836</v>
      </c>
      <c r="K14" s="223">
        <f t="shared" si="6"/>
        <v>431.08055057535864</v>
      </c>
      <c r="L14" s="223">
        <f t="shared" si="6"/>
        <v>437.54675883398897</v>
      </c>
    </row>
    <row r="15" spans="1:12">
      <c r="A15" s="254" t="s">
        <v>65</v>
      </c>
      <c r="B15" s="254"/>
      <c r="C15" s="200">
        <f>'26년 총원가 배분'!Y58</f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9">
        <v>0</v>
      </c>
      <c r="K15" s="19">
        <v>0</v>
      </c>
      <c r="L15" s="19">
        <v>0</v>
      </c>
    </row>
    <row r="16" spans="1:12">
      <c r="A16" s="254" t="s">
        <v>66</v>
      </c>
      <c r="B16" s="254"/>
      <c r="C16" s="200">
        <f>'26년 총원가 배분'!Y59</f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9">
        <v>0</v>
      </c>
      <c r="K16" s="19">
        <v>0</v>
      </c>
      <c r="L16" s="19">
        <v>0</v>
      </c>
    </row>
    <row r="17" spans="1:13">
      <c r="A17" s="266" t="s">
        <v>34</v>
      </c>
      <c r="B17" s="210" t="s">
        <v>81</v>
      </c>
      <c r="C17" s="50">
        <f>'26년 총원가 배분'!Y60</f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</row>
    <row r="18" spans="1:13">
      <c r="A18" s="267"/>
      <c r="B18" s="17" t="s">
        <v>64</v>
      </c>
      <c r="C18" s="200">
        <f>'26년 총원가 배분'!Y61</f>
        <v>6</v>
      </c>
      <c r="D18" s="10">
        <f>$D$28*1.015^(D4-25)</f>
        <v>9.2720249999999975</v>
      </c>
      <c r="E18" s="10">
        <f t="shared" ref="E18:L18" si="7">$D$28*1.015^(E4-25)</f>
        <v>9.4111053749999964</v>
      </c>
      <c r="F18" s="10">
        <f t="shared" si="7"/>
        <v>9.5522719556249953</v>
      </c>
      <c r="G18" s="10">
        <f t="shared" si="7"/>
        <v>9.6955560349593686</v>
      </c>
      <c r="H18" s="10">
        <f t="shared" si="7"/>
        <v>9.8409893754837565</v>
      </c>
      <c r="I18" s="10">
        <f t="shared" si="7"/>
        <v>9.9886042161160127</v>
      </c>
      <c r="J18" s="10">
        <f t="shared" si="7"/>
        <v>10.138433279357752</v>
      </c>
      <c r="K18" s="10">
        <f t="shared" si="7"/>
        <v>10.290509778548117</v>
      </c>
      <c r="L18" s="10">
        <f t="shared" si="7"/>
        <v>10.444867425226336</v>
      </c>
    </row>
    <row r="19" spans="1:13">
      <c r="A19" s="37" t="s">
        <v>102</v>
      </c>
      <c r="B19" s="37" t="s">
        <v>103</v>
      </c>
      <c r="C19" s="200">
        <f>'26년 총원가 배분'!Y62</f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9">
        <v>0</v>
      </c>
      <c r="K19" s="19">
        <v>0</v>
      </c>
      <c r="L19" s="19">
        <v>0</v>
      </c>
    </row>
    <row r="20" spans="1:13">
      <c r="A20" s="254" t="s">
        <v>63</v>
      </c>
      <c r="B20" s="254"/>
      <c r="C20" s="200">
        <f>'26년 총원가 배분'!Y63</f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9">
        <v>0</v>
      </c>
      <c r="K20" s="19">
        <v>0</v>
      </c>
      <c r="L20" s="19">
        <v>0</v>
      </c>
    </row>
    <row r="21" spans="1:13">
      <c r="A21" s="254" t="s">
        <v>61</v>
      </c>
      <c r="B21" s="210" t="s">
        <v>38</v>
      </c>
      <c r="C21" s="50">
        <f>'26년 총원가 배분'!Y64</f>
        <v>0</v>
      </c>
      <c r="D21" s="19"/>
      <c r="E21" s="19"/>
      <c r="F21" s="19"/>
      <c r="G21" s="19"/>
      <c r="H21" s="19"/>
      <c r="I21" s="19"/>
      <c r="J21" s="19">
        <v>0</v>
      </c>
      <c r="K21" s="19">
        <v>0</v>
      </c>
      <c r="L21" s="19">
        <v>0</v>
      </c>
    </row>
    <row r="22" spans="1:13">
      <c r="A22" s="254"/>
      <c r="B22" s="17" t="s">
        <v>39</v>
      </c>
      <c r="C22" s="200">
        <f>'26년 총원가 배분'!Y65</f>
        <v>0</v>
      </c>
      <c r="D22" s="10">
        <v>0</v>
      </c>
      <c r="E22" s="10"/>
      <c r="F22" s="10">
        <v>0</v>
      </c>
      <c r="G22" s="10">
        <v>0</v>
      </c>
      <c r="H22" s="10">
        <v>0</v>
      </c>
      <c r="I22" s="10">
        <v>0</v>
      </c>
      <c r="J22" s="19">
        <v>0</v>
      </c>
      <c r="K22" s="19">
        <v>0</v>
      </c>
      <c r="L22" s="19">
        <v>0</v>
      </c>
    </row>
    <row r="23" spans="1:13">
      <c r="A23" s="18" t="s">
        <v>67</v>
      </c>
      <c r="B23" s="18" t="s">
        <v>37</v>
      </c>
      <c r="C23" s="200">
        <f>'26년 총원가 배분'!Y66</f>
        <v>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9">
        <v>0</v>
      </c>
      <c r="K23" s="19">
        <v>0</v>
      </c>
      <c r="L23" s="19">
        <v>0</v>
      </c>
    </row>
    <row r="24" spans="1:13">
      <c r="A24" s="257" t="s">
        <v>78</v>
      </c>
      <c r="B24" s="257"/>
      <c r="C24" s="36">
        <f>SUM(C15:C23)</f>
        <v>11</v>
      </c>
      <c r="D24" s="36">
        <f t="shared" ref="D24:L24" si="8">SUM(D15:D23)</f>
        <v>9.2720249999999975</v>
      </c>
      <c r="E24" s="36">
        <f t="shared" si="8"/>
        <v>9.4111053749999964</v>
      </c>
      <c r="F24" s="36">
        <f t="shared" si="8"/>
        <v>9.5522719556249953</v>
      </c>
      <c r="G24" s="36">
        <f t="shared" si="8"/>
        <v>9.6955560349593686</v>
      </c>
      <c r="H24" s="36">
        <f t="shared" si="8"/>
        <v>9.8409893754837565</v>
      </c>
      <c r="I24" s="36">
        <f t="shared" si="8"/>
        <v>9.9886042161160127</v>
      </c>
      <c r="J24" s="36">
        <f t="shared" si="8"/>
        <v>10.138433279357752</v>
      </c>
      <c r="K24" s="36">
        <f t="shared" si="8"/>
        <v>10.290509778548117</v>
      </c>
      <c r="L24" s="36">
        <f t="shared" si="8"/>
        <v>10.444867425226336</v>
      </c>
      <c r="M24" s="7"/>
    </row>
    <row r="25" spans="1:13">
      <c r="A25" s="222" t="s">
        <v>282</v>
      </c>
      <c r="B25" s="222" t="s">
        <v>354</v>
      </c>
      <c r="C25" s="223">
        <f>'26년 총원가 배분'!Y67</f>
        <v>0</v>
      </c>
      <c r="D25" s="223">
        <f>투자비!W65</f>
        <v>0</v>
      </c>
      <c r="E25" s="236">
        <f>D$25*1.015^(E$4-D$4)</f>
        <v>0</v>
      </c>
      <c r="F25" s="236">
        <f t="shared" ref="F25:L25" si="9">E$25*1.015^(F$4-E$4)</f>
        <v>0</v>
      </c>
      <c r="G25" s="236">
        <f t="shared" si="9"/>
        <v>0</v>
      </c>
      <c r="H25" s="236">
        <f t="shared" si="9"/>
        <v>0</v>
      </c>
      <c r="I25" s="236">
        <f t="shared" si="9"/>
        <v>0</v>
      </c>
      <c r="J25" s="236">
        <f t="shared" si="9"/>
        <v>0</v>
      </c>
      <c r="K25" s="236">
        <f t="shared" si="9"/>
        <v>0</v>
      </c>
      <c r="L25" s="236">
        <f t="shared" si="9"/>
        <v>0</v>
      </c>
    </row>
    <row r="26" spans="1:1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8" spans="1:13">
      <c r="C28" t="s">
        <v>247</v>
      </c>
      <c r="D28">
        <v>9</v>
      </c>
    </row>
  </sheetData>
  <mergeCells count="10">
    <mergeCell ref="A21:A22"/>
    <mergeCell ref="A24:B24"/>
    <mergeCell ref="A4:B4"/>
    <mergeCell ref="A5:B5"/>
    <mergeCell ref="A15:B15"/>
    <mergeCell ref="A16:B16"/>
    <mergeCell ref="A20:B20"/>
    <mergeCell ref="A17:A18"/>
    <mergeCell ref="A14:B14"/>
    <mergeCell ref="A6:A12"/>
  </mergeCells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3:AA68"/>
  <sheetViews>
    <sheetView topLeftCell="A37" zoomScale="70" zoomScaleNormal="70" workbookViewId="0">
      <pane xSplit="4" topLeftCell="E1" activePane="topRight" state="frozen"/>
      <selection pane="topRight" activeCell="E60" sqref="E60"/>
    </sheetView>
  </sheetViews>
  <sheetFormatPr defaultRowHeight="16.899999999999999"/>
  <cols>
    <col min="1" max="1" width="15.375" customWidth="1"/>
    <col min="2" max="2" width="12.125" customWidth="1"/>
    <col min="3" max="3" width="19.25" bestFit="1" customWidth="1"/>
    <col min="4" max="4" width="12.375" customWidth="1"/>
    <col min="5" max="13" width="12.75" customWidth="1"/>
    <col min="14" max="14" width="12.75" style="72" customWidth="1"/>
    <col min="15" max="17" width="12.75" customWidth="1"/>
    <col min="18" max="18" width="12.75" style="72" customWidth="1"/>
    <col min="19" max="25" width="12.75" customWidth="1"/>
    <col min="26" max="27" width="12.75" style="72" customWidth="1"/>
  </cols>
  <sheetData>
    <row r="3" spans="1:27">
      <c r="A3" s="272" t="s">
        <v>245</v>
      </c>
      <c r="B3" s="272"/>
      <c r="C3" s="272"/>
      <c r="D3" s="148" t="s">
        <v>271</v>
      </c>
      <c r="E3" s="149" t="s">
        <v>128</v>
      </c>
      <c r="F3" s="149" t="s">
        <v>18</v>
      </c>
      <c r="G3" s="149" t="s">
        <v>19</v>
      </c>
      <c r="H3" s="149" t="s">
        <v>3</v>
      </c>
      <c r="I3" s="149" t="s">
        <v>5</v>
      </c>
      <c r="J3" s="149" t="s">
        <v>20</v>
      </c>
      <c r="K3" s="149" t="s">
        <v>7</v>
      </c>
      <c r="L3" s="149" t="s">
        <v>22</v>
      </c>
      <c r="M3" s="149" t="s">
        <v>23</v>
      </c>
      <c r="N3" s="150" t="s">
        <v>85</v>
      </c>
      <c r="O3" s="149" t="s">
        <v>21</v>
      </c>
      <c r="P3" s="149" t="s">
        <v>24</v>
      </c>
      <c r="Q3" s="149" t="s">
        <v>25</v>
      </c>
      <c r="R3" s="150" t="s">
        <v>85</v>
      </c>
      <c r="S3" s="149" t="s">
        <v>26</v>
      </c>
      <c r="T3" s="149" t="s">
        <v>27</v>
      </c>
      <c r="U3" s="149" t="s">
        <v>28</v>
      </c>
      <c r="V3" s="149" t="s">
        <v>29</v>
      </c>
      <c r="W3" s="149" t="s">
        <v>30</v>
      </c>
      <c r="X3" s="149" t="s">
        <v>31</v>
      </c>
      <c r="Y3" s="149" t="s">
        <v>32</v>
      </c>
      <c r="Z3" s="150" t="s">
        <v>85</v>
      </c>
      <c r="AA3" s="150" t="s">
        <v>129</v>
      </c>
    </row>
    <row r="4" spans="1:27">
      <c r="A4" s="273" t="s">
        <v>241</v>
      </c>
      <c r="B4" s="273"/>
      <c r="C4" s="151" t="s">
        <v>141</v>
      </c>
      <c r="D4" s="152">
        <f>'26년 본사 원가분배'!D48</f>
        <v>242030</v>
      </c>
      <c r="E4" s="152">
        <f>'26년 본사 원가분배'!E48</f>
        <v>242030</v>
      </c>
      <c r="F4" s="152">
        <f>'26년 본사 원가분배'!F48</f>
        <v>0</v>
      </c>
      <c r="G4" s="152">
        <f>'26년 본사 원가분배'!G48</f>
        <v>0</v>
      </c>
      <c r="H4" s="152">
        <f>'26년 본사 원가분배'!H48</f>
        <v>0</v>
      </c>
      <c r="I4" s="152">
        <f>'26년 본사 원가분배'!I48</f>
        <v>0</v>
      </c>
      <c r="J4" s="152">
        <f>'26년 본사 원가분배'!J48</f>
        <v>0</v>
      </c>
      <c r="K4" s="152">
        <f>'26년 본사 원가분배'!K48</f>
        <v>0</v>
      </c>
      <c r="L4" s="152">
        <f>'26년 본사 원가분배'!L48</f>
        <v>0</v>
      </c>
      <c r="M4" s="152">
        <f>'26년 본사 원가분배'!M48</f>
        <v>0</v>
      </c>
      <c r="N4" s="153">
        <f>SUM(E4:M4)</f>
        <v>242030</v>
      </c>
      <c r="O4" s="152">
        <f>'26년 본사 원가분배'!O48</f>
        <v>0</v>
      </c>
      <c r="P4" s="152">
        <f>'26년 본사 원가분배'!P48</f>
        <v>0</v>
      </c>
      <c r="Q4" s="152">
        <f>'26년 본사 원가분배'!Q48</f>
        <v>0</v>
      </c>
      <c r="R4" s="153">
        <f>SUM(O4:Q4)</f>
        <v>0</v>
      </c>
      <c r="S4" s="152">
        <f>'26년 본사 원가분배'!S48</f>
        <v>0</v>
      </c>
      <c r="T4" s="152">
        <f>'26년 본사 원가분배'!T48</f>
        <v>0</v>
      </c>
      <c r="U4" s="152">
        <f>'26년 본사 원가분배'!U48</f>
        <v>0</v>
      </c>
      <c r="V4" s="152">
        <f>'26년 본사 원가분배'!V48</f>
        <v>0</v>
      </c>
      <c r="W4" s="152">
        <f>'26년 본사 원가분배'!W48</f>
        <v>0</v>
      </c>
      <c r="X4" s="152">
        <f>'26년 본사 원가분배'!X48</f>
        <v>0</v>
      </c>
      <c r="Y4" s="152">
        <f>'26년 본사 원가분배'!Y48</f>
        <v>0</v>
      </c>
      <c r="Z4" s="153">
        <f>SUM(S4:Y4)</f>
        <v>0</v>
      </c>
      <c r="AA4" s="153">
        <f>N4+R4+Z4</f>
        <v>242030</v>
      </c>
    </row>
    <row r="5" spans="1:27">
      <c r="A5" s="273"/>
      <c r="B5" s="273"/>
      <c r="C5" s="151" t="s">
        <v>95</v>
      </c>
      <c r="D5" s="152">
        <f>'26년 본사 원가분배'!D49</f>
        <v>1586000</v>
      </c>
      <c r="E5" s="152">
        <f>'26년 본사 원가분배'!E49</f>
        <v>267770</v>
      </c>
      <c r="F5" s="152">
        <f>'26년 본사 원가분배'!F49</f>
        <v>138368</v>
      </c>
      <c r="G5" s="152">
        <f>'26년 본사 원가분배'!G49</f>
        <v>167687</v>
      </c>
      <c r="H5" s="152">
        <f>'26년 본사 원가분배'!H49</f>
        <v>93654</v>
      </c>
      <c r="I5" s="152">
        <f>'26년 본사 원가분배'!I49</f>
        <v>127986</v>
      </c>
      <c r="J5" s="152">
        <f>'26년 본사 원가분배'!J49</f>
        <v>76198</v>
      </c>
      <c r="K5" s="152">
        <f>'26년 본사 원가분배'!K49</f>
        <v>49588</v>
      </c>
      <c r="L5" s="152">
        <f>'26년 본사 원가분배'!L49</f>
        <v>97078</v>
      </c>
      <c r="M5" s="152">
        <f>'26년 본사 원가분배'!M49</f>
        <v>130286</v>
      </c>
      <c r="N5" s="153">
        <f t="shared" ref="N5:N11" si="0">SUM(E5:M5)</f>
        <v>1148615</v>
      </c>
      <c r="O5" s="152">
        <f>'26년 본사 원가분배'!O49</f>
        <v>48270</v>
      </c>
      <c r="P5" s="152">
        <f>'26년 본사 원가분배'!P49</f>
        <v>39260</v>
      </c>
      <c r="Q5" s="152">
        <f>'26년 본사 원가분배'!Q49</f>
        <v>27562</v>
      </c>
      <c r="R5" s="153">
        <f t="shared" ref="R5:R11" si="1">SUM(O5:Q5)</f>
        <v>115092</v>
      </c>
      <c r="S5" s="152">
        <f>'26년 본사 원가분배'!S49</f>
        <v>67904</v>
      </c>
      <c r="T5" s="152">
        <f>'26년 본사 원가분배'!T49</f>
        <v>154676</v>
      </c>
      <c r="U5" s="152">
        <f>'26년 본사 원가분배'!U49</f>
        <v>15202</v>
      </c>
      <c r="V5" s="152">
        <f>'26년 본사 원가분배'!V49</f>
        <v>76577</v>
      </c>
      <c r="W5" s="152">
        <f>'26년 본사 원가분배'!W49</f>
        <v>6132</v>
      </c>
      <c r="X5" s="152">
        <f>'26년 본사 원가분배'!X49</f>
        <v>904</v>
      </c>
      <c r="Y5" s="152">
        <f>'26년 본사 원가분배'!Y49</f>
        <v>895</v>
      </c>
      <c r="Z5" s="153">
        <f t="shared" ref="Z5:Z11" si="2">SUM(S5:Y5)</f>
        <v>322290</v>
      </c>
      <c r="AA5" s="153">
        <f t="shared" ref="AA5:AA11" si="3">N5+R5+Z5</f>
        <v>1585997</v>
      </c>
    </row>
    <row r="6" spans="1:27">
      <c r="A6" s="273"/>
      <c r="B6" s="273"/>
      <c r="C6" s="151" t="s">
        <v>96</v>
      </c>
      <c r="D6" s="152">
        <f>'26년 본사 원가분배'!D50</f>
        <v>42738000</v>
      </c>
      <c r="E6" s="152">
        <f>'26년 본사 원가분배'!E50</f>
        <v>7973612</v>
      </c>
      <c r="F6" s="152">
        <f>'26년 본사 원가분배'!F50</f>
        <v>6159985</v>
      </c>
      <c r="G6" s="152">
        <f>'26년 본사 원가분배'!G50</f>
        <v>5757048</v>
      </c>
      <c r="H6" s="152">
        <f>'26년 본사 원가분배'!H50</f>
        <v>2365794</v>
      </c>
      <c r="I6" s="152">
        <f>'26년 본사 원가분배'!I50</f>
        <v>2456355</v>
      </c>
      <c r="J6" s="152">
        <f>'26년 본사 원가분배'!J50</f>
        <v>1771564</v>
      </c>
      <c r="K6" s="152">
        <f>'26년 본사 원가분배'!K50</f>
        <v>2207600</v>
      </c>
      <c r="L6" s="152">
        <f>'26년 본사 원가분배'!L50</f>
        <v>3652585</v>
      </c>
      <c r="M6" s="152">
        <f>'26년 본사 원가분배'!M50</f>
        <v>3319490</v>
      </c>
      <c r="N6" s="153">
        <f t="shared" si="0"/>
        <v>35664033</v>
      </c>
      <c r="O6" s="152">
        <f>'26년 본사 원가분배'!O50</f>
        <v>702942</v>
      </c>
      <c r="P6" s="152">
        <f>'26년 본사 원가분배'!P50</f>
        <v>1747809</v>
      </c>
      <c r="Q6" s="152">
        <f>'26년 본사 원가분배'!Q50</f>
        <v>1227033</v>
      </c>
      <c r="R6" s="153">
        <f t="shared" si="1"/>
        <v>3677784</v>
      </c>
      <c r="S6" s="152">
        <f>'26년 본사 원가분배'!S50</f>
        <v>1063658</v>
      </c>
      <c r="T6" s="152">
        <f>'26년 본사 원가분배'!T50</f>
        <v>698640</v>
      </c>
      <c r="U6" s="152">
        <f>'26년 본사 원가분배'!U50</f>
        <v>676772</v>
      </c>
      <c r="V6" s="152">
        <f>'26년 본사 원가분배'!V50</f>
        <v>603997</v>
      </c>
      <c r="W6" s="152">
        <f>'26년 본사 원가분배'!W50</f>
        <v>273002</v>
      </c>
      <c r="X6" s="152">
        <f>'26년 본사 원가분배'!X50</f>
        <v>40267</v>
      </c>
      <c r="Y6" s="152">
        <f>'26년 본사 원가분배'!Y50</f>
        <v>39841</v>
      </c>
      <c r="Z6" s="153">
        <f t="shared" si="2"/>
        <v>3396177</v>
      </c>
      <c r="AA6" s="153">
        <f t="shared" si="3"/>
        <v>42737994</v>
      </c>
    </row>
    <row r="7" spans="1:27">
      <c r="A7" s="273"/>
      <c r="B7" s="273"/>
      <c r="C7" s="151" t="s">
        <v>97</v>
      </c>
      <c r="D7" s="152">
        <f>'26년 본사 원가분배'!D51</f>
        <v>409612</v>
      </c>
      <c r="E7" s="152">
        <f>'26년 본사 원가분배'!E51</f>
        <v>39123.142857142855</v>
      </c>
      <c r="F7" s="152">
        <f>'26년 본사 원가분배'!F51</f>
        <v>27988.142857142859</v>
      </c>
      <c r="G7" s="152">
        <f>'26년 본사 원가분배'!G51</f>
        <v>209292.14285714287</v>
      </c>
      <c r="H7" s="152">
        <f>'26년 본사 원가분배'!H51</f>
        <v>12016.142857142857</v>
      </c>
      <c r="I7" s="152">
        <f>'26년 본사 원가분배'!I51</f>
        <v>12397.142857142857</v>
      </c>
      <c r="J7" s="152">
        <f>'26년 본사 원가분배'!J51</f>
        <v>9515.1428571428569</v>
      </c>
      <c r="K7" s="152">
        <f>'26년 본사 원가분배'!K51</f>
        <v>11350.142857142857</v>
      </c>
      <c r="L7" s="152">
        <f>'26년 본사 원가분배'!L51</f>
        <v>17433.142857142859</v>
      </c>
      <c r="M7" s="152">
        <f>'26년 본사 원가분배'!M51</f>
        <v>16031.142857142857</v>
      </c>
      <c r="N7" s="153">
        <f t="shared" si="0"/>
        <v>355146.28571428562</v>
      </c>
      <c r="O7" s="152">
        <f>'26년 본사 원가분배'!O51</f>
        <v>5016.1428571428569</v>
      </c>
      <c r="P7" s="152">
        <f>'26년 본사 원가분배'!P51</f>
        <v>9415.1428571428569</v>
      </c>
      <c r="Q7" s="152">
        <f>'26년 본사 원가분배'!Q51</f>
        <v>9279.2857142857138</v>
      </c>
      <c r="R7" s="153">
        <f t="shared" si="1"/>
        <v>23710.571428571428</v>
      </c>
      <c r="S7" s="152">
        <f>'26년 본사 원가분배'!S51</f>
        <v>8592.2857142857138</v>
      </c>
      <c r="T7" s="152">
        <f>'26년 본사 원가분배'!T51</f>
        <v>4998.1428571428569</v>
      </c>
      <c r="U7" s="152">
        <f>'26년 본사 원가분배'!U51</f>
        <v>4906.1428571428569</v>
      </c>
      <c r="V7" s="152">
        <f>'26년 본사 원가분배'!V51</f>
        <v>4600.1428571428569</v>
      </c>
      <c r="W7" s="152">
        <f>'26년 본사 원가분배'!W51</f>
        <v>3206.1428571428573</v>
      </c>
      <c r="X7" s="152">
        <f>'26년 본사 원가분배'!X51</f>
        <v>2227.1428571428573</v>
      </c>
      <c r="Y7" s="152">
        <f>'26년 본사 원가분배'!Y51</f>
        <v>2225.1428571428573</v>
      </c>
      <c r="Z7" s="153">
        <f t="shared" si="2"/>
        <v>30755.142857142859</v>
      </c>
      <c r="AA7" s="153">
        <f t="shared" si="3"/>
        <v>409611.99999999988</v>
      </c>
    </row>
    <row r="8" spans="1:27">
      <c r="A8" s="273"/>
      <c r="B8" s="273"/>
      <c r="C8" s="151" t="s">
        <v>281</v>
      </c>
      <c r="D8" s="152">
        <f>'26년 본사 원가분배'!D52</f>
        <v>3834544</v>
      </c>
      <c r="E8" s="152">
        <f>'26년 본사 원가분배'!E52</f>
        <v>598748</v>
      </c>
      <c r="F8" s="152">
        <f>'26년 본사 원가분배'!F52</f>
        <v>688828</v>
      </c>
      <c r="G8" s="152">
        <f>'26년 본사 원가분배'!G52</f>
        <v>34908</v>
      </c>
      <c r="H8" s="152">
        <f>'26년 본사 원가분배'!H52</f>
        <v>886348</v>
      </c>
      <c r="I8" s="152">
        <f>'26년 본사 원가분배'!I52</f>
        <v>196894</v>
      </c>
      <c r="J8" s="152">
        <f>'26년 본사 원가분배'!J52</f>
        <v>10742</v>
      </c>
      <c r="K8" s="152">
        <f>'26년 본사 원가분배'!K52</f>
        <v>351799</v>
      </c>
      <c r="L8" s="152">
        <f>'26년 본사 원가분배'!L52</f>
        <v>22148</v>
      </c>
      <c r="M8" s="152">
        <f>'26년 본사 원가분배'!M52</f>
        <v>20128</v>
      </c>
      <c r="N8" s="153">
        <f t="shared" si="0"/>
        <v>2810543</v>
      </c>
      <c r="O8" s="152">
        <f>'26년 본사 원가분배'!O52</f>
        <v>4262</v>
      </c>
      <c r="P8" s="152">
        <f>'26년 본사 원가분배'!P52</f>
        <v>10598</v>
      </c>
      <c r="Q8" s="152">
        <f>'26년 본사 원가분배'!Q52</f>
        <v>7440</v>
      </c>
      <c r="R8" s="153">
        <f t="shared" si="1"/>
        <v>22300</v>
      </c>
      <c r="S8" s="152">
        <f>'26년 본사 원가분배'!S52</f>
        <v>6450</v>
      </c>
      <c r="T8" s="152">
        <f>'26년 본사 원가분배'!T52</f>
        <v>640755</v>
      </c>
      <c r="U8" s="152">
        <f>'26년 본사 원가분배'!U52</f>
        <v>4104</v>
      </c>
      <c r="V8" s="152">
        <f>'26년 본사 원가분배'!V52</f>
        <v>348250</v>
      </c>
      <c r="W8" s="152">
        <f>'26년 본사 원가분배'!W52</f>
        <v>1655</v>
      </c>
      <c r="X8" s="152">
        <f>'26년 본사 원가분배'!X52</f>
        <v>244</v>
      </c>
      <c r="Y8" s="152">
        <f>'26년 본사 원가분배'!Y52</f>
        <v>242</v>
      </c>
      <c r="Z8" s="153">
        <f t="shared" si="2"/>
        <v>1001700</v>
      </c>
      <c r="AA8" s="153">
        <f t="shared" si="3"/>
        <v>3834543</v>
      </c>
    </row>
    <row r="9" spans="1:27">
      <c r="A9" s="274"/>
      <c r="B9" s="274"/>
      <c r="C9" s="206" t="s">
        <v>351</v>
      </c>
      <c r="D9" s="152">
        <f>'26년 본사 원가분배'!D53</f>
        <v>1500000</v>
      </c>
      <c r="E9" s="152">
        <f>'26년 본사 원가분배'!E53</f>
        <v>279854</v>
      </c>
      <c r="F9" s="152">
        <f>'26년 본사 원가분배'!F53</f>
        <v>216201</v>
      </c>
      <c r="G9" s="152">
        <f>'26년 본사 원가분배'!G53</f>
        <v>202058</v>
      </c>
      <c r="H9" s="152">
        <f>'26년 본사 원가분배'!H53</f>
        <v>83034</v>
      </c>
      <c r="I9" s="152">
        <f>'26년 본사 원가분배'!I53</f>
        <v>86212</v>
      </c>
      <c r="J9" s="152">
        <f>'26년 본사 원가분배'!J53</f>
        <v>62178</v>
      </c>
      <c r="K9" s="152">
        <f>'26년 본사 원가분배'!K53</f>
        <v>77481</v>
      </c>
      <c r="L9" s="152">
        <f>'26년 본사 원가분배'!L53</f>
        <v>128197</v>
      </c>
      <c r="M9" s="152">
        <f>'26년 본사 원가분배'!M53</f>
        <v>116506</v>
      </c>
      <c r="N9" s="153">
        <f t="shared" ref="N9" si="4">SUM(E9:M9)</f>
        <v>1251721</v>
      </c>
      <c r="O9" s="152">
        <f>'26년 본사 원가분배'!O53</f>
        <v>24672</v>
      </c>
      <c r="P9" s="152">
        <f>'26년 본사 원가분배'!P53</f>
        <v>61344</v>
      </c>
      <c r="Q9" s="152">
        <f>'26년 본사 원가분배'!Q53</f>
        <v>43066</v>
      </c>
      <c r="R9" s="153">
        <f t="shared" ref="R9" si="5">SUM(O9:Q9)</f>
        <v>129082</v>
      </c>
      <c r="S9" s="152">
        <f>'26년 본사 원가분배'!S53</f>
        <v>37332</v>
      </c>
      <c r="T9" s="152">
        <f>'26년 본사 원가분배'!T53</f>
        <v>24521</v>
      </c>
      <c r="U9" s="152">
        <f>'26년 본사 원가분배'!U53</f>
        <v>23753</v>
      </c>
      <c r="V9" s="152">
        <f>'26년 본사 원가분배'!V53</f>
        <v>21199</v>
      </c>
      <c r="W9" s="152">
        <f>'26년 본사 원가분배'!W53</f>
        <v>9582</v>
      </c>
      <c r="X9" s="152">
        <f>'26년 본사 원가분배'!X53</f>
        <v>1413</v>
      </c>
      <c r="Y9" s="152">
        <f>'26년 본사 원가분배'!Y53</f>
        <v>1398</v>
      </c>
      <c r="Z9" s="153">
        <f t="shared" ref="Z9" si="6">SUM(S9:Y9)</f>
        <v>119198</v>
      </c>
      <c r="AA9" s="153">
        <f t="shared" ref="AA9" si="7">N9+R9+Z9</f>
        <v>1500001</v>
      </c>
    </row>
    <row r="10" spans="1:27">
      <c r="A10" s="274"/>
      <c r="B10" s="274"/>
      <c r="C10" s="206" t="s">
        <v>352</v>
      </c>
      <c r="D10" s="152">
        <f>'26년 본사 원가분배'!D54</f>
        <v>200000</v>
      </c>
      <c r="E10" s="152">
        <f>'26년 본사 원가분배'!E54</f>
        <v>37314</v>
      </c>
      <c r="F10" s="152">
        <f>'26년 본사 원가분배'!F54</f>
        <v>28827</v>
      </c>
      <c r="G10" s="152">
        <f>'26년 본사 원가분배'!G54</f>
        <v>26941</v>
      </c>
      <c r="H10" s="152">
        <f>'26년 본사 원가분배'!H54</f>
        <v>11071</v>
      </c>
      <c r="I10" s="152">
        <f>'26년 본사 원가분배'!I54</f>
        <v>11495</v>
      </c>
      <c r="J10" s="152">
        <f>'26년 본사 원가분배'!J54</f>
        <v>8290</v>
      </c>
      <c r="K10" s="152">
        <f>'26년 본사 원가분배'!K54</f>
        <v>10331</v>
      </c>
      <c r="L10" s="152">
        <f>'26년 본사 원가분배'!L54</f>
        <v>17093</v>
      </c>
      <c r="M10" s="152">
        <f>'26년 본사 원가분배'!M54</f>
        <v>15534</v>
      </c>
      <c r="N10" s="153">
        <f t="shared" ref="N10" si="8">SUM(E10:M10)</f>
        <v>166896</v>
      </c>
      <c r="O10" s="152">
        <f>'26년 본사 원가분배'!O54</f>
        <v>3290</v>
      </c>
      <c r="P10" s="152">
        <f>'26년 본사 원가분배'!P54</f>
        <v>8179</v>
      </c>
      <c r="Q10" s="152">
        <f>'26년 본사 원가분배'!Q54</f>
        <v>5742</v>
      </c>
      <c r="R10" s="153">
        <f t="shared" ref="R10" si="9">SUM(O10:Q10)</f>
        <v>17211</v>
      </c>
      <c r="S10" s="152">
        <f>'26년 본사 원가분배'!S54</f>
        <v>4978</v>
      </c>
      <c r="T10" s="152">
        <f>'26년 본사 원가분배'!T54</f>
        <v>3269</v>
      </c>
      <c r="U10" s="152">
        <f>'26년 본사 원가분배'!U54</f>
        <v>3167</v>
      </c>
      <c r="V10" s="152">
        <f>'26년 본사 원가분배'!V54</f>
        <v>2827</v>
      </c>
      <c r="W10" s="152">
        <f>'26년 본사 원가분배'!W54</f>
        <v>1278</v>
      </c>
      <c r="X10" s="152">
        <f>'26년 본사 원가분배'!X54</f>
        <v>188</v>
      </c>
      <c r="Y10" s="152">
        <f>'26년 본사 원가분배'!Y54</f>
        <v>186</v>
      </c>
      <c r="Z10" s="153">
        <f t="shared" ref="Z10" si="10">SUM(S10:Y10)</f>
        <v>15893</v>
      </c>
      <c r="AA10" s="153">
        <f t="shared" ref="AA10" si="11">N10+R10+Z10</f>
        <v>200000</v>
      </c>
    </row>
    <row r="11" spans="1:27">
      <c r="A11" s="275"/>
      <c r="B11" s="275"/>
      <c r="C11" s="154" t="s">
        <v>98</v>
      </c>
      <c r="D11" s="155">
        <f>'26년 본사 원가분배'!D55</f>
        <v>1809737</v>
      </c>
      <c r="E11" s="155">
        <f>'26년 본사 원가분배'!E55</f>
        <v>343580</v>
      </c>
      <c r="F11" s="155">
        <f>'26년 본사 원가분배'!F55</f>
        <v>259791</v>
      </c>
      <c r="G11" s="155">
        <f>'26년 본사 원가분배'!G55</f>
        <v>242798</v>
      </c>
      <c r="H11" s="155">
        <f>'26년 본사 원가분배'!H55</f>
        <v>99775</v>
      </c>
      <c r="I11" s="155">
        <f>'26년 본사 원가분배'!I55</f>
        <v>103595</v>
      </c>
      <c r="J11" s="155">
        <f>'26년 본사 원가분배'!J55</f>
        <v>74714</v>
      </c>
      <c r="K11" s="155">
        <f>'26년 본사 원가분배'!K55</f>
        <v>93103</v>
      </c>
      <c r="L11" s="155">
        <f>'26년 본사 원가분배'!L55</f>
        <v>154044</v>
      </c>
      <c r="M11" s="155">
        <f>'26년 본사 원가분배'!M55</f>
        <v>139997</v>
      </c>
      <c r="N11" s="156">
        <f t="shared" si="0"/>
        <v>1511397</v>
      </c>
      <c r="O11" s="155">
        <f>'26년 본사 원가분배'!O55</f>
        <v>29646</v>
      </c>
      <c r="P11" s="155">
        <f>'26년 본사 원가분배'!P55</f>
        <v>73712</v>
      </c>
      <c r="Q11" s="155">
        <f>'26년 본사 원가분배'!Q55</f>
        <v>51749</v>
      </c>
      <c r="R11" s="156">
        <f t="shared" si="1"/>
        <v>155107</v>
      </c>
      <c r="S11" s="155">
        <f>'26년 본사 원가분배'!S55</f>
        <v>44859</v>
      </c>
      <c r="T11" s="155">
        <f>'26년 본사 원가분배'!T55</f>
        <v>29464</v>
      </c>
      <c r="U11" s="155">
        <f>'26년 본사 원가분배'!U55</f>
        <v>28542</v>
      </c>
      <c r="V11" s="155">
        <f>'26년 본사 원가분배'!V55</f>
        <v>25473</v>
      </c>
      <c r="W11" s="155">
        <f>'26년 본사 원가분배'!W55</f>
        <v>11514</v>
      </c>
      <c r="X11" s="155">
        <f>'26년 본사 원가분배'!X55</f>
        <v>1698</v>
      </c>
      <c r="Y11" s="155">
        <f>'26년 본사 원가분배'!Y55</f>
        <v>1680</v>
      </c>
      <c r="Z11" s="156">
        <f t="shared" si="2"/>
        <v>143230</v>
      </c>
      <c r="AA11" s="156">
        <f t="shared" si="3"/>
        <v>1809734</v>
      </c>
    </row>
    <row r="13" spans="1:27">
      <c r="A13" s="272" t="s">
        <v>245</v>
      </c>
      <c r="B13" s="272"/>
      <c r="C13" s="272"/>
      <c r="D13" s="148" t="s">
        <v>271</v>
      </c>
      <c r="E13" s="149" t="s">
        <v>128</v>
      </c>
      <c r="F13" s="149" t="s">
        <v>18</v>
      </c>
      <c r="G13" s="149" t="s">
        <v>19</v>
      </c>
      <c r="H13" s="149" t="s">
        <v>3</v>
      </c>
      <c r="I13" s="149" t="s">
        <v>5</v>
      </c>
      <c r="J13" s="149" t="s">
        <v>20</v>
      </c>
      <c r="K13" s="149" t="s">
        <v>7</v>
      </c>
      <c r="L13" s="149" t="s">
        <v>22</v>
      </c>
      <c r="M13" s="149" t="s">
        <v>23</v>
      </c>
      <c r="N13" s="150" t="s">
        <v>85</v>
      </c>
      <c r="O13" s="149" t="s">
        <v>21</v>
      </c>
      <c r="P13" s="149" t="s">
        <v>24</v>
      </c>
      <c r="Q13" s="149" t="s">
        <v>25</v>
      </c>
      <c r="R13" s="150" t="s">
        <v>85</v>
      </c>
      <c r="S13" s="149" t="s">
        <v>26</v>
      </c>
      <c r="T13" s="149" t="s">
        <v>27</v>
      </c>
      <c r="U13" s="149" t="s">
        <v>28</v>
      </c>
      <c r="V13" s="149" t="s">
        <v>29</v>
      </c>
      <c r="W13" s="149" t="s">
        <v>30</v>
      </c>
      <c r="X13" s="149" t="s">
        <v>31</v>
      </c>
      <c r="Y13" s="149" t="s">
        <v>32</v>
      </c>
      <c r="Z13" s="150" t="s">
        <v>85</v>
      </c>
      <c r="AA13" s="150" t="s">
        <v>129</v>
      </c>
    </row>
    <row r="14" spans="1:27">
      <c r="A14" s="276" t="s">
        <v>242</v>
      </c>
      <c r="B14" s="273" t="s">
        <v>65</v>
      </c>
      <c r="C14" s="273"/>
      <c r="D14" s="152">
        <f>'26년 본사 원가분배'!D57</f>
        <v>120000</v>
      </c>
      <c r="E14" s="152">
        <f>'26년 본사 원가분배'!E57</f>
        <v>18738</v>
      </c>
      <c r="F14" s="152">
        <f>'26년 본사 원가분배'!F57</f>
        <v>21557</v>
      </c>
      <c r="G14" s="152">
        <f>'26년 본사 원가분배'!G57</f>
        <v>1092</v>
      </c>
      <c r="H14" s="152">
        <f>'26년 본사 원가분배'!H57</f>
        <v>27738</v>
      </c>
      <c r="I14" s="152">
        <f>'26년 본사 원가분배'!I57</f>
        <v>6162</v>
      </c>
      <c r="J14" s="152">
        <f>'26년 본사 원가분배'!J57</f>
        <v>336</v>
      </c>
      <c r="K14" s="152">
        <f>'26년 본사 원가분배'!K57</f>
        <v>11009</v>
      </c>
      <c r="L14" s="152">
        <f>'26년 본사 원가분배'!L57</f>
        <v>693</v>
      </c>
      <c r="M14" s="152">
        <f>'26년 본사 원가분배'!M57</f>
        <v>630</v>
      </c>
      <c r="N14" s="153">
        <f>SUM(E14:M14)</f>
        <v>87955</v>
      </c>
      <c r="O14" s="152">
        <f>'26년 본사 원가분배'!O57</f>
        <v>133</v>
      </c>
      <c r="P14" s="152">
        <f>'26년 본사 원가분배'!P57</f>
        <v>332</v>
      </c>
      <c r="Q14" s="152">
        <f>'26년 본사 원가분배'!Q57</f>
        <v>233</v>
      </c>
      <c r="R14" s="153">
        <f>SUM(O14:Q14)</f>
        <v>698</v>
      </c>
      <c r="S14" s="152">
        <f>'26년 본사 원가분배'!S57</f>
        <v>202</v>
      </c>
      <c r="T14" s="152">
        <f>'26년 본사 원가분배'!T57</f>
        <v>20052</v>
      </c>
      <c r="U14" s="152">
        <f>'26년 본사 원가분배'!U57</f>
        <v>128</v>
      </c>
      <c r="V14" s="152">
        <f>'26년 본사 원가분배'!V57</f>
        <v>10898</v>
      </c>
      <c r="W14" s="152">
        <f>'26년 본사 원가분배'!W57</f>
        <v>52</v>
      </c>
      <c r="X14" s="152">
        <f>'26년 본사 원가분배'!X57</f>
        <v>8</v>
      </c>
      <c r="Y14" s="152">
        <f>'26년 본사 원가분배'!Y57</f>
        <v>8</v>
      </c>
      <c r="Z14" s="153">
        <f>SUM(S14:Y14)</f>
        <v>31348</v>
      </c>
      <c r="AA14" s="153">
        <f>N14+R14+Z14</f>
        <v>120001</v>
      </c>
    </row>
    <row r="15" spans="1:27">
      <c r="A15" s="277"/>
      <c r="B15" s="273" t="s">
        <v>66</v>
      </c>
      <c r="C15" s="273"/>
      <c r="D15" s="152">
        <f>'26년 본사 원가분배'!D58</f>
        <v>0</v>
      </c>
      <c r="E15" s="152">
        <f>'26년 본사 원가분배'!E58</f>
        <v>0</v>
      </c>
      <c r="F15" s="152">
        <f>'26년 본사 원가분배'!F58</f>
        <v>0</v>
      </c>
      <c r="G15" s="152">
        <f>'26년 본사 원가분배'!G58</f>
        <v>0</v>
      </c>
      <c r="H15" s="152">
        <f>'26년 본사 원가분배'!H58</f>
        <v>0</v>
      </c>
      <c r="I15" s="152">
        <f>'26년 본사 원가분배'!I58</f>
        <v>0</v>
      </c>
      <c r="J15" s="152">
        <f>'26년 본사 원가분배'!J58</f>
        <v>0</v>
      </c>
      <c r="K15" s="152">
        <f>'26년 본사 원가분배'!K58</f>
        <v>0</v>
      </c>
      <c r="L15" s="152">
        <f>'26년 본사 원가분배'!L58</f>
        <v>0</v>
      </c>
      <c r="M15" s="152">
        <f>'26년 본사 원가분배'!M58</f>
        <v>0</v>
      </c>
      <c r="N15" s="153">
        <f t="shared" ref="N15:N22" si="12">SUM(E15:M15)</f>
        <v>0</v>
      </c>
      <c r="O15" s="152">
        <f>'26년 본사 원가분배'!O58</f>
        <v>0</v>
      </c>
      <c r="P15" s="152">
        <f>'26년 본사 원가분배'!P58</f>
        <v>0</v>
      </c>
      <c r="Q15" s="152">
        <f>'26년 본사 원가분배'!Q58</f>
        <v>0</v>
      </c>
      <c r="R15" s="153">
        <f t="shared" ref="R15:R22" si="13">SUM(O15:Q15)</f>
        <v>0</v>
      </c>
      <c r="S15" s="152">
        <f>'26년 본사 원가분배'!S58</f>
        <v>0</v>
      </c>
      <c r="T15" s="152">
        <f>'26년 본사 원가분배'!T58</f>
        <v>0</v>
      </c>
      <c r="U15" s="152">
        <f>'26년 본사 원가분배'!U58</f>
        <v>0</v>
      </c>
      <c r="V15" s="152">
        <f>'26년 본사 원가분배'!V58</f>
        <v>0</v>
      </c>
      <c r="W15" s="152">
        <f>'26년 본사 원가분배'!W58</f>
        <v>0</v>
      </c>
      <c r="X15" s="152">
        <f>'26년 본사 원가분배'!X58</f>
        <v>0</v>
      </c>
      <c r="Y15" s="152">
        <f>'26년 본사 원가분배'!Y58</f>
        <v>0</v>
      </c>
      <c r="Z15" s="153">
        <f t="shared" ref="Z15:Z22" si="14">SUM(S15:Y15)</f>
        <v>0</v>
      </c>
      <c r="AA15" s="153">
        <f t="shared" ref="AA15:AA22" si="15">N15+R15+Z15</f>
        <v>0</v>
      </c>
    </row>
    <row r="16" spans="1:27">
      <c r="A16" s="277"/>
      <c r="B16" s="273" t="s">
        <v>34</v>
      </c>
      <c r="C16" s="151" t="s">
        <v>81</v>
      </c>
      <c r="D16" s="152">
        <f>'26년 본사 원가분배'!D59</f>
        <v>0</v>
      </c>
      <c r="E16" s="152">
        <f>'26년 본사 원가분배'!E59</f>
        <v>0</v>
      </c>
      <c r="F16" s="152">
        <f>'26년 본사 원가분배'!F59</f>
        <v>0</v>
      </c>
      <c r="G16" s="152">
        <f>'26년 본사 원가분배'!G59</f>
        <v>0</v>
      </c>
      <c r="H16" s="152">
        <f>'26년 본사 원가분배'!H59</f>
        <v>0</v>
      </c>
      <c r="I16" s="152">
        <f>'26년 본사 원가분배'!I59</f>
        <v>0</v>
      </c>
      <c r="J16" s="152">
        <f>'26년 본사 원가분배'!J59</f>
        <v>0</v>
      </c>
      <c r="K16" s="152">
        <f>'26년 본사 원가분배'!K59</f>
        <v>0</v>
      </c>
      <c r="L16" s="152">
        <f>'26년 본사 원가분배'!L59</f>
        <v>0</v>
      </c>
      <c r="M16" s="152">
        <f>'26년 본사 원가분배'!M59</f>
        <v>0</v>
      </c>
      <c r="N16" s="153">
        <f t="shared" si="12"/>
        <v>0</v>
      </c>
      <c r="O16" s="152">
        <f>'26년 본사 원가분배'!O59</f>
        <v>0</v>
      </c>
      <c r="P16" s="152">
        <f>'26년 본사 원가분배'!P59</f>
        <v>0</v>
      </c>
      <c r="Q16" s="152">
        <f>'26년 본사 원가분배'!Q59</f>
        <v>0</v>
      </c>
      <c r="R16" s="153">
        <f t="shared" si="13"/>
        <v>0</v>
      </c>
      <c r="S16" s="152">
        <f>'26년 본사 원가분배'!S59</f>
        <v>0</v>
      </c>
      <c r="T16" s="152">
        <f>'26년 본사 원가분배'!T59</f>
        <v>0</v>
      </c>
      <c r="U16" s="152">
        <f>'26년 본사 원가분배'!U59</f>
        <v>0</v>
      </c>
      <c r="V16" s="152">
        <f>'26년 본사 원가분배'!V59</f>
        <v>0</v>
      </c>
      <c r="W16" s="152">
        <f>'26년 본사 원가분배'!W59</f>
        <v>0</v>
      </c>
      <c r="X16" s="152">
        <f>'26년 본사 원가분배'!X59</f>
        <v>0</v>
      </c>
      <c r="Y16" s="152">
        <f>'26년 본사 원가분배'!Y59</f>
        <v>0</v>
      </c>
      <c r="Z16" s="153">
        <f t="shared" si="14"/>
        <v>0</v>
      </c>
      <c r="AA16" s="153">
        <f t="shared" si="15"/>
        <v>0</v>
      </c>
    </row>
    <row r="17" spans="1:27">
      <c r="A17" s="277"/>
      <c r="B17" s="273"/>
      <c r="C17" s="151" t="s">
        <v>64</v>
      </c>
      <c r="D17" s="152">
        <f>'26년 본사 원가분배'!D60</f>
        <v>17317000</v>
      </c>
      <c r="E17" s="152">
        <f>'26년 본사 원가분배'!E60</f>
        <v>2703978</v>
      </c>
      <c r="F17" s="152">
        <f>'26년 본사 원가분배'!F60</f>
        <v>3110784</v>
      </c>
      <c r="G17" s="152">
        <f>'26년 본사 원가분배'!G60</f>
        <v>157646</v>
      </c>
      <c r="H17" s="152">
        <f>'26년 본사 원가분배'!H60</f>
        <v>4002795</v>
      </c>
      <c r="I17" s="152">
        <f>'26년 본사 원가분배'!I60</f>
        <v>889184</v>
      </c>
      <c r="J17" s="152">
        <f>'26년 본사 원가분배'!J60</f>
        <v>48511</v>
      </c>
      <c r="K17" s="152">
        <f>'26년 본사 원가분배'!K60</f>
        <v>1588743</v>
      </c>
      <c r="L17" s="152">
        <f>'26년 본사 원가분배'!L60</f>
        <v>100022</v>
      </c>
      <c r="M17" s="152">
        <f>'26년 본사 원가분배'!M60</f>
        <v>90899</v>
      </c>
      <c r="N17" s="153">
        <f t="shared" si="12"/>
        <v>12692562</v>
      </c>
      <c r="O17" s="152">
        <f>'26년 본사 원가분배'!O60</f>
        <v>19247</v>
      </c>
      <c r="P17" s="152">
        <f>'26년 본사 원가분배'!P60</f>
        <v>47861</v>
      </c>
      <c r="Q17" s="152">
        <f>'26년 본사 원가분배'!Q60</f>
        <v>33599</v>
      </c>
      <c r="R17" s="153">
        <f t="shared" si="13"/>
        <v>100707</v>
      </c>
      <c r="S17" s="152">
        <f>'26년 본사 원가분배'!S60</f>
        <v>29129</v>
      </c>
      <c r="T17" s="152">
        <f>'26년 본사 원가분배'!T60</f>
        <v>2893684</v>
      </c>
      <c r="U17" s="152">
        <f>'26년 본사 원가분배'!U60</f>
        <v>18534</v>
      </c>
      <c r="V17" s="152">
        <f>'26년 본사 원가분배'!V60</f>
        <v>1572716</v>
      </c>
      <c r="W17" s="152">
        <f>'26년 본사 원가분배'!W60</f>
        <v>7474</v>
      </c>
      <c r="X17" s="152">
        <f>'26년 본사 원가분배'!X60</f>
        <v>1102</v>
      </c>
      <c r="Y17" s="152">
        <f>'26년 본사 원가분배'!Y60</f>
        <v>1093</v>
      </c>
      <c r="Z17" s="153">
        <f t="shared" si="14"/>
        <v>4523732</v>
      </c>
      <c r="AA17" s="153">
        <f t="shared" si="15"/>
        <v>17317001</v>
      </c>
    </row>
    <row r="18" spans="1:27">
      <c r="A18" s="277"/>
      <c r="B18" s="151" t="s">
        <v>102</v>
      </c>
      <c r="C18" s="151" t="s">
        <v>103</v>
      </c>
      <c r="D18" s="152">
        <f>'26년 본사 원가분배'!D61</f>
        <v>0</v>
      </c>
      <c r="E18" s="152">
        <f>'26년 본사 원가분배'!E61</f>
        <v>0</v>
      </c>
      <c r="F18" s="152">
        <f>'26년 본사 원가분배'!F61</f>
        <v>0</v>
      </c>
      <c r="G18" s="152">
        <f>'26년 본사 원가분배'!G61</f>
        <v>0</v>
      </c>
      <c r="H18" s="152">
        <f>'26년 본사 원가분배'!H61</f>
        <v>0</v>
      </c>
      <c r="I18" s="152">
        <f>'26년 본사 원가분배'!I61</f>
        <v>0</v>
      </c>
      <c r="J18" s="152">
        <f>'26년 본사 원가분배'!J61</f>
        <v>0</v>
      </c>
      <c r="K18" s="152">
        <f>'26년 본사 원가분배'!K61</f>
        <v>0</v>
      </c>
      <c r="L18" s="152">
        <f>'26년 본사 원가분배'!L61</f>
        <v>0</v>
      </c>
      <c r="M18" s="152">
        <f>'26년 본사 원가분배'!M61</f>
        <v>0</v>
      </c>
      <c r="N18" s="153">
        <f t="shared" si="12"/>
        <v>0</v>
      </c>
      <c r="O18" s="152">
        <f>'26년 본사 원가분배'!O61</f>
        <v>0</v>
      </c>
      <c r="P18" s="152">
        <f>'26년 본사 원가분배'!P61</f>
        <v>0</v>
      </c>
      <c r="Q18" s="152">
        <f>'26년 본사 원가분배'!Q61</f>
        <v>0</v>
      </c>
      <c r="R18" s="153">
        <f t="shared" si="13"/>
        <v>0</v>
      </c>
      <c r="S18" s="152">
        <f>'26년 본사 원가분배'!S61</f>
        <v>0</v>
      </c>
      <c r="T18" s="152">
        <f>'26년 본사 원가분배'!T61</f>
        <v>0</v>
      </c>
      <c r="U18" s="152">
        <f>'26년 본사 원가분배'!U61</f>
        <v>0</v>
      </c>
      <c r="V18" s="152">
        <f>'26년 본사 원가분배'!V61</f>
        <v>0</v>
      </c>
      <c r="W18" s="152">
        <f>'26년 본사 원가분배'!W61</f>
        <v>0</v>
      </c>
      <c r="X18" s="152">
        <f>'26년 본사 원가분배'!X61</f>
        <v>0</v>
      </c>
      <c r="Y18" s="152">
        <f>'26년 본사 원가분배'!Y61</f>
        <v>0</v>
      </c>
      <c r="Z18" s="153">
        <f t="shared" si="14"/>
        <v>0</v>
      </c>
      <c r="AA18" s="153">
        <f t="shared" si="15"/>
        <v>0</v>
      </c>
    </row>
    <row r="19" spans="1:27">
      <c r="A19" s="277"/>
      <c r="B19" s="273" t="s">
        <v>63</v>
      </c>
      <c r="C19" s="273"/>
      <c r="D19" s="152">
        <f>'26년 본사 원가분배'!D62</f>
        <v>70000</v>
      </c>
      <c r="E19" s="152">
        <f>'26년 본사 원가분배'!E62</f>
        <v>10930</v>
      </c>
      <c r="F19" s="152">
        <f>'26년 본사 원가분배'!F62</f>
        <v>12575</v>
      </c>
      <c r="G19" s="152">
        <f>'26년 본사 원가분배'!G62</f>
        <v>637</v>
      </c>
      <c r="H19" s="152">
        <f>'26년 본사 원가분배'!H62</f>
        <v>16180</v>
      </c>
      <c r="I19" s="152">
        <f>'26년 본사 원가분배'!I62</f>
        <v>3594</v>
      </c>
      <c r="J19" s="152">
        <f>'26년 본사 원가분배'!J62</f>
        <v>196</v>
      </c>
      <c r="K19" s="152">
        <f>'26년 본사 원가분배'!K62</f>
        <v>6422</v>
      </c>
      <c r="L19" s="152">
        <f>'26년 본사 원가분배'!L62</f>
        <v>404</v>
      </c>
      <c r="M19" s="152">
        <f>'26년 본사 원가분배'!M62</f>
        <v>367</v>
      </c>
      <c r="N19" s="153">
        <f t="shared" si="12"/>
        <v>51305</v>
      </c>
      <c r="O19" s="152">
        <f>'26년 본사 원가분배'!O62</f>
        <v>78</v>
      </c>
      <c r="P19" s="152">
        <f>'26년 본사 원가분배'!P62</f>
        <v>193</v>
      </c>
      <c r="Q19" s="152">
        <f>'26년 본사 원가분배'!Q62</f>
        <v>136</v>
      </c>
      <c r="R19" s="153">
        <f t="shared" si="13"/>
        <v>407</v>
      </c>
      <c r="S19" s="152">
        <f>'26년 본사 원가분배'!S62</f>
        <v>118</v>
      </c>
      <c r="T19" s="152">
        <f>'26년 본사 원가분배'!T62</f>
        <v>11697</v>
      </c>
      <c r="U19" s="152">
        <f>'26년 본사 원가분배'!U62</f>
        <v>75</v>
      </c>
      <c r="V19" s="152">
        <f>'26년 본사 원가분배'!V62</f>
        <v>6357</v>
      </c>
      <c r="W19" s="152">
        <f>'26년 본사 원가분배'!W62</f>
        <v>30</v>
      </c>
      <c r="X19" s="152">
        <f>'26년 본사 원가분배'!X62</f>
        <v>4</v>
      </c>
      <c r="Y19" s="152">
        <f>'26년 본사 원가분배'!Y62</f>
        <v>4</v>
      </c>
      <c r="Z19" s="153">
        <f t="shared" si="14"/>
        <v>18285</v>
      </c>
      <c r="AA19" s="153">
        <f t="shared" si="15"/>
        <v>69997</v>
      </c>
    </row>
    <row r="20" spans="1:27">
      <c r="A20" s="277"/>
      <c r="B20" s="273" t="s">
        <v>61</v>
      </c>
      <c r="C20" s="151" t="s">
        <v>38</v>
      </c>
      <c r="D20" s="152">
        <f>'26년 본사 원가분배'!D63</f>
        <v>0</v>
      </c>
      <c r="E20" s="152">
        <f>'26년 본사 원가분배'!E63</f>
        <v>0</v>
      </c>
      <c r="F20" s="152">
        <f>'26년 본사 원가분배'!F63</f>
        <v>0</v>
      </c>
      <c r="G20" s="152">
        <f>'26년 본사 원가분배'!G63</f>
        <v>0</v>
      </c>
      <c r="H20" s="152">
        <f>'26년 본사 원가분배'!H63</f>
        <v>0</v>
      </c>
      <c r="I20" s="152">
        <f>'26년 본사 원가분배'!I63</f>
        <v>0</v>
      </c>
      <c r="J20" s="152">
        <f>'26년 본사 원가분배'!J63</f>
        <v>0</v>
      </c>
      <c r="K20" s="152">
        <f>'26년 본사 원가분배'!K63</f>
        <v>0</v>
      </c>
      <c r="L20" s="152">
        <f>'26년 본사 원가분배'!L63</f>
        <v>0</v>
      </c>
      <c r="M20" s="152">
        <f>'26년 본사 원가분배'!M63</f>
        <v>0</v>
      </c>
      <c r="N20" s="153">
        <f t="shared" si="12"/>
        <v>0</v>
      </c>
      <c r="O20" s="152">
        <f>'26년 본사 원가분배'!O63</f>
        <v>0</v>
      </c>
      <c r="P20" s="152">
        <f>'26년 본사 원가분배'!P63</f>
        <v>0</v>
      </c>
      <c r="Q20" s="152">
        <f>'26년 본사 원가분배'!Q63</f>
        <v>0</v>
      </c>
      <c r="R20" s="153">
        <f t="shared" si="13"/>
        <v>0</v>
      </c>
      <c r="S20" s="152">
        <f>'26년 본사 원가분배'!S63</f>
        <v>0</v>
      </c>
      <c r="T20" s="152">
        <f>'26년 본사 원가분배'!T63</f>
        <v>0</v>
      </c>
      <c r="U20" s="152">
        <f>'26년 본사 원가분배'!U63</f>
        <v>0</v>
      </c>
      <c r="V20" s="152">
        <f>'26년 본사 원가분배'!V63</f>
        <v>0</v>
      </c>
      <c r="W20" s="152">
        <f>'26년 본사 원가분배'!W63</f>
        <v>0</v>
      </c>
      <c r="X20" s="152">
        <f>'26년 본사 원가분배'!X63</f>
        <v>0</v>
      </c>
      <c r="Y20" s="152">
        <f>'26년 본사 원가분배'!Y63</f>
        <v>0</v>
      </c>
      <c r="Z20" s="153">
        <f t="shared" si="14"/>
        <v>0</v>
      </c>
      <c r="AA20" s="153">
        <f t="shared" si="15"/>
        <v>0</v>
      </c>
    </row>
    <row r="21" spans="1:27">
      <c r="A21" s="277"/>
      <c r="B21" s="273"/>
      <c r="C21" s="151" t="s">
        <v>39</v>
      </c>
      <c r="D21" s="152">
        <f>'26년 본사 원가분배'!D64</f>
        <v>0</v>
      </c>
      <c r="E21" s="152">
        <f>'26년 본사 원가분배'!E64</f>
        <v>0</v>
      </c>
      <c r="F21" s="152">
        <f>'26년 본사 원가분배'!F64</f>
        <v>0</v>
      </c>
      <c r="G21" s="152">
        <f>'26년 본사 원가분배'!G64</f>
        <v>0</v>
      </c>
      <c r="H21" s="152">
        <f>'26년 본사 원가분배'!H64</f>
        <v>0</v>
      </c>
      <c r="I21" s="152">
        <f>'26년 본사 원가분배'!I64</f>
        <v>0</v>
      </c>
      <c r="J21" s="152">
        <f>'26년 본사 원가분배'!J64</f>
        <v>0</v>
      </c>
      <c r="K21" s="152">
        <f>'26년 본사 원가분배'!K64</f>
        <v>0</v>
      </c>
      <c r="L21" s="152">
        <f>'26년 본사 원가분배'!L64</f>
        <v>0</v>
      </c>
      <c r="M21" s="152">
        <f>'26년 본사 원가분배'!M64</f>
        <v>0</v>
      </c>
      <c r="N21" s="153">
        <f t="shared" si="12"/>
        <v>0</v>
      </c>
      <c r="O21" s="152">
        <f>'26년 본사 원가분배'!O64</f>
        <v>0</v>
      </c>
      <c r="P21" s="152">
        <f>'26년 본사 원가분배'!P64</f>
        <v>0</v>
      </c>
      <c r="Q21" s="152">
        <f>'26년 본사 원가분배'!Q64</f>
        <v>0</v>
      </c>
      <c r="R21" s="153">
        <f t="shared" si="13"/>
        <v>0</v>
      </c>
      <c r="S21" s="152">
        <f>'26년 본사 원가분배'!S64</f>
        <v>0</v>
      </c>
      <c r="T21" s="152">
        <f>'26년 본사 원가분배'!T64</f>
        <v>0</v>
      </c>
      <c r="U21" s="152">
        <f>'26년 본사 원가분배'!U64</f>
        <v>0</v>
      </c>
      <c r="V21" s="152">
        <f>'26년 본사 원가분배'!V64</f>
        <v>0</v>
      </c>
      <c r="W21" s="152">
        <f>'26년 본사 원가분배'!W64</f>
        <v>0</v>
      </c>
      <c r="X21" s="152">
        <f>'26년 본사 원가분배'!X64</f>
        <v>0</v>
      </c>
      <c r="Y21" s="152">
        <f>'26년 본사 원가분배'!Y64</f>
        <v>0</v>
      </c>
      <c r="Z21" s="153">
        <f t="shared" si="14"/>
        <v>0</v>
      </c>
      <c r="AA21" s="153">
        <f t="shared" si="15"/>
        <v>0</v>
      </c>
    </row>
    <row r="22" spans="1:27">
      <c r="A22" s="277"/>
      <c r="B22" s="154" t="s">
        <v>67</v>
      </c>
      <c r="C22" s="154" t="s">
        <v>37</v>
      </c>
      <c r="D22" s="155">
        <f>'26년 본사 원가분배'!D65</f>
        <v>0</v>
      </c>
      <c r="E22" s="155">
        <f>'26년 본사 원가분배'!E65</f>
        <v>0</v>
      </c>
      <c r="F22" s="155">
        <f>'26년 본사 원가분배'!F65</f>
        <v>0</v>
      </c>
      <c r="G22" s="155">
        <f>'26년 본사 원가분배'!G65</f>
        <v>0</v>
      </c>
      <c r="H22" s="155">
        <f>'26년 본사 원가분배'!H65</f>
        <v>0</v>
      </c>
      <c r="I22" s="155">
        <f>'26년 본사 원가분배'!I65</f>
        <v>0</v>
      </c>
      <c r="J22" s="155">
        <f>'26년 본사 원가분배'!J65</f>
        <v>0</v>
      </c>
      <c r="K22" s="155">
        <f>'26년 본사 원가분배'!K65</f>
        <v>0</v>
      </c>
      <c r="L22" s="155">
        <f>'26년 본사 원가분배'!L65</f>
        <v>0</v>
      </c>
      <c r="M22" s="155">
        <f>'26년 본사 원가분배'!M65</f>
        <v>0</v>
      </c>
      <c r="N22" s="156">
        <f t="shared" si="12"/>
        <v>0</v>
      </c>
      <c r="O22" s="155">
        <f>'26년 본사 원가분배'!O65</f>
        <v>0</v>
      </c>
      <c r="P22" s="155">
        <f>'26년 본사 원가분배'!P65</f>
        <v>0</v>
      </c>
      <c r="Q22" s="155">
        <f>'26년 본사 원가분배'!Q65</f>
        <v>0</v>
      </c>
      <c r="R22" s="156">
        <f t="shared" si="13"/>
        <v>0</v>
      </c>
      <c r="S22" s="155">
        <f>'26년 본사 원가분배'!S65</f>
        <v>0</v>
      </c>
      <c r="T22" s="155">
        <f>'26년 본사 원가분배'!T65</f>
        <v>0</v>
      </c>
      <c r="U22" s="155">
        <f>'26년 본사 원가분배'!U65</f>
        <v>0</v>
      </c>
      <c r="V22" s="155">
        <f>'26년 본사 원가분배'!V65</f>
        <v>0</v>
      </c>
      <c r="W22" s="155">
        <f>'26년 본사 원가분배'!W65</f>
        <v>0</v>
      </c>
      <c r="X22" s="155">
        <f>'26년 본사 원가분배'!X65</f>
        <v>0</v>
      </c>
      <c r="Y22" s="155">
        <f>'26년 본사 원가분배'!Y65</f>
        <v>0</v>
      </c>
      <c r="Z22" s="156">
        <f t="shared" si="14"/>
        <v>0</v>
      </c>
      <c r="AA22" s="156">
        <f t="shared" si="15"/>
        <v>0</v>
      </c>
    </row>
    <row r="23" spans="1:27">
      <c r="A23" s="278"/>
      <c r="B23" s="183" t="s">
        <v>282</v>
      </c>
      <c r="C23" s="183" t="s">
        <v>354</v>
      </c>
      <c r="D23" s="155">
        <f>'26년 본사 원가분배'!D66</f>
        <v>12593662</v>
      </c>
      <c r="E23" s="155">
        <f>'26년 본사 원가분배'!E66</f>
        <v>1290100</v>
      </c>
      <c r="F23" s="155">
        <f>'26년 본사 원가분배'!F66</f>
        <v>0</v>
      </c>
      <c r="G23" s="155">
        <f>'26년 본사 원가분배'!G66</f>
        <v>0</v>
      </c>
      <c r="H23" s="155">
        <f>'26년 본사 원가분배'!H66</f>
        <v>0</v>
      </c>
      <c r="I23" s="155">
        <f>'26년 본사 원가분배'!I66</f>
        <v>0</v>
      </c>
      <c r="J23" s="155">
        <f>'26년 본사 원가분배'!J66</f>
        <v>0</v>
      </c>
      <c r="K23" s="155">
        <f>'26년 본사 원가분배'!K66</f>
        <v>0</v>
      </c>
      <c r="L23" s="155">
        <f>'26년 본사 원가분배'!L66</f>
        <v>0</v>
      </c>
      <c r="M23" s="155">
        <f>'26년 본사 원가분배'!M66</f>
        <v>100000</v>
      </c>
      <c r="N23" s="156">
        <f t="shared" ref="N23" si="16">SUM(E23:M23)</f>
        <v>1390100</v>
      </c>
      <c r="O23" s="155">
        <f>'26년 본사 원가분배'!O66</f>
        <v>130000</v>
      </c>
      <c r="P23" s="155">
        <f>'26년 본사 원가분배'!P66</f>
        <v>0</v>
      </c>
      <c r="Q23" s="155">
        <f>'26년 본사 원가분배'!Q66</f>
        <v>0</v>
      </c>
      <c r="R23" s="156">
        <f t="shared" ref="R23" si="17">SUM(O23:Q23)</f>
        <v>130000</v>
      </c>
      <c r="S23" s="155">
        <f>'26년 본사 원가분배'!S66</f>
        <v>0</v>
      </c>
      <c r="T23" s="155">
        <f>'26년 본사 원가분배'!T66</f>
        <v>0</v>
      </c>
      <c r="U23" s="155">
        <f>'26년 본사 원가분배'!U66</f>
        <v>0</v>
      </c>
      <c r="V23" s="155">
        <f>'26년 본사 원가분배'!V66</f>
        <v>0</v>
      </c>
      <c r="W23" s="155">
        <f>'26년 본사 원가분배'!W66</f>
        <v>0</v>
      </c>
      <c r="X23" s="155">
        <f>'26년 본사 원가분배'!X66</f>
        <v>0</v>
      </c>
      <c r="Y23" s="155">
        <f>'26년 본사 원가분배'!Y66</f>
        <v>0</v>
      </c>
      <c r="Z23" s="156">
        <f t="shared" ref="Z23" si="18">SUM(S23:Y23)</f>
        <v>0</v>
      </c>
      <c r="AA23" s="156">
        <f t="shared" ref="AA23" si="19">N23+R23+Z23</f>
        <v>1520100</v>
      </c>
    </row>
    <row r="25" spans="1:27">
      <c r="A25" s="272" t="s">
        <v>244</v>
      </c>
      <c r="B25" s="272"/>
      <c r="C25" s="272"/>
      <c r="D25" s="205" t="s">
        <v>271</v>
      </c>
      <c r="E25" s="149" t="s">
        <v>128</v>
      </c>
      <c r="F25" s="149" t="s">
        <v>18</v>
      </c>
      <c r="G25" s="149" t="s">
        <v>19</v>
      </c>
      <c r="H25" s="149" t="s">
        <v>3</v>
      </c>
      <c r="I25" s="149" t="s">
        <v>5</v>
      </c>
      <c r="J25" s="149" t="s">
        <v>20</v>
      </c>
      <c r="K25" s="149" t="s">
        <v>7</v>
      </c>
      <c r="L25" s="149" t="s">
        <v>22</v>
      </c>
      <c r="M25" s="149" t="s">
        <v>23</v>
      </c>
      <c r="N25" s="150" t="s">
        <v>85</v>
      </c>
      <c r="O25" s="149" t="s">
        <v>21</v>
      </c>
      <c r="P25" s="149" t="s">
        <v>24</v>
      </c>
      <c r="Q25" s="149" t="s">
        <v>25</v>
      </c>
      <c r="R25" s="150" t="s">
        <v>85</v>
      </c>
      <c r="S25" s="149" t="s">
        <v>26</v>
      </c>
      <c r="T25" s="149" t="s">
        <v>27</v>
      </c>
      <c r="U25" s="149" t="s">
        <v>28</v>
      </c>
      <c r="V25" s="149" t="s">
        <v>29</v>
      </c>
      <c r="W25" s="149" t="s">
        <v>30</v>
      </c>
      <c r="X25" s="149" t="s">
        <v>31</v>
      </c>
      <c r="Y25" s="149" t="s">
        <v>32</v>
      </c>
      <c r="Z25" s="150" t="s">
        <v>85</v>
      </c>
      <c r="AA25" s="150" t="s">
        <v>129</v>
      </c>
    </row>
    <row r="26" spans="1:27">
      <c r="A26" s="273" t="s">
        <v>241</v>
      </c>
      <c r="B26" s="273"/>
      <c r="C26" s="151" t="s">
        <v>141</v>
      </c>
      <c r="D26" s="152"/>
      <c r="E26" s="152">
        <v>709000</v>
      </c>
      <c r="F26" s="152">
        <v>367000</v>
      </c>
      <c r="G26" s="152">
        <v>791800</v>
      </c>
      <c r="H26" s="152">
        <v>43500</v>
      </c>
      <c r="I26" s="152">
        <v>306000</v>
      </c>
      <c r="J26" s="152">
        <v>287000</v>
      </c>
      <c r="K26" s="152">
        <v>163000</v>
      </c>
      <c r="L26" s="152">
        <v>3000</v>
      </c>
      <c r="M26" s="152">
        <v>30283</v>
      </c>
      <c r="N26" s="153">
        <f>SUM(E26:M26)</f>
        <v>2700583</v>
      </c>
      <c r="O26" s="152">
        <v>224000</v>
      </c>
      <c r="P26" s="152">
        <v>239000</v>
      </c>
      <c r="Q26" s="152">
        <v>160855</v>
      </c>
      <c r="R26" s="153">
        <f>SUM(O26:Q26)</f>
        <v>623855</v>
      </c>
      <c r="S26" s="152">
        <v>207000</v>
      </c>
      <c r="T26" s="152">
        <v>106000</v>
      </c>
      <c r="U26" s="152">
        <v>86000</v>
      </c>
      <c r="V26" s="152">
        <v>40000</v>
      </c>
      <c r="W26" s="152">
        <v>32000</v>
      </c>
      <c r="X26" s="152">
        <v>150000</v>
      </c>
      <c r="Y26" s="152">
        <f>[39]종합표!AD$8+[39]종합표!AD$9</f>
        <v>0</v>
      </c>
      <c r="Z26" s="153">
        <f>SUM(S26:Y26)</f>
        <v>621000</v>
      </c>
      <c r="AA26" s="153">
        <f>N26+R26+Z26</f>
        <v>3945438</v>
      </c>
    </row>
    <row r="27" spans="1:27">
      <c r="A27" s="273"/>
      <c r="B27" s="273"/>
      <c r="C27" s="151" t="s">
        <v>95</v>
      </c>
      <c r="D27" s="152"/>
      <c r="E27" s="152">
        <v>6599088</v>
      </c>
      <c r="F27" s="152">
        <v>922475</v>
      </c>
      <c r="G27" s="152">
        <v>3853245</v>
      </c>
      <c r="H27" s="152">
        <v>1297180</v>
      </c>
      <c r="I27" s="152">
        <v>578200</v>
      </c>
      <c r="J27" s="152">
        <v>1400977</v>
      </c>
      <c r="K27" s="152">
        <v>761700</v>
      </c>
      <c r="L27" s="152">
        <v>2021290</v>
      </c>
      <c r="M27" s="152">
        <v>1632500</v>
      </c>
      <c r="N27" s="153">
        <f t="shared" ref="N27:N33" si="20">SUM(E27:M27)</f>
        <v>19066655</v>
      </c>
      <c r="O27" s="152">
        <v>824074</v>
      </c>
      <c r="P27" s="152">
        <v>1173492</v>
      </c>
      <c r="Q27" s="152">
        <v>1801250</v>
      </c>
      <c r="R27" s="153">
        <f t="shared" ref="R27:R33" si="21">SUM(O27:Q27)</f>
        <v>3798816</v>
      </c>
      <c r="S27" s="152">
        <v>1276218</v>
      </c>
      <c r="T27" s="152">
        <v>480340</v>
      </c>
      <c r="U27" s="152">
        <v>456500</v>
      </c>
      <c r="V27" s="152">
        <v>534000</v>
      </c>
      <c r="W27" s="152">
        <v>108000</v>
      </c>
      <c r="X27" s="152">
        <v>307000</v>
      </c>
      <c r="Y27" s="152">
        <v>164408</v>
      </c>
      <c r="Z27" s="153">
        <f t="shared" ref="Z27:Z33" si="22">SUM(S27:Y27)</f>
        <v>3326466</v>
      </c>
      <c r="AA27" s="153">
        <f t="shared" ref="AA27:AA33" si="23">N27+R27+Z27</f>
        <v>26191937</v>
      </c>
    </row>
    <row r="28" spans="1:27">
      <c r="A28" s="273"/>
      <c r="B28" s="273"/>
      <c r="C28" s="151" t="s">
        <v>96</v>
      </c>
      <c r="D28" s="152"/>
      <c r="E28" s="152">
        <v>0</v>
      </c>
      <c r="F28" s="152">
        <v>0</v>
      </c>
      <c r="G28" s="152">
        <v>0</v>
      </c>
      <c r="H28" s="152">
        <v>0</v>
      </c>
      <c r="I28" s="152">
        <v>0</v>
      </c>
      <c r="J28" s="152">
        <v>0</v>
      </c>
      <c r="K28" s="152">
        <v>0</v>
      </c>
      <c r="L28" s="152">
        <v>0</v>
      </c>
      <c r="M28" s="152">
        <v>0</v>
      </c>
      <c r="N28" s="153">
        <f t="shared" si="20"/>
        <v>0</v>
      </c>
      <c r="O28" s="157">
        <v>0</v>
      </c>
      <c r="P28" s="157">
        <v>0</v>
      </c>
      <c r="Q28" s="157">
        <v>0</v>
      </c>
      <c r="R28" s="153">
        <f t="shared" si="21"/>
        <v>0</v>
      </c>
      <c r="S28" s="157">
        <v>0</v>
      </c>
      <c r="T28" s="157">
        <v>0</v>
      </c>
      <c r="U28" s="157">
        <v>0</v>
      </c>
      <c r="V28" s="157">
        <v>0</v>
      </c>
      <c r="W28" s="157">
        <v>0</v>
      </c>
      <c r="X28" s="157">
        <v>0</v>
      </c>
      <c r="Y28" s="157">
        <v>0</v>
      </c>
      <c r="Z28" s="153">
        <f t="shared" si="22"/>
        <v>0</v>
      </c>
      <c r="AA28" s="153">
        <f t="shared" si="23"/>
        <v>0</v>
      </c>
    </row>
    <row r="29" spans="1:27">
      <c r="A29" s="273"/>
      <c r="B29" s="273"/>
      <c r="C29" s="151" t="s">
        <v>97</v>
      </c>
      <c r="D29" s="152"/>
      <c r="E29" s="152">
        <v>5208440</v>
      </c>
      <c r="F29" s="152">
        <v>344390</v>
      </c>
      <c r="G29" s="152">
        <v>438069</v>
      </c>
      <c r="H29" s="152">
        <v>175706</v>
      </c>
      <c r="I29" s="152">
        <v>175520</v>
      </c>
      <c r="J29" s="152">
        <v>149328</v>
      </c>
      <c r="K29" s="152">
        <v>221268</v>
      </c>
      <c r="L29" s="152">
        <v>248157</v>
      </c>
      <c r="M29" s="152">
        <v>186900</v>
      </c>
      <c r="N29" s="153">
        <f t="shared" si="20"/>
        <v>7147778</v>
      </c>
      <c r="O29" s="152">
        <v>145325</v>
      </c>
      <c r="P29" s="152">
        <v>198220</v>
      </c>
      <c r="Q29" s="152">
        <v>577324</v>
      </c>
      <c r="R29" s="153">
        <f t="shared" si="21"/>
        <v>920869</v>
      </c>
      <c r="S29" s="152">
        <v>678513</v>
      </c>
      <c r="T29" s="152">
        <v>532975</v>
      </c>
      <c r="U29" s="152">
        <v>114300</v>
      </c>
      <c r="V29" s="152">
        <v>79200</v>
      </c>
      <c r="W29" s="152">
        <v>57510</v>
      </c>
      <c r="X29" s="152">
        <v>50850</v>
      </c>
      <c r="Y29" s="152">
        <v>90377</v>
      </c>
      <c r="Z29" s="153">
        <f t="shared" si="22"/>
        <v>1603725</v>
      </c>
      <c r="AA29" s="153">
        <f t="shared" si="23"/>
        <v>9672372</v>
      </c>
    </row>
    <row r="30" spans="1:27">
      <c r="A30" s="273"/>
      <c r="B30" s="273"/>
      <c r="C30" s="151" t="s">
        <v>281</v>
      </c>
      <c r="D30" s="152"/>
      <c r="E30" s="152">
        <v>2614813</v>
      </c>
      <c r="F30" s="152">
        <v>535248</v>
      </c>
      <c r="G30" s="152">
        <v>1420529</v>
      </c>
      <c r="H30" s="152">
        <v>356137</v>
      </c>
      <c r="I30" s="152">
        <v>272490</v>
      </c>
      <c r="J30" s="152">
        <v>381431</v>
      </c>
      <c r="K30" s="152">
        <v>543454</v>
      </c>
      <c r="L30" s="152">
        <v>750067</v>
      </c>
      <c r="M30" s="152">
        <v>351918</v>
      </c>
      <c r="N30" s="153">
        <f t="shared" si="20"/>
        <v>7226087</v>
      </c>
      <c r="O30" s="152">
        <v>285513</v>
      </c>
      <c r="P30" s="152">
        <v>701409</v>
      </c>
      <c r="Q30" s="152">
        <v>629432</v>
      </c>
      <c r="R30" s="153">
        <f t="shared" si="21"/>
        <v>1616354</v>
      </c>
      <c r="S30" s="152">
        <v>1045498</v>
      </c>
      <c r="T30" s="152">
        <v>606804</v>
      </c>
      <c r="U30" s="152">
        <v>219060</v>
      </c>
      <c r="V30" s="152">
        <v>95850</v>
      </c>
      <c r="W30" s="152">
        <v>333392</v>
      </c>
      <c r="X30" s="152">
        <v>263380</v>
      </c>
      <c r="Y30" s="152">
        <v>27900</v>
      </c>
      <c r="Z30" s="153">
        <f t="shared" si="22"/>
        <v>2591884</v>
      </c>
      <c r="AA30" s="153">
        <f t="shared" si="23"/>
        <v>11434325</v>
      </c>
    </row>
    <row r="31" spans="1:27">
      <c r="A31" s="274"/>
      <c r="B31" s="274"/>
      <c r="C31" s="206" t="s">
        <v>351</v>
      </c>
      <c r="D31" s="152"/>
      <c r="E31" s="152">
        <v>0</v>
      </c>
      <c r="F31" s="152">
        <v>0</v>
      </c>
      <c r="G31" s="152">
        <v>0</v>
      </c>
      <c r="H31" s="152">
        <v>0</v>
      </c>
      <c r="I31" s="152">
        <v>0</v>
      </c>
      <c r="J31" s="152">
        <v>0</v>
      </c>
      <c r="K31" s="152">
        <v>0</v>
      </c>
      <c r="L31" s="152">
        <v>0</v>
      </c>
      <c r="M31" s="152">
        <v>0</v>
      </c>
      <c r="N31" s="153">
        <f t="shared" si="20"/>
        <v>0</v>
      </c>
      <c r="O31" s="152">
        <v>0</v>
      </c>
      <c r="P31" s="152">
        <v>0</v>
      </c>
      <c r="Q31" s="152">
        <v>0</v>
      </c>
      <c r="R31" s="153">
        <f t="shared" si="21"/>
        <v>0</v>
      </c>
      <c r="S31" s="152">
        <v>0</v>
      </c>
      <c r="T31" s="152">
        <v>0</v>
      </c>
      <c r="U31" s="152">
        <v>0</v>
      </c>
      <c r="V31" s="152">
        <v>0</v>
      </c>
      <c r="W31" s="152">
        <v>0</v>
      </c>
      <c r="X31" s="152">
        <v>0</v>
      </c>
      <c r="Y31" s="152">
        <v>0</v>
      </c>
      <c r="Z31" s="153">
        <f t="shared" si="22"/>
        <v>0</v>
      </c>
      <c r="AA31" s="153">
        <f t="shared" si="23"/>
        <v>0</v>
      </c>
    </row>
    <row r="32" spans="1:27">
      <c r="A32" s="274"/>
      <c r="B32" s="274"/>
      <c r="C32" s="206" t="s">
        <v>352</v>
      </c>
      <c r="D32" s="152"/>
      <c r="E32" s="152">
        <v>0</v>
      </c>
      <c r="F32" s="152">
        <v>0</v>
      </c>
      <c r="G32" s="152">
        <v>0</v>
      </c>
      <c r="H32" s="152">
        <v>0</v>
      </c>
      <c r="I32" s="152">
        <v>0</v>
      </c>
      <c r="J32" s="152">
        <v>0</v>
      </c>
      <c r="K32" s="152">
        <v>0</v>
      </c>
      <c r="L32" s="152">
        <v>0</v>
      </c>
      <c r="M32" s="152">
        <v>0</v>
      </c>
      <c r="N32" s="153">
        <f t="shared" ref="N32" si="24">SUM(E32:M32)</f>
        <v>0</v>
      </c>
      <c r="O32" s="152">
        <v>0</v>
      </c>
      <c r="P32" s="152">
        <v>0</v>
      </c>
      <c r="Q32" s="152">
        <v>0</v>
      </c>
      <c r="R32" s="153">
        <f t="shared" ref="R32" si="25">SUM(O32:Q32)</f>
        <v>0</v>
      </c>
      <c r="S32" s="152">
        <v>0</v>
      </c>
      <c r="T32" s="152">
        <v>0</v>
      </c>
      <c r="U32" s="152">
        <v>0</v>
      </c>
      <c r="V32" s="152">
        <v>0</v>
      </c>
      <c r="W32" s="152">
        <v>0</v>
      </c>
      <c r="X32" s="152">
        <v>0</v>
      </c>
      <c r="Y32" s="152">
        <v>0</v>
      </c>
      <c r="Z32" s="153">
        <f t="shared" ref="Z32" si="26">SUM(S32:Y32)</f>
        <v>0</v>
      </c>
      <c r="AA32" s="153">
        <f t="shared" ref="AA32" si="27">N32+R32+Z32</f>
        <v>0</v>
      </c>
    </row>
    <row r="33" spans="1:27">
      <c r="A33" s="275"/>
      <c r="B33" s="275"/>
      <c r="C33" s="154" t="s">
        <v>98</v>
      </c>
      <c r="D33" s="155"/>
      <c r="E33" s="155">
        <v>275534</v>
      </c>
      <c r="F33" s="155">
        <v>108902</v>
      </c>
      <c r="G33" s="155">
        <v>318425</v>
      </c>
      <c r="H33" s="155">
        <v>134076</v>
      </c>
      <c r="I33" s="155">
        <v>110136</v>
      </c>
      <c r="J33" s="155">
        <v>154716</v>
      </c>
      <c r="K33" s="155">
        <v>574086</v>
      </c>
      <c r="L33" s="155">
        <v>267600</v>
      </c>
      <c r="M33" s="155">
        <v>299344</v>
      </c>
      <c r="N33" s="156">
        <f t="shared" si="20"/>
        <v>2242819</v>
      </c>
      <c r="O33" s="155">
        <v>75689</v>
      </c>
      <c r="P33" s="155">
        <v>703298</v>
      </c>
      <c r="Q33" s="155">
        <v>185689</v>
      </c>
      <c r="R33" s="156">
        <f t="shared" si="21"/>
        <v>964676</v>
      </c>
      <c r="S33" s="155">
        <v>193044</v>
      </c>
      <c r="T33" s="155">
        <v>70716</v>
      </c>
      <c r="U33" s="155">
        <v>161999</v>
      </c>
      <c r="V33" s="155">
        <v>39986</v>
      </c>
      <c r="W33" s="155">
        <v>66564</v>
      </c>
      <c r="X33" s="155">
        <v>158414</v>
      </c>
      <c r="Y33" s="155">
        <v>49803</v>
      </c>
      <c r="Z33" s="156">
        <f t="shared" si="22"/>
        <v>740526</v>
      </c>
      <c r="AA33" s="156">
        <f t="shared" si="23"/>
        <v>3948021</v>
      </c>
    </row>
    <row r="35" spans="1:27">
      <c r="A35" s="272" t="s">
        <v>244</v>
      </c>
      <c r="B35" s="272"/>
      <c r="C35" s="272"/>
      <c r="D35" s="205" t="s">
        <v>271</v>
      </c>
      <c r="E35" s="149" t="s">
        <v>128</v>
      </c>
      <c r="F35" s="149" t="s">
        <v>18</v>
      </c>
      <c r="G35" s="149" t="s">
        <v>19</v>
      </c>
      <c r="H35" s="149" t="s">
        <v>3</v>
      </c>
      <c r="I35" s="149" t="s">
        <v>5</v>
      </c>
      <c r="J35" s="149" t="s">
        <v>20</v>
      </c>
      <c r="K35" s="149" t="s">
        <v>7</v>
      </c>
      <c r="L35" s="149" t="s">
        <v>22</v>
      </c>
      <c r="M35" s="149" t="s">
        <v>23</v>
      </c>
      <c r="N35" s="150" t="s">
        <v>85</v>
      </c>
      <c r="O35" s="149" t="s">
        <v>21</v>
      </c>
      <c r="P35" s="149" t="s">
        <v>24</v>
      </c>
      <c r="Q35" s="149" t="s">
        <v>25</v>
      </c>
      <c r="R35" s="150" t="s">
        <v>85</v>
      </c>
      <c r="S35" s="149" t="s">
        <v>26</v>
      </c>
      <c r="T35" s="149" t="s">
        <v>27</v>
      </c>
      <c r="U35" s="149" t="s">
        <v>28</v>
      </c>
      <c r="V35" s="149" t="s">
        <v>29</v>
      </c>
      <c r="W35" s="149" t="s">
        <v>30</v>
      </c>
      <c r="X35" s="149" t="s">
        <v>31</v>
      </c>
      <c r="Y35" s="149" t="s">
        <v>32</v>
      </c>
      <c r="Z35" s="150" t="s">
        <v>85</v>
      </c>
      <c r="AA35" s="150" t="s">
        <v>129</v>
      </c>
    </row>
    <row r="36" spans="1:27">
      <c r="A36" s="273" t="s">
        <v>242</v>
      </c>
      <c r="B36" s="273" t="s">
        <v>65</v>
      </c>
      <c r="C36" s="273"/>
      <c r="D36" s="157"/>
      <c r="E36" s="152">
        <v>0</v>
      </c>
      <c r="F36" s="152">
        <v>0</v>
      </c>
      <c r="G36" s="152">
        <v>0</v>
      </c>
      <c r="H36" s="152">
        <v>0</v>
      </c>
      <c r="I36" s="152">
        <v>0</v>
      </c>
      <c r="J36" s="152">
        <v>0</v>
      </c>
      <c r="K36" s="152">
        <v>0</v>
      </c>
      <c r="L36" s="152">
        <v>0</v>
      </c>
      <c r="M36" s="152">
        <v>0</v>
      </c>
      <c r="N36" s="153">
        <f>SUM(E36:M36)</f>
        <v>0</v>
      </c>
      <c r="O36" s="152">
        <v>0</v>
      </c>
      <c r="P36" s="152">
        <v>0</v>
      </c>
      <c r="Q36" s="152">
        <v>0</v>
      </c>
      <c r="R36" s="153">
        <f>SUM(O36:Q36)</f>
        <v>0</v>
      </c>
      <c r="S36" s="152">
        <v>0</v>
      </c>
      <c r="T36" s="152">
        <v>0</v>
      </c>
      <c r="U36" s="152">
        <v>0</v>
      </c>
      <c r="V36" s="152">
        <v>0</v>
      </c>
      <c r="W36" s="152">
        <v>0</v>
      </c>
      <c r="X36" s="152">
        <v>0</v>
      </c>
      <c r="Y36" s="152">
        <v>0</v>
      </c>
      <c r="Z36" s="153">
        <f>SUM(S36:Y36)</f>
        <v>0</v>
      </c>
      <c r="AA36" s="153">
        <f>N36+R36+Z36</f>
        <v>0</v>
      </c>
    </row>
    <row r="37" spans="1:27">
      <c r="A37" s="273"/>
      <c r="B37" s="273" t="s">
        <v>66</v>
      </c>
      <c r="C37" s="273"/>
      <c r="D37" s="157"/>
      <c r="E37" s="152">
        <v>0</v>
      </c>
      <c r="F37" s="152">
        <v>0</v>
      </c>
      <c r="G37" s="152">
        <v>50000</v>
      </c>
      <c r="H37" s="152">
        <v>0</v>
      </c>
      <c r="I37" s="152">
        <v>0</v>
      </c>
      <c r="J37" s="152">
        <v>0</v>
      </c>
      <c r="K37" s="152">
        <v>0</v>
      </c>
      <c r="L37" s="152">
        <v>0</v>
      </c>
      <c r="M37" s="152">
        <v>0</v>
      </c>
      <c r="N37" s="153">
        <f t="shared" ref="N37:N45" si="28">SUM(E37:M37)</f>
        <v>50000</v>
      </c>
      <c r="O37" s="152">
        <v>0</v>
      </c>
      <c r="P37" s="152">
        <v>0</v>
      </c>
      <c r="Q37" s="152">
        <v>0</v>
      </c>
      <c r="R37" s="153">
        <f t="shared" ref="R37:R45" si="29">SUM(O37:Q37)</f>
        <v>0</v>
      </c>
      <c r="S37" s="152">
        <v>0</v>
      </c>
      <c r="T37" s="152">
        <v>0</v>
      </c>
      <c r="U37" s="152">
        <v>0</v>
      </c>
      <c r="V37" s="152">
        <v>0</v>
      </c>
      <c r="W37" s="152">
        <v>0</v>
      </c>
      <c r="X37" s="152">
        <v>0</v>
      </c>
      <c r="Y37" s="152">
        <v>0</v>
      </c>
      <c r="Z37" s="153">
        <f t="shared" ref="Z37:Z45" si="30">SUM(S37:Y37)</f>
        <v>0</v>
      </c>
      <c r="AA37" s="153">
        <f t="shared" ref="AA37:AA45" si="31">N37+R37+Z37</f>
        <v>50000</v>
      </c>
    </row>
    <row r="38" spans="1:27">
      <c r="A38" s="273"/>
      <c r="B38" s="273" t="s">
        <v>34</v>
      </c>
      <c r="C38" s="151" t="s">
        <v>81</v>
      </c>
      <c r="D38" s="157"/>
      <c r="E38" s="152">
        <v>12335545</v>
      </c>
      <c r="F38" s="152">
        <v>2162000</v>
      </c>
      <c r="G38" s="152">
        <v>893808</v>
      </c>
      <c r="H38" s="152">
        <v>1327000</v>
      </c>
      <c r="I38" s="152">
        <v>0</v>
      </c>
      <c r="J38" s="152">
        <v>0</v>
      </c>
      <c r="K38" s="152">
        <v>0</v>
      </c>
      <c r="L38" s="152">
        <v>0</v>
      </c>
      <c r="M38" s="152">
        <v>0</v>
      </c>
      <c r="N38" s="153">
        <f t="shared" si="28"/>
        <v>16718353</v>
      </c>
      <c r="O38" s="152">
        <v>0</v>
      </c>
      <c r="P38" s="152">
        <v>0</v>
      </c>
      <c r="Q38" s="152">
        <v>0</v>
      </c>
      <c r="R38" s="153">
        <f t="shared" si="29"/>
        <v>0</v>
      </c>
      <c r="S38" s="152">
        <v>0</v>
      </c>
      <c r="T38" s="152">
        <v>0</v>
      </c>
      <c r="U38" s="152">
        <v>0</v>
      </c>
      <c r="V38" s="152">
        <v>0</v>
      </c>
      <c r="W38" s="152">
        <v>0</v>
      </c>
      <c r="X38" s="152">
        <v>0</v>
      </c>
      <c r="Y38" s="152">
        <v>0</v>
      </c>
      <c r="Z38" s="153">
        <f t="shared" si="30"/>
        <v>0</v>
      </c>
      <c r="AA38" s="153">
        <f t="shared" si="31"/>
        <v>16718353</v>
      </c>
    </row>
    <row r="39" spans="1:27">
      <c r="A39" s="273"/>
      <c r="B39" s="273"/>
      <c r="C39" s="151" t="s">
        <v>64</v>
      </c>
      <c r="D39" s="157"/>
      <c r="E39" s="152">
        <v>2991990</v>
      </c>
      <c r="F39" s="152">
        <v>2616200</v>
      </c>
      <c r="G39" s="152">
        <v>6262500</v>
      </c>
      <c r="H39" s="152">
        <v>3342190</v>
      </c>
      <c r="I39" s="152">
        <v>2789000</v>
      </c>
      <c r="J39" s="152">
        <v>1147700</v>
      </c>
      <c r="K39" s="152">
        <v>2552000</v>
      </c>
      <c r="L39" s="152">
        <v>4628700</v>
      </c>
      <c r="M39" s="152">
        <v>711510</v>
      </c>
      <c r="N39" s="153">
        <f>SUM(E39:M39)</f>
        <v>27041790</v>
      </c>
      <c r="O39" s="152">
        <v>940400</v>
      </c>
      <c r="P39" s="152">
        <v>2653455</v>
      </c>
      <c r="Q39" s="152">
        <v>1317000</v>
      </c>
      <c r="R39" s="153">
        <f t="shared" si="29"/>
        <v>4910855</v>
      </c>
      <c r="S39" s="152">
        <v>3418000</v>
      </c>
      <c r="T39" s="152">
        <v>1617000</v>
      </c>
      <c r="U39" s="152">
        <v>1485000</v>
      </c>
      <c r="V39" s="152">
        <v>525562</v>
      </c>
      <c r="W39" s="152">
        <v>120650</v>
      </c>
      <c r="X39" s="152">
        <v>0</v>
      </c>
      <c r="Y39" s="152">
        <v>4600</v>
      </c>
      <c r="Z39" s="153">
        <f t="shared" si="30"/>
        <v>7170812</v>
      </c>
      <c r="AA39" s="153">
        <f t="shared" si="31"/>
        <v>39123457</v>
      </c>
    </row>
    <row r="40" spans="1:27">
      <c r="A40" s="273"/>
      <c r="B40" s="151" t="s">
        <v>102</v>
      </c>
      <c r="C40" s="151" t="s">
        <v>103</v>
      </c>
      <c r="D40" s="157"/>
      <c r="E40" s="152">
        <v>0</v>
      </c>
      <c r="F40" s="152">
        <v>0</v>
      </c>
      <c r="G40" s="152">
        <v>600000</v>
      </c>
      <c r="H40" s="152">
        <v>0</v>
      </c>
      <c r="I40" s="152">
        <v>690000</v>
      </c>
      <c r="J40" s="152">
        <v>0</v>
      </c>
      <c r="K40" s="152">
        <v>0</v>
      </c>
      <c r="L40" s="152">
        <v>0</v>
      </c>
      <c r="M40" s="152">
        <v>0</v>
      </c>
      <c r="N40" s="153">
        <f>SUM(E40:M40)</f>
        <v>1290000</v>
      </c>
      <c r="O40" s="152">
        <v>0</v>
      </c>
      <c r="P40" s="152">
        <v>702000</v>
      </c>
      <c r="Q40" s="152">
        <v>400000</v>
      </c>
      <c r="R40" s="153">
        <f t="shared" si="29"/>
        <v>1102000</v>
      </c>
      <c r="S40" s="152">
        <v>0</v>
      </c>
      <c r="T40" s="152">
        <v>0</v>
      </c>
      <c r="U40" s="152">
        <v>0</v>
      </c>
      <c r="V40" s="152">
        <v>0</v>
      </c>
      <c r="W40" s="152">
        <v>0</v>
      </c>
      <c r="X40" s="152">
        <v>0</v>
      </c>
      <c r="Y40" s="152">
        <v>0</v>
      </c>
      <c r="Z40" s="153">
        <f t="shared" si="30"/>
        <v>0</v>
      </c>
      <c r="AA40" s="153">
        <f t="shared" si="31"/>
        <v>2392000</v>
      </c>
    </row>
    <row r="41" spans="1:27">
      <c r="A41" s="273"/>
      <c r="B41" s="273" t="s">
        <v>63</v>
      </c>
      <c r="C41" s="273"/>
      <c r="D41" s="157"/>
      <c r="E41" s="152">
        <v>147000</v>
      </c>
      <c r="F41" s="152">
        <v>64315</v>
      </c>
      <c r="G41" s="152">
        <v>412855</v>
      </c>
      <c r="H41" s="152">
        <v>10000</v>
      </c>
      <c r="I41" s="152">
        <v>0</v>
      </c>
      <c r="J41" s="152">
        <v>0</v>
      </c>
      <c r="K41" s="152">
        <v>446000</v>
      </c>
      <c r="L41" s="152">
        <v>152080</v>
      </c>
      <c r="M41" s="152">
        <v>126485</v>
      </c>
      <c r="N41" s="153">
        <f t="shared" si="28"/>
        <v>1358735</v>
      </c>
      <c r="O41" s="152">
        <v>29200</v>
      </c>
      <c r="P41" s="152"/>
      <c r="Q41" s="152">
        <v>8918</v>
      </c>
      <c r="R41" s="153">
        <f t="shared" si="29"/>
        <v>38118</v>
      </c>
      <c r="S41" s="152"/>
      <c r="T41" s="152">
        <v>9000</v>
      </c>
      <c r="U41" s="152">
        <v>10000</v>
      </c>
      <c r="V41" s="152"/>
      <c r="W41" s="152"/>
      <c r="X41" s="152"/>
      <c r="Y41" s="152"/>
      <c r="Z41" s="153">
        <f t="shared" si="30"/>
        <v>19000</v>
      </c>
      <c r="AA41" s="153">
        <f t="shared" si="31"/>
        <v>1415853</v>
      </c>
    </row>
    <row r="42" spans="1:27">
      <c r="A42" s="273"/>
      <c r="B42" s="273" t="s">
        <v>61</v>
      </c>
      <c r="C42" s="151" t="s">
        <v>38</v>
      </c>
      <c r="D42" s="157"/>
      <c r="E42" s="152">
        <v>0</v>
      </c>
      <c r="F42" s="152">
        <v>0</v>
      </c>
      <c r="G42" s="152">
        <v>1304000</v>
      </c>
      <c r="H42" s="152">
        <v>0</v>
      </c>
      <c r="I42" s="152">
        <v>500000</v>
      </c>
      <c r="J42" s="152">
        <v>0</v>
      </c>
      <c r="K42" s="152">
        <v>0</v>
      </c>
      <c r="L42" s="152">
        <v>0</v>
      </c>
      <c r="M42" s="152">
        <v>0</v>
      </c>
      <c r="N42" s="153">
        <f t="shared" si="28"/>
        <v>1804000</v>
      </c>
      <c r="O42" s="152">
        <v>0</v>
      </c>
      <c r="P42" s="152">
        <v>0</v>
      </c>
      <c r="Q42" s="152">
        <v>0</v>
      </c>
      <c r="R42" s="153">
        <f t="shared" si="29"/>
        <v>0</v>
      </c>
      <c r="S42" s="152">
        <v>0</v>
      </c>
      <c r="T42" s="152">
        <v>0</v>
      </c>
      <c r="U42" s="152">
        <v>0</v>
      </c>
      <c r="V42" s="152">
        <v>0</v>
      </c>
      <c r="W42" s="152">
        <v>0</v>
      </c>
      <c r="X42" s="152">
        <v>0</v>
      </c>
      <c r="Y42" s="152">
        <v>0</v>
      </c>
      <c r="Z42" s="153">
        <f t="shared" si="30"/>
        <v>0</v>
      </c>
      <c r="AA42" s="153">
        <f t="shared" si="31"/>
        <v>1804000</v>
      </c>
    </row>
    <row r="43" spans="1:27">
      <c r="A43" s="273"/>
      <c r="B43" s="273"/>
      <c r="C43" s="151" t="s">
        <v>39</v>
      </c>
      <c r="D43" s="157"/>
      <c r="E43" s="152">
        <v>2498000</v>
      </c>
      <c r="F43" s="152">
        <v>536000</v>
      </c>
      <c r="G43" s="152">
        <v>1939000</v>
      </c>
      <c r="H43" s="152">
        <v>823574</v>
      </c>
      <c r="I43" s="152">
        <v>535000</v>
      </c>
      <c r="J43" s="152">
        <v>1518648</v>
      </c>
      <c r="K43" s="152">
        <v>1467000</v>
      </c>
      <c r="L43" s="152">
        <v>185000</v>
      </c>
      <c r="M43" s="152">
        <v>627000</v>
      </c>
      <c r="N43" s="153">
        <f t="shared" si="28"/>
        <v>10129222</v>
      </c>
      <c r="O43" s="152">
        <v>0</v>
      </c>
      <c r="P43" s="152">
        <v>345000</v>
      </c>
      <c r="Q43" s="152">
        <v>17000</v>
      </c>
      <c r="R43" s="153">
        <f t="shared" si="29"/>
        <v>362000</v>
      </c>
      <c r="S43" s="152">
        <v>29000</v>
      </c>
      <c r="T43" s="152">
        <v>0</v>
      </c>
      <c r="U43" s="152">
        <v>0</v>
      </c>
      <c r="V43" s="152">
        <v>0</v>
      </c>
      <c r="W43" s="152">
        <v>135136</v>
      </c>
      <c r="X43" s="152">
        <v>0</v>
      </c>
      <c r="Y43" s="152">
        <v>0</v>
      </c>
      <c r="Z43" s="153">
        <f t="shared" si="30"/>
        <v>164136</v>
      </c>
      <c r="AA43" s="153">
        <f t="shared" si="31"/>
        <v>10655358</v>
      </c>
    </row>
    <row r="44" spans="1:27">
      <c r="A44" s="274"/>
      <c r="B44" s="207" t="s">
        <v>67</v>
      </c>
      <c r="C44" s="207" t="s">
        <v>37</v>
      </c>
      <c r="D44" s="158"/>
      <c r="E44" s="155">
        <v>1000</v>
      </c>
      <c r="F44" s="155">
        <v>71000</v>
      </c>
      <c r="G44" s="155">
        <v>343000</v>
      </c>
      <c r="H44" s="155">
        <v>397500</v>
      </c>
      <c r="I44" s="155">
        <v>175280</v>
      </c>
      <c r="J44" s="155">
        <v>160000</v>
      </c>
      <c r="K44" s="155">
        <v>91000</v>
      </c>
      <c r="L44" s="155">
        <v>42000</v>
      </c>
      <c r="M44" s="155">
        <v>0</v>
      </c>
      <c r="N44" s="156">
        <f t="shared" ref="N44" si="32">SUM(E44:M44)</f>
        <v>1280780</v>
      </c>
      <c r="O44" s="155">
        <v>0</v>
      </c>
      <c r="P44" s="155">
        <v>0</v>
      </c>
      <c r="Q44" s="155">
        <v>0</v>
      </c>
      <c r="R44" s="156">
        <f t="shared" ref="R44" si="33">SUM(O44:Q44)</f>
        <v>0</v>
      </c>
      <c r="S44" s="155">
        <v>0</v>
      </c>
      <c r="T44" s="155">
        <v>10000</v>
      </c>
      <c r="U44" s="155">
        <v>0</v>
      </c>
      <c r="V44" s="155">
        <v>0</v>
      </c>
      <c r="W44" s="155">
        <v>0</v>
      </c>
      <c r="X44" s="155">
        <v>0</v>
      </c>
      <c r="Y44" s="155">
        <v>5000</v>
      </c>
      <c r="Z44" s="156">
        <f t="shared" ref="Z44" si="34">SUM(S44:Y44)</f>
        <v>15000</v>
      </c>
      <c r="AA44" s="156">
        <f t="shared" ref="AA44" si="35">N44+R44+Z44</f>
        <v>1295780</v>
      </c>
    </row>
    <row r="45" spans="1:27">
      <c r="A45" s="275"/>
      <c r="B45" s="154" t="s">
        <v>353</v>
      </c>
      <c r="C45" s="207" t="s">
        <v>354</v>
      </c>
      <c r="D45" s="158"/>
      <c r="E45" s="155">
        <v>2080232</v>
      </c>
      <c r="F45" s="155">
        <v>0</v>
      </c>
      <c r="G45" s="155">
        <v>0</v>
      </c>
      <c r="H45" s="155">
        <v>0</v>
      </c>
      <c r="I45" s="155">
        <v>4194330</v>
      </c>
      <c r="J45" s="155">
        <v>0</v>
      </c>
      <c r="K45" s="155">
        <v>0</v>
      </c>
      <c r="L45" s="155">
        <v>0</v>
      </c>
      <c r="M45" s="155">
        <v>1596000</v>
      </c>
      <c r="N45" s="156">
        <f t="shared" si="28"/>
        <v>7870562</v>
      </c>
      <c r="O45" s="155">
        <v>0</v>
      </c>
      <c r="P45" s="155">
        <v>0</v>
      </c>
      <c r="Q45" s="155">
        <v>3203000</v>
      </c>
      <c r="R45" s="156">
        <f t="shared" si="29"/>
        <v>3203000</v>
      </c>
      <c r="S45" s="155">
        <v>0</v>
      </c>
      <c r="T45" s="155">
        <v>0</v>
      </c>
      <c r="U45" s="155">
        <v>0</v>
      </c>
      <c r="V45" s="155">
        <v>0</v>
      </c>
      <c r="W45" s="155">
        <v>0</v>
      </c>
      <c r="X45" s="155">
        <v>0</v>
      </c>
      <c r="Y45" s="155">
        <v>0</v>
      </c>
      <c r="Z45" s="156">
        <f t="shared" si="30"/>
        <v>0</v>
      </c>
      <c r="AA45" s="156">
        <f t="shared" si="31"/>
        <v>11073562</v>
      </c>
    </row>
    <row r="47" spans="1:27">
      <c r="A47" s="272" t="s">
        <v>243</v>
      </c>
      <c r="B47" s="272"/>
      <c r="C47" s="272"/>
      <c r="D47" s="205" t="s">
        <v>271</v>
      </c>
      <c r="E47" s="149" t="s">
        <v>128</v>
      </c>
      <c r="F47" s="149" t="s">
        <v>18</v>
      </c>
      <c r="G47" s="149" t="s">
        <v>19</v>
      </c>
      <c r="H47" s="149" t="s">
        <v>3</v>
      </c>
      <c r="I47" s="149" t="s">
        <v>5</v>
      </c>
      <c r="J47" s="149" t="s">
        <v>20</v>
      </c>
      <c r="K47" s="149" t="s">
        <v>7</v>
      </c>
      <c r="L47" s="149" t="s">
        <v>22</v>
      </c>
      <c r="M47" s="149" t="s">
        <v>23</v>
      </c>
      <c r="N47" s="150" t="s">
        <v>85</v>
      </c>
      <c r="O47" s="149" t="s">
        <v>21</v>
      </c>
      <c r="P47" s="149" t="s">
        <v>24</v>
      </c>
      <c r="Q47" s="149" t="s">
        <v>25</v>
      </c>
      <c r="R47" s="150" t="s">
        <v>85</v>
      </c>
      <c r="S47" s="149" t="s">
        <v>26</v>
      </c>
      <c r="T47" s="149" t="s">
        <v>27</v>
      </c>
      <c r="U47" s="149" t="s">
        <v>28</v>
      </c>
      <c r="V47" s="149" t="s">
        <v>29</v>
      </c>
      <c r="W47" s="149" t="s">
        <v>30</v>
      </c>
      <c r="X47" s="149" t="s">
        <v>31</v>
      </c>
      <c r="Y47" s="149" t="s">
        <v>32</v>
      </c>
      <c r="Z47" s="150" t="s">
        <v>85</v>
      </c>
      <c r="AA47" s="150" t="s">
        <v>129</v>
      </c>
    </row>
    <row r="48" spans="1:27">
      <c r="A48" s="273" t="s">
        <v>241</v>
      </c>
      <c r="B48" s="273"/>
      <c r="C48" s="151" t="s">
        <v>141</v>
      </c>
      <c r="D48" s="152"/>
      <c r="E48" s="152">
        <f t="shared" ref="E48:M48" si="36">ROUND((E4+E26)/1000,0)</f>
        <v>951</v>
      </c>
      <c r="F48" s="152">
        <f t="shared" si="36"/>
        <v>367</v>
      </c>
      <c r="G48" s="152">
        <f t="shared" si="36"/>
        <v>792</v>
      </c>
      <c r="H48" s="152">
        <f t="shared" si="36"/>
        <v>44</v>
      </c>
      <c r="I48" s="152">
        <f t="shared" si="36"/>
        <v>306</v>
      </c>
      <c r="J48" s="152">
        <f t="shared" si="36"/>
        <v>287</v>
      </c>
      <c r="K48" s="152">
        <f t="shared" si="36"/>
        <v>163</v>
      </c>
      <c r="L48" s="152">
        <f t="shared" si="36"/>
        <v>3</v>
      </c>
      <c r="M48" s="152">
        <f t="shared" si="36"/>
        <v>30</v>
      </c>
      <c r="N48" s="153">
        <f>SUM(E48:M48)</f>
        <v>2943</v>
      </c>
      <c r="O48" s="152">
        <f t="shared" ref="O48:Q54" si="37">ROUND((O4+O26)/1000,0)</f>
        <v>224</v>
      </c>
      <c r="P48" s="152">
        <f t="shared" si="37"/>
        <v>239</v>
      </c>
      <c r="Q48" s="152">
        <f t="shared" si="37"/>
        <v>161</v>
      </c>
      <c r="R48" s="153">
        <f>SUM(O48:Q48)</f>
        <v>624</v>
      </c>
      <c r="S48" s="152">
        <f t="shared" ref="S48:Y54" si="38">ROUND((S4+S26)/1000,0)</f>
        <v>207</v>
      </c>
      <c r="T48" s="152">
        <f t="shared" si="38"/>
        <v>106</v>
      </c>
      <c r="U48" s="152">
        <f t="shared" si="38"/>
        <v>86</v>
      </c>
      <c r="V48" s="152">
        <f t="shared" si="38"/>
        <v>40</v>
      </c>
      <c r="W48" s="152">
        <f t="shared" si="38"/>
        <v>32</v>
      </c>
      <c r="X48" s="152">
        <f t="shared" si="38"/>
        <v>150</v>
      </c>
      <c r="Y48" s="152">
        <f t="shared" si="38"/>
        <v>0</v>
      </c>
      <c r="Z48" s="153">
        <f>SUM(S48:Y48)</f>
        <v>621</v>
      </c>
      <c r="AA48" s="153">
        <f>N48+R48+Z48</f>
        <v>4188</v>
      </c>
    </row>
    <row r="49" spans="1:27">
      <c r="A49" s="273"/>
      <c r="B49" s="273"/>
      <c r="C49" s="151" t="s">
        <v>95</v>
      </c>
      <c r="D49" s="152"/>
      <c r="E49" s="152">
        <f t="shared" ref="E49:M49" si="39">ROUND((E5+E27)/1000,0)</f>
        <v>6867</v>
      </c>
      <c r="F49" s="152">
        <f t="shared" si="39"/>
        <v>1061</v>
      </c>
      <c r="G49" s="152">
        <f t="shared" si="39"/>
        <v>4021</v>
      </c>
      <c r="H49" s="152">
        <f t="shared" si="39"/>
        <v>1391</v>
      </c>
      <c r="I49" s="152">
        <f t="shared" si="39"/>
        <v>706</v>
      </c>
      <c r="J49" s="152">
        <f t="shared" si="39"/>
        <v>1477</v>
      </c>
      <c r="K49" s="152">
        <f t="shared" si="39"/>
        <v>811</v>
      </c>
      <c r="L49" s="152">
        <f t="shared" si="39"/>
        <v>2118</v>
      </c>
      <c r="M49" s="152">
        <f t="shared" si="39"/>
        <v>1763</v>
      </c>
      <c r="N49" s="153">
        <f t="shared" ref="N49:N55" si="40">SUM(E49:M49)</f>
        <v>20215</v>
      </c>
      <c r="O49" s="152">
        <f t="shared" si="37"/>
        <v>872</v>
      </c>
      <c r="P49" s="152">
        <f t="shared" si="37"/>
        <v>1213</v>
      </c>
      <c r="Q49" s="152">
        <f t="shared" si="37"/>
        <v>1829</v>
      </c>
      <c r="R49" s="153">
        <f t="shared" ref="R49:R55" si="41">SUM(O49:Q49)</f>
        <v>3914</v>
      </c>
      <c r="S49" s="152">
        <f t="shared" si="38"/>
        <v>1344</v>
      </c>
      <c r="T49" s="152">
        <f t="shared" si="38"/>
        <v>635</v>
      </c>
      <c r="U49" s="152">
        <f t="shared" si="38"/>
        <v>472</v>
      </c>
      <c r="V49" s="152">
        <f t="shared" si="38"/>
        <v>611</v>
      </c>
      <c r="W49" s="152">
        <f t="shared" si="38"/>
        <v>114</v>
      </c>
      <c r="X49" s="152">
        <f t="shared" si="38"/>
        <v>308</v>
      </c>
      <c r="Y49" s="152">
        <f t="shared" si="38"/>
        <v>165</v>
      </c>
      <c r="Z49" s="153">
        <f t="shared" ref="Z49:Z55" si="42">SUM(S49:Y49)</f>
        <v>3649</v>
      </c>
      <c r="AA49" s="153">
        <f t="shared" ref="AA49:AA55" si="43">N49+R49+Z49</f>
        <v>27778</v>
      </c>
    </row>
    <row r="50" spans="1:27">
      <c r="A50" s="273"/>
      <c r="B50" s="273"/>
      <c r="C50" s="151" t="s">
        <v>96</v>
      </c>
      <c r="D50" s="152"/>
      <c r="E50" s="152">
        <f t="shared" ref="E50:M50" si="44">ROUND((E6+E28)/1000,0)</f>
        <v>7974</v>
      </c>
      <c r="F50" s="152">
        <f t="shared" si="44"/>
        <v>6160</v>
      </c>
      <c r="G50" s="152">
        <f t="shared" si="44"/>
        <v>5757</v>
      </c>
      <c r="H50" s="152">
        <f t="shared" si="44"/>
        <v>2366</v>
      </c>
      <c r="I50" s="152">
        <f t="shared" si="44"/>
        <v>2456</v>
      </c>
      <c r="J50" s="152">
        <f t="shared" si="44"/>
        <v>1772</v>
      </c>
      <c r="K50" s="152">
        <f t="shared" si="44"/>
        <v>2208</v>
      </c>
      <c r="L50" s="152">
        <f t="shared" si="44"/>
        <v>3653</v>
      </c>
      <c r="M50" s="152">
        <f t="shared" si="44"/>
        <v>3319</v>
      </c>
      <c r="N50" s="153">
        <f t="shared" si="40"/>
        <v>35665</v>
      </c>
      <c r="O50" s="152">
        <f t="shared" si="37"/>
        <v>703</v>
      </c>
      <c r="P50" s="152">
        <f t="shared" si="37"/>
        <v>1748</v>
      </c>
      <c r="Q50" s="152">
        <f t="shared" si="37"/>
        <v>1227</v>
      </c>
      <c r="R50" s="153">
        <f t="shared" si="41"/>
        <v>3678</v>
      </c>
      <c r="S50" s="152">
        <f t="shared" si="38"/>
        <v>1064</v>
      </c>
      <c r="T50" s="152">
        <f t="shared" si="38"/>
        <v>699</v>
      </c>
      <c r="U50" s="152">
        <f t="shared" si="38"/>
        <v>677</v>
      </c>
      <c r="V50" s="152">
        <f t="shared" si="38"/>
        <v>604</v>
      </c>
      <c r="W50" s="152">
        <f t="shared" si="38"/>
        <v>273</v>
      </c>
      <c r="X50" s="152">
        <f t="shared" si="38"/>
        <v>40</v>
      </c>
      <c r="Y50" s="152">
        <f t="shared" si="38"/>
        <v>40</v>
      </c>
      <c r="Z50" s="153">
        <f t="shared" si="42"/>
        <v>3397</v>
      </c>
      <c r="AA50" s="153">
        <f t="shared" si="43"/>
        <v>42740</v>
      </c>
    </row>
    <row r="51" spans="1:27">
      <c r="A51" s="273"/>
      <c r="B51" s="273"/>
      <c r="C51" s="151" t="s">
        <v>97</v>
      </c>
      <c r="D51" s="152"/>
      <c r="E51" s="152">
        <f t="shared" ref="E51:M51" si="45">ROUND((E7+E29)/1000,0)</f>
        <v>5248</v>
      </c>
      <c r="F51" s="152">
        <f t="shared" si="45"/>
        <v>372</v>
      </c>
      <c r="G51" s="152">
        <f t="shared" si="45"/>
        <v>647</v>
      </c>
      <c r="H51" s="152">
        <f t="shared" si="45"/>
        <v>188</v>
      </c>
      <c r="I51" s="152">
        <f t="shared" si="45"/>
        <v>188</v>
      </c>
      <c r="J51" s="152">
        <f t="shared" si="45"/>
        <v>159</v>
      </c>
      <c r="K51" s="152">
        <f t="shared" si="45"/>
        <v>233</v>
      </c>
      <c r="L51" s="152">
        <f t="shared" si="45"/>
        <v>266</v>
      </c>
      <c r="M51" s="152">
        <f t="shared" si="45"/>
        <v>203</v>
      </c>
      <c r="N51" s="153">
        <f t="shared" si="40"/>
        <v>7504</v>
      </c>
      <c r="O51" s="152">
        <f t="shared" si="37"/>
        <v>150</v>
      </c>
      <c r="P51" s="152">
        <f t="shared" si="37"/>
        <v>208</v>
      </c>
      <c r="Q51" s="152">
        <f t="shared" si="37"/>
        <v>587</v>
      </c>
      <c r="R51" s="153">
        <f t="shared" si="41"/>
        <v>945</v>
      </c>
      <c r="S51" s="152">
        <f t="shared" si="38"/>
        <v>687</v>
      </c>
      <c r="T51" s="152">
        <f t="shared" si="38"/>
        <v>538</v>
      </c>
      <c r="U51" s="152">
        <f t="shared" si="38"/>
        <v>119</v>
      </c>
      <c r="V51" s="152">
        <f t="shared" si="38"/>
        <v>84</v>
      </c>
      <c r="W51" s="152">
        <f t="shared" si="38"/>
        <v>61</v>
      </c>
      <c r="X51" s="152">
        <f t="shared" si="38"/>
        <v>53</v>
      </c>
      <c r="Y51" s="152">
        <f t="shared" si="38"/>
        <v>93</v>
      </c>
      <c r="Z51" s="153">
        <f t="shared" si="42"/>
        <v>1635</v>
      </c>
      <c r="AA51" s="153">
        <f t="shared" si="43"/>
        <v>10084</v>
      </c>
    </row>
    <row r="52" spans="1:27">
      <c r="A52" s="273"/>
      <c r="B52" s="273"/>
      <c r="C52" s="151" t="s">
        <v>281</v>
      </c>
      <c r="D52" s="152"/>
      <c r="E52" s="152">
        <f t="shared" ref="E52:M52" si="46">ROUND((E8+E30)/1000,0)</f>
        <v>3214</v>
      </c>
      <c r="F52" s="152">
        <f t="shared" si="46"/>
        <v>1224</v>
      </c>
      <c r="G52" s="152">
        <f t="shared" si="46"/>
        <v>1455</v>
      </c>
      <c r="H52" s="152">
        <f t="shared" si="46"/>
        <v>1242</v>
      </c>
      <c r="I52" s="152">
        <f t="shared" si="46"/>
        <v>469</v>
      </c>
      <c r="J52" s="152">
        <f t="shared" si="46"/>
        <v>392</v>
      </c>
      <c r="K52" s="152">
        <f t="shared" si="46"/>
        <v>895</v>
      </c>
      <c r="L52" s="152">
        <f t="shared" si="46"/>
        <v>772</v>
      </c>
      <c r="M52" s="152">
        <f t="shared" si="46"/>
        <v>372</v>
      </c>
      <c r="N52" s="153">
        <f t="shared" si="40"/>
        <v>10035</v>
      </c>
      <c r="O52" s="152">
        <f t="shared" si="37"/>
        <v>290</v>
      </c>
      <c r="P52" s="152">
        <f t="shared" si="37"/>
        <v>712</v>
      </c>
      <c r="Q52" s="152">
        <f t="shared" si="37"/>
        <v>637</v>
      </c>
      <c r="R52" s="153">
        <f t="shared" si="41"/>
        <v>1639</v>
      </c>
      <c r="S52" s="152">
        <f t="shared" si="38"/>
        <v>1052</v>
      </c>
      <c r="T52" s="152">
        <f t="shared" si="38"/>
        <v>1248</v>
      </c>
      <c r="U52" s="152">
        <f t="shared" si="38"/>
        <v>223</v>
      </c>
      <c r="V52" s="152">
        <f t="shared" si="38"/>
        <v>444</v>
      </c>
      <c r="W52" s="152">
        <f t="shared" si="38"/>
        <v>335</v>
      </c>
      <c r="X52" s="152">
        <f t="shared" si="38"/>
        <v>264</v>
      </c>
      <c r="Y52" s="152">
        <f t="shared" si="38"/>
        <v>28</v>
      </c>
      <c r="Z52" s="153">
        <f t="shared" si="42"/>
        <v>3594</v>
      </c>
      <c r="AA52" s="153">
        <f t="shared" si="43"/>
        <v>15268</v>
      </c>
    </row>
    <row r="53" spans="1:27">
      <c r="A53" s="274"/>
      <c r="B53" s="274"/>
      <c r="C53" s="206" t="s">
        <v>351</v>
      </c>
      <c r="D53" s="152"/>
      <c r="E53" s="152">
        <f t="shared" ref="E53:M53" si="47">ROUND((E9+E31)/1000,0)</f>
        <v>280</v>
      </c>
      <c r="F53" s="152">
        <f t="shared" si="47"/>
        <v>216</v>
      </c>
      <c r="G53" s="152">
        <f t="shared" si="47"/>
        <v>202</v>
      </c>
      <c r="H53" s="152">
        <f t="shared" si="47"/>
        <v>83</v>
      </c>
      <c r="I53" s="152">
        <f t="shared" si="47"/>
        <v>86</v>
      </c>
      <c r="J53" s="152">
        <f t="shared" si="47"/>
        <v>62</v>
      </c>
      <c r="K53" s="152">
        <f t="shared" si="47"/>
        <v>77</v>
      </c>
      <c r="L53" s="152">
        <f t="shared" si="47"/>
        <v>128</v>
      </c>
      <c r="M53" s="152">
        <f t="shared" si="47"/>
        <v>117</v>
      </c>
      <c r="N53" s="153">
        <f t="shared" si="40"/>
        <v>1251</v>
      </c>
      <c r="O53" s="152">
        <f t="shared" si="37"/>
        <v>25</v>
      </c>
      <c r="P53" s="152">
        <f t="shared" si="37"/>
        <v>61</v>
      </c>
      <c r="Q53" s="152">
        <f t="shared" si="37"/>
        <v>43</v>
      </c>
      <c r="R53" s="153">
        <f t="shared" si="41"/>
        <v>129</v>
      </c>
      <c r="S53" s="152">
        <f t="shared" si="38"/>
        <v>37</v>
      </c>
      <c r="T53" s="152">
        <f t="shared" si="38"/>
        <v>25</v>
      </c>
      <c r="U53" s="152">
        <f t="shared" si="38"/>
        <v>24</v>
      </c>
      <c r="V53" s="152">
        <f t="shared" si="38"/>
        <v>21</v>
      </c>
      <c r="W53" s="152">
        <f t="shared" si="38"/>
        <v>10</v>
      </c>
      <c r="X53" s="152">
        <f t="shared" si="38"/>
        <v>1</v>
      </c>
      <c r="Y53" s="152">
        <f t="shared" si="38"/>
        <v>1</v>
      </c>
      <c r="Z53" s="153">
        <f t="shared" si="42"/>
        <v>119</v>
      </c>
      <c r="AA53" s="153">
        <f t="shared" si="43"/>
        <v>1499</v>
      </c>
    </row>
    <row r="54" spans="1:27">
      <c r="A54" s="274"/>
      <c r="B54" s="274"/>
      <c r="C54" s="206" t="s">
        <v>352</v>
      </c>
      <c r="D54" s="152"/>
      <c r="E54" s="152">
        <f t="shared" ref="E54:M54" si="48">ROUND((E10+E32)/1000,0)</f>
        <v>37</v>
      </c>
      <c r="F54" s="152">
        <f t="shared" si="48"/>
        <v>29</v>
      </c>
      <c r="G54" s="152">
        <f t="shared" si="48"/>
        <v>27</v>
      </c>
      <c r="H54" s="152">
        <f t="shared" si="48"/>
        <v>11</v>
      </c>
      <c r="I54" s="152">
        <f t="shared" si="48"/>
        <v>11</v>
      </c>
      <c r="J54" s="152">
        <f t="shared" si="48"/>
        <v>8</v>
      </c>
      <c r="K54" s="152">
        <f t="shared" si="48"/>
        <v>10</v>
      </c>
      <c r="L54" s="152">
        <f t="shared" si="48"/>
        <v>17</v>
      </c>
      <c r="M54" s="152">
        <f t="shared" si="48"/>
        <v>16</v>
      </c>
      <c r="N54" s="153">
        <f t="shared" ref="N54" si="49">SUM(E54:M54)</f>
        <v>166</v>
      </c>
      <c r="O54" s="152">
        <f t="shared" si="37"/>
        <v>3</v>
      </c>
      <c r="P54" s="152">
        <f t="shared" si="37"/>
        <v>8</v>
      </c>
      <c r="Q54" s="152">
        <f t="shared" si="37"/>
        <v>6</v>
      </c>
      <c r="R54" s="153">
        <f t="shared" ref="R54" si="50">SUM(O54:Q54)</f>
        <v>17</v>
      </c>
      <c r="S54" s="152">
        <f t="shared" si="38"/>
        <v>5</v>
      </c>
      <c r="T54" s="152">
        <f t="shared" si="38"/>
        <v>3</v>
      </c>
      <c r="U54" s="152">
        <f t="shared" si="38"/>
        <v>3</v>
      </c>
      <c r="V54" s="152">
        <f t="shared" si="38"/>
        <v>3</v>
      </c>
      <c r="W54" s="152">
        <f t="shared" si="38"/>
        <v>1</v>
      </c>
      <c r="X54" s="152">
        <f t="shared" si="38"/>
        <v>0</v>
      </c>
      <c r="Y54" s="152">
        <f t="shared" si="38"/>
        <v>0</v>
      </c>
      <c r="Z54" s="153">
        <f t="shared" ref="Z54" si="51">SUM(S54:Y54)</f>
        <v>15</v>
      </c>
      <c r="AA54" s="153">
        <f t="shared" ref="AA54" si="52">N54+R54+Z54</f>
        <v>198</v>
      </c>
    </row>
    <row r="55" spans="1:27">
      <c r="A55" s="275"/>
      <c r="B55" s="275"/>
      <c r="C55" s="154" t="s">
        <v>98</v>
      </c>
      <c r="D55" s="155"/>
      <c r="E55" s="155">
        <f t="shared" ref="E55:M55" si="53">ROUND((E11+E33)/1000,0)</f>
        <v>619</v>
      </c>
      <c r="F55" s="155">
        <f t="shared" si="53"/>
        <v>369</v>
      </c>
      <c r="G55" s="155">
        <f t="shared" si="53"/>
        <v>561</v>
      </c>
      <c r="H55" s="155">
        <f t="shared" si="53"/>
        <v>234</v>
      </c>
      <c r="I55" s="155">
        <f t="shared" si="53"/>
        <v>214</v>
      </c>
      <c r="J55" s="155">
        <f t="shared" si="53"/>
        <v>229</v>
      </c>
      <c r="K55" s="155">
        <f t="shared" si="53"/>
        <v>667</v>
      </c>
      <c r="L55" s="155">
        <f t="shared" si="53"/>
        <v>422</v>
      </c>
      <c r="M55" s="155">
        <f t="shared" si="53"/>
        <v>439</v>
      </c>
      <c r="N55" s="156">
        <f t="shared" si="40"/>
        <v>3754</v>
      </c>
      <c r="O55" s="155">
        <f t="shared" ref="O55:Q55" si="54">ROUND((O11+O33)/1000,0)</f>
        <v>105</v>
      </c>
      <c r="P55" s="155">
        <f t="shared" si="54"/>
        <v>777</v>
      </c>
      <c r="Q55" s="155">
        <f t="shared" si="54"/>
        <v>237</v>
      </c>
      <c r="R55" s="156">
        <f t="shared" si="41"/>
        <v>1119</v>
      </c>
      <c r="S55" s="155">
        <f t="shared" ref="S55:Y55" si="55">ROUND((S11+S33)/1000,0)</f>
        <v>238</v>
      </c>
      <c r="T55" s="155">
        <f t="shared" si="55"/>
        <v>100</v>
      </c>
      <c r="U55" s="155">
        <f t="shared" si="55"/>
        <v>191</v>
      </c>
      <c r="V55" s="155">
        <f t="shared" si="55"/>
        <v>65</v>
      </c>
      <c r="W55" s="155">
        <f t="shared" si="55"/>
        <v>78</v>
      </c>
      <c r="X55" s="155">
        <f t="shared" si="55"/>
        <v>160</v>
      </c>
      <c r="Y55" s="155">
        <f t="shared" si="55"/>
        <v>51</v>
      </c>
      <c r="Z55" s="156">
        <f t="shared" si="42"/>
        <v>883</v>
      </c>
      <c r="AA55" s="156">
        <f t="shared" si="43"/>
        <v>5756</v>
      </c>
    </row>
    <row r="56" spans="1:27">
      <c r="E56" s="21">
        <f>SUM(E48:E55)</f>
        <v>25190</v>
      </c>
      <c r="F56" s="21">
        <f t="shared" ref="F56:AA56" si="56">SUM(F48:F55)</f>
        <v>9798</v>
      </c>
      <c r="G56" s="21">
        <f t="shared" si="56"/>
        <v>13462</v>
      </c>
      <c r="H56" s="21">
        <f t="shared" si="56"/>
        <v>5559</v>
      </c>
      <c r="I56" s="21">
        <f t="shared" si="56"/>
        <v>4436</v>
      </c>
      <c r="J56" s="21">
        <f t="shared" si="56"/>
        <v>4386</v>
      </c>
      <c r="K56" s="21">
        <f t="shared" si="56"/>
        <v>5064</v>
      </c>
      <c r="L56" s="21">
        <f t="shared" si="56"/>
        <v>7379</v>
      </c>
      <c r="M56" s="21">
        <f t="shared" si="56"/>
        <v>6259</v>
      </c>
      <c r="N56" s="21">
        <f t="shared" si="56"/>
        <v>81533</v>
      </c>
      <c r="O56" s="21">
        <f t="shared" si="56"/>
        <v>2372</v>
      </c>
      <c r="P56" s="21">
        <f t="shared" si="56"/>
        <v>4966</v>
      </c>
      <c r="Q56" s="21">
        <f t="shared" si="56"/>
        <v>4727</v>
      </c>
      <c r="R56" s="21">
        <f t="shared" si="56"/>
        <v>12065</v>
      </c>
      <c r="S56" s="21">
        <f t="shared" si="56"/>
        <v>4634</v>
      </c>
      <c r="T56" s="21">
        <f t="shared" si="56"/>
        <v>3354</v>
      </c>
      <c r="U56" s="21">
        <f t="shared" si="56"/>
        <v>1795</v>
      </c>
      <c r="V56" s="21">
        <f t="shared" si="56"/>
        <v>1872</v>
      </c>
      <c r="W56" s="21">
        <f t="shared" si="56"/>
        <v>904</v>
      </c>
      <c r="X56" s="21">
        <f t="shared" si="56"/>
        <v>976</v>
      </c>
      <c r="Y56" s="21">
        <f t="shared" si="56"/>
        <v>378</v>
      </c>
      <c r="Z56" s="21">
        <f t="shared" si="56"/>
        <v>13913</v>
      </c>
      <c r="AA56" s="21">
        <f t="shared" si="56"/>
        <v>107511</v>
      </c>
    </row>
    <row r="57" spans="1:27">
      <c r="A57" s="272" t="s">
        <v>243</v>
      </c>
      <c r="B57" s="272"/>
      <c r="C57" s="272"/>
      <c r="D57" s="205" t="s">
        <v>271</v>
      </c>
      <c r="E57" s="149" t="s">
        <v>128</v>
      </c>
      <c r="F57" s="149" t="s">
        <v>18</v>
      </c>
      <c r="G57" s="149" t="s">
        <v>19</v>
      </c>
      <c r="H57" s="149" t="s">
        <v>3</v>
      </c>
      <c r="I57" s="149" t="s">
        <v>5</v>
      </c>
      <c r="J57" s="149" t="s">
        <v>20</v>
      </c>
      <c r="K57" s="149" t="s">
        <v>7</v>
      </c>
      <c r="L57" s="149" t="s">
        <v>22</v>
      </c>
      <c r="M57" s="149" t="s">
        <v>23</v>
      </c>
      <c r="N57" s="150" t="s">
        <v>85</v>
      </c>
      <c r="O57" s="149" t="s">
        <v>21</v>
      </c>
      <c r="P57" s="149" t="s">
        <v>24</v>
      </c>
      <c r="Q57" s="149" t="s">
        <v>25</v>
      </c>
      <c r="R57" s="150" t="s">
        <v>85</v>
      </c>
      <c r="S57" s="149" t="s">
        <v>26</v>
      </c>
      <c r="T57" s="149" t="s">
        <v>27</v>
      </c>
      <c r="U57" s="149" t="s">
        <v>28</v>
      </c>
      <c r="V57" s="149" t="s">
        <v>29</v>
      </c>
      <c r="W57" s="149" t="s">
        <v>30</v>
      </c>
      <c r="X57" s="149" t="s">
        <v>31</v>
      </c>
      <c r="Y57" s="149" t="s">
        <v>32</v>
      </c>
      <c r="Z57" s="150" t="s">
        <v>85</v>
      </c>
      <c r="AA57" s="150" t="s">
        <v>129</v>
      </c>
    </row>
    <row r="58" spans="1:27">
      <c r="A58" s="273" t="s">
        <v>242</v>
      </c>
      <c r="B58" s="273" t="s">
        <v>65</v>
      </c>
      <c r="C58" s="273"/>
      <c r="D58" s="157"/>
      <c r="E58" s="152">
        <f t="shared" ref="E58:M58" si="57">ROUND((E14+E36)/1000,0)</f>
        <v>19</v>
      </c>
      <c r="F58" s="152">
        <f t="shared" si="57"/>
        <v>22</v>
      </c>
      <c r="G58" s="152">
        <f t="shared" si="57"/>
        <v>1</v>
      </c>
      <c r="H58" s="152">
        <f t="shared" si="57"/>
        <v>28</v>
      </c>
      <c r="I58" s="152">
        <f t="shared" si="57"/>
        <v>6</v>
      </c>
      <c r="J58" s="152">
        <f t="shared" si="57"/>
        <v>0</v>
      </c>
      <c r="K58" s="152">
        <f t="shared" si="57"/>
        <v>11</v>
      </c>
      <c r="L58" s="152">
        <f t="shared" si="57"/>
        <v>1</v>
      </c>
      <c r="M58" s="152">
        <f t="shared" si="57"/>
        <v>1</v>
      </c>
      <c r="N58" s="153">
        <f>SUM(E58:M58)</f>
        <v>89</v>
      </c>
      <c r="O58" s="152">
        <f t="shared" ref="O58:Q65" si="58">ROUND((O14+O36)/1000,0)</f>
        <v>0</v>
      </c>
      <c r="P58" s="152">
        <f t="shared" si="58"/>
        <v>0</v>
      </c>
      <c r="Q58" s="152">
        <f t="shared" si="58"/>
        <v>0</v>
      </c>
      <c r="R58" s="153">
        <f>SUM(O58:Q58)</f>
        <v>0</v>
      </c>
      <c r="S58" s="152">
        <f t="shared" ref="S58:Y65" si="59">ROUND((S14+S36)/1000,0)</f>
        <v>0</v>
      </c>
      <c r="T58" s="152">
        <f t="shared" si="59"/>
        <v>20</v>
      </c>
      <c r="U58" s="152">
        <f t="shared" si="59"/>
        <v>0</v>
      </c>
      <c r="V58" s="152">
        <f t="shared" si="59"/>
        <v>11</v>
      </c>
      <c r="W58" s="152">
        <f t="shared" si="59"/>
        <v>0</v>
      </c>
      <c r="X58" s="152">
        <f t="shared" si="59"/>
        <v>0</v>
      </c>
      <c r="Y58" s="152">
        <f t="shared" si="59"/>
        <v>0</v>
      </c>
      <c r="Z58" s="153">
        <f>SUM(S58:Y58)</f>
        <v>31</v>
      </c>
      <c r="AA58" s="153">
        <f>N58+R58+Z58</f>
        <v>120</v>
      </c>
    </row>
    <row r="59" spans="1:27">
      <c r="A59" s="273"/>
      <c r="B59" s="273" t="s">
        <v>66</v>
      </c>
      <c r="C59" s="273"/>
      <c r="D59" s="157"/>
      <c r="E59" s="152">
        <f t="shared" ref="E59:M59" si="60">ROUND((E15+E37)/1000,0)</f>
        <v>0</v>
      </c>
      <c r="F59" s="152">
        <f t="shared" si="60"/>
        <v>0</v>
      </c>
      <c r="G59" s="152">
        <f t="shared" si="60"/>
        <v>50</v>
      </c>
      <c r="H59" s="152">
        <f t="shared" si="60"/>
        <v>0</v>
      </c>
      <c r="I59" s="152">
        <f t="shared" si="60"/>
        <v>0</v>
      </c>
      <c r="J59" s="152">
        <f t="shared" si="60"/>
        <v>0</v>
      </c>
      <c r="K59" s="152">
        <f t="shared" si="60"/>
        <v>0</v>
      </c>
      <c r="L59" s="152">
        <f t="shared" si="60"/>
        <v>0</v>
      </c>
      <c r="M59" s="152">
        <f t="shared" si="60"/>
        <v>0</v>
      </c>
      <c r="N59" s="153">
        <f t="shared" ref="N59:N60" si="61">SUM(E59:M59)</f>
        <v>50</v>
      </c>
      <c r="O59" s="152">
        <f t="shared" si="58"/>
        <v>0</v>
      </c>
      <c r="P59" s="152">
        <f t="shared" si="58"/>
        <v>0</v>
      </c>
      <c r="Q59" s="152">
        <f t="shared" si="58"/>
        <v>0</v>
      </c>
      <c r="R59" s="153">
        <f t="shared" ref="R59:R67" si="62">SUM(O59:Q59)</f>
        <v>0</v>
      </c>
      <c r="S59" s="152">
        <f t="shared" si="59"/>
        <v>0</v>
      </c>
      <c r="T59" s="152">
        <f t="shared" si="59"/>
        <v>0</v>
      </c>
      <c r="U59" s="152">
        <f t="shared" si="59"/>
        <v>0</v>
      </c>
      <c r="V59" s="152">
        <f t="shared" si="59"/>
        <v>0</v>
      </c>
      <c r="W59" s="152">
        <f t="shared" si="59"/>
        <v>0</v>
      </c>
      <c r="X59" s="152">
        <f t="shared" si="59"/>
        <v>0</v>
      </c>
      <c r="Y59" s="152">
        <f t="shared" si="59"/>
        <v>0</v>
      </c>
      <c r="Z59" s="153">
        <f t="shared" ref="Z59:Z67" si="63">SUM(S59:Y59)</f>
        <v>0</v>
      </c>
      <c r="AA59" s="153">
        <f t="shared" ref="AA59:AA67" si="64">N59+R59+Z59</f>
        <v>50</v>
      </c>
    </row>
    <row r="60" spans="1:27">
      <c r="A60" s="273"/>
      <c r="B60" s="273" t="s">
        <v>34</v>
      </c>
      <c r="C60" s="151" t="s">
        <v>81</v>
      </c>
      <c r="D60" s="157"/>
      <c r="E60" s="152">
        <f t="shared" ref="E60:M60" si="65">ROUND((E16+E38)/1000,0)</f>
        <v>12336</v>
      </c>
      <c r="F60" s="152">
        <f t="shared" si="65"/>
        <v>2162</v>
      </c>
      <c r="G60" s="152">
        <f t="shared" si="65"/>
        <v>894</v>
      </c>
      <c r="H60" s="152">
        <f t="shared" si="65"/>
        <v>1327</v>
      </c>
      <c r="I60" s="152">
        <f t="shared" si="65"/>
        <v>0</v>
      </c>
      <c r="J60" s="152">
        <f t="shared" si="65"/>
        <v>0</v>
      </c>
      <c r="K60" s="152">
        <f t="shared" si="65"/>
        <v>0</v>
      </c>
      <c r="L60" s="152">
        <f t="shared" si="65"/>
        <v>0</v>
      </c>
      <c r="M60" s="152">
        <f t="shared" si="65"/>
        <v>0</v>
      </c>
      <c r="N60" s="153">
        <f t="shared" si="61"/>
        <v>16719</v>
      </c>
      <c r="O60" s="152">
        <f t="shared" si="58"/>
        <v>0</v>
      </c>
      <c r="P60" s="152">
        <f t="shared" si="58"/>
        <v>0</v>
      </c>
      <c r="Q60" s="152">
        <f t="shared" si="58"/>
        <v>0</v>
      </c>
      <c r="R60" s="153">
        <f t="shared" si="62"/>
        <v>0</v>
      </c>
      <c r="S60" s="152">
        <f t="shared" si="59"/>
        <v>0</v>
      </c>
      <c r="T60" s="152">
        <f t="shared" si="59"/>
        <v>0</v>
      </c>
      <c r="U60" s="152">
        <f t="shared" si="59"/>
        <v>0</v>
      </c>
      <c r="V60" s="152">
        <f t="shared" si="59"/>
        <v>0</v>
      </c>
      <c r="W60" s="152">
        <f t="shared" si="59"/>
        <v>0</v>
      </c>
      <c r="X60" s="152">
        <f t="shared" si="59"/>
        <v>0</v>
      </c>
      <c r="Y60" s="152">
        <f t="shared" si="59"/>
        <v>0</v>
      </c>
      <c r="Z60" s="153">
        <f t="shared" si="63"/>
        <v>0</v>
      </c>
      <c r="AA60" s="153">
        <f t="shared" si="64"/>
        <v>16719</v>
      </c>
    </row>
    <row r="61" spans="1:27">
      <c r="A61" s="273"/>
      <c r="B61" s="273"/>
      <c r="C61" s="151" t="s">
        <v>64</v>
      </c>
      <c r="D61" s="157"/>
      <c r="E61" s="152">
        <f t="shared" ref="E61:M61" si="66">ROUND((E17+E39)/1000,0)</f>
        <v>5696</v>
      </c>
      <c r="F61" s="152">
        <f t="shared" si="66"/>
        <v>5727</v>
      </c>
      <c r="G61" s="152">
        <f t="shared" si="66"/>
        <v>6420</v>
      </c>
      <c r="H61" s="152">
        <f t="shared" si="66"/>
        <v>7345</v>
      </c>
      <c r="I61" s="152">
        <f t="shared" si="66"/>
        <v>3678</v>
      </c>
      <c r="J61" s="152">
        <f t="shared" si="66"/>
        <v>1196</v>
      </c>
      <c r="K61" s="152">
        <f t="shared" si="66"/>
        <v>4141</v>
      </c>
      <c r="L61" s="152">
        <f t="shared" si="66"/>
        <v>4729</v>
      </c>
      <c r="M61" s="152">
        <f t="shared" si="66"/>
        <v>802</v>
      </c>
      <c r="N61" s="153">
        <f>SUM(E61:M61)</f>
        <v>39734</v>
      </c>
      <c r="O61" s="152">
        <f t="shared" si="58"/>
        <v>960</v>
      </c>
      <c r="P61" s="152">
        <f t="shared" si="58"/>
        <v>2701</v>
      </c>
      <c r="Q61" s="152">
        <f t="shared" si="58"/>
        <v>1351</v>
      </c>
      <c r="R61" s="153">
        <f t="shared" si="62"/>
        <v>5012</v>
      </c>
      <c r="S61" s="152">
        <f t="shared" si="59"/>
        <v>3447</v>
      </c>
      <c r="T61" s="152">
        <f t="shared" si="59"/>
        <v>4511</v>
      </c>
      <c r="U61" s="152">
        <f t="shared" si="59"/>
        <v>1504</v>
      </c>
      <c r="V61" s="152">
        <f t="shared" si="59"/>
        <v>2098</v>
      </c>
      <c r="W61" s="152">
        <f t="shared" si="59"/>
        <v>128</v>
      </c>
      <c r="X61" s="152">
        <f t="shared" si="59"/>
        <v>1</v>
      </c>
      <c r="Y61" s="152">
        <f t="shared" si="59"/>
        <v>6</v>
      </c>
      <c r="Z61" s="153">
        <f t="shared" si="63"/>
        <v>11695</v>
      </c>
      <c r="AA61" s="153">
        <f t="shared" si="64"/>
        <v>56441</v>
      </c>
    </row>
    <row r="62" spans="1:27">
      <c r="A62" s="273"/>
      <c r="B62" s="151" t="s">
        <v>102</v>
      </c>
      <c r="C62" s="151" t="s">
        <v>103</v>
      </c>
      <c r="D62" s="157"/>
      <c r="E62" s="152">
        <f t="shared" ref="E62:M62" si="67">ROUND((E18+E40)/1000,0)</f>
        <v>0</v>
      </c>
      <c r="F62" s="152">
        <f t="shared" si="67"/>
        <v>0</v>
      </c>
      <c r="G62" s="152">
        <f t="shared" si="67"/>
        <v>600</v>
      </c>
      <c r="H62" s="152">
        <f t="shared" si="67"/>
        <v>0</v>
      </c>
      <c r="I62" s="152">
        <f t="shared" si="67"/>
        <v>690</v>
      </c>
      <c r="J62" s="152">
        <f t="shared" si="67"/>
        <v>0</v>
      </c>
      <c r="K62" s="152">
        <f t="shared" si="67"/>
        <v>0</v>
      </c>
      <c r="L62" s="152">
        <f t="shared" si="67"/>
        <v>0</v>
      </c>
      <c r="M62" s="152">
        <f t="shared" si="67"/>
        <v>0</v>
      </c>
      <c r="N62" s="153">
        <f>SUM(E62:M62)</f>
        <v>1290</v>
      </c>
      <c r="O62" s="152">
        <f t="shared" si="58"/>
        <v>0</v>
      </c>
      <c r="P62" s="152">
        <f t="shared" si="58"/>
        <v>702</v>
      </c>
      <c r="Q62" s="152">
        <f t="shared" si="58"/>
        <v>400</v>
      </c>
      <c r="R62" s="153">
        <f t="shared" si="62"/>
        <v>1102</v>
      </c>
      <c r="S62" s="152">
        <f t="shared" si="59"/>
        <v>0</v>
      </c>
      <c r="T62" s="152">
        <f t="shared" si="59"/>
        <v>0</v>
      </c>
      <c r="U62" s="152">
        <f t="shared" si="59"/>
        <v>0</v>
      </c>
      <c r="V62" s="152">
        <f t="shared" si="59"/>
        <v>0</v>
      </c>
      <c r="W62" s="152">
        <f t="shared" si="59"/>
        <v>0</v>
      </c>
      <c r="X62" s="152">
        <f t="shared" si="59"/>
        <v>0</v>
      </c>
      <c r="Y62" s="152">
        <f t="shared" si="59"/>
        <v>0</v>
      </c>
      <c r="Z62" s="153">
        <f t="shared" si="63"/>
        <v>0</v>
      </c>
      <c r="AA62" s="153">
        <f t="shared" si="64"/>
        <v>2392</v>
      </c>
    </row>
    <row r="63" spans="1:27">
      <c r="A63" s="273"/>
      <c r="B63" s="273" t="s">
        <v>63</v>
      </c>
      <c r="C63" s="273"/>
      <c r="D63" s="157"/>
      <c r="E63" s="152">
        <f t="shared" ref="E63:M63" si="68">ROUND((E19+E41)/1000,0)</f>
        <v>158</v>
      </c>
      <c r="F63" s="152">
        <f t="shared" si="68"/>
        <v>77</v>
      </c>
      <c r="G63" s="152">
        <f t="shared" si="68"/>
        <v>413</v>
      </c>
      <c r="H63" s="152">
        <f t="shared" si="68"/>
        <v>26</v>
      </c>
      <c r="I63" s="152">
        <f t="shared" si="68"/>
        <v>4</v>
      </c>
      <c r="J63" s="152">
        <f t="shared" si="68"/>
        <v>0</v>
      </c>
      <c r="K63" s="152">
        <f t="shared" si="68"/>
        <v>452</v>
      </c>
      <c r="L63" s="152">
        <f t="shared" si="68"/>
        <v>152</v>
      </c>
      <c r="M63" s="152">
        <f t="shared" si="68"/>
        <v>127</v>
      </c>
      <c r="N63" s="153">
        <f t="shared" ref="N63:N67" si="69">SUM(E63:M63)</f>
        <v>1409</v>
      </c>
      <c r="O63" s="152">
        <f t="shared" si="58"/>
        <v>29</v>
      </c>
      <c r="P63" s="152">
        <f t="shared" si="58"/>
        <v>0</v>
      </c>
      <c r="Q63" s="152">
        <f t="shared" si="58"/>
        <v>9</v>
      </c>
      <c r="R63" s="153">
        <f t="shared" si="62"/>
        <v>38</v>
      </c>
      <c r="S63" s="152">
        <f t="shared" si="59"/>
        <v>0</v>
      </c>
      <c r="T63" s="152">
        <f t="shared" si="59"/>
        <v>21</v>
      </c>
      <c r="U63" s="152">
        <f t="shared" si="59"/>
        <v>10</v>
      </c>
      <c r="V63" s="152">
        <f t="shared" si="59"/>
        <v>6</v>
      </c>
      <c r="W63" s="152">
        <f t="shared" si="59"/>
        <v>0</v>
      </c>
      <c r="X63" s="152">
        <f t="shared" si="59"/>
        <v>0</v>
      </c>
      <c r="Y63" s="152">
        <f t="shared" si="59"/>
        <v>0</v>
      </c>
      <c r="Z63" s="153">
        <f t="shared" si="63"/>
        <v>37</v>
      </c>
      <c r="AA63" s="153">
        <f t="shared" si="64"/>
        <v>1484</v>
      </c>
    </row>
    <row r="64" spans="1:27">
      <c r="A64" s="273"/>
      <c r="B64" s="273" t="s">
        <v>61</v>
      </c>
      <c r="C64" s="151" t="s">
        <v>38</v>
      </c>
      <c r="D64" s="157"/>
      <c r="E64" s="152">
        <f t="shared" ref="E64:M64" si="70">ROUND((E20+E42)/1000,0)</f>
        <v>0</v>
      </c>
      <c r="F64" s="152">
        <f t="shared" si="70"/>
        <v>0</v>
      </c>
      <c r="G64" s="152">
        <f t="shared" si="70"/>
        <v>1304</v>
      </c>
      <c r="H64" s="152">
        <f t="shared" si="70"/>
        <v>0</v>
      </c>
      <c r="I64" s="152">
        <f t="shared" si="70"/>
        <v>500</v>
      </c>
      <c r="J64" s="152">
        <f t="shared" si="70"/>
        <v>0</v>
      </c>
      <c r="K64" s="152">
        <f t="shared" si="70"/>
        <v>0</v>
      </c>
      <c r="L64" s="152">
        <f t="shared" si="70"/>
        <v>0</v>
      </c>
      <c r="M64" s="152">
        <f t="shared" si="70"/>
        <v>0</v>
      </c>
      <c r="N64" s="153">
        <f t="shared" si="69"/>
        <v>1804</v>
      </c>
      <c r="O64" s="152">
        <f t="shared" si="58"/>
        <v>0</v>
      </c>
      <c r="P64" s="152">
        <f t="shared" si="58"/>
        <v>0</v>
      </c>
      <c r="Q64" s="152">
        <f t="shared" si="58"/>
        <v>0</v>
      </c>
      <c r="R64" s="153">
        <f t="shared" si="62"/>
        <v>0</v>
      </c>
      <c r="S64" s="152">
        <f t="shared" si="59"/>
        <v>0</v>
      </c>
      <c r="T64" s="152">
        <f t="shared" si="59"/>
        <v>0</v>
      </c>
      <c r="U64" s="152">
        <f t="shared" si="59"/>
        <v>0</v>
      </c>
      <c r="V64" s="152">
        <f t="shared" si="59"/>
        <v>0</v>
      </c>
      <c r="W64" s="152">
        <f t="shared" si="59"/>
        <v>0</v>
      </c>
      <c r="X64" s="152">
        <f t="shared" si="59"/>
        <v>0</v>
      </c>
      <c r="Y64" s="152">
        <f t="shared" si="59"/>
        <v>0</v>
      </c>
      <c r="Z64" s="153">
        <f t="shared" si="63"/>
        <v>0</v>
      </c>
      <c r="AA64" s="153">
        <f t="shared" si="64"/>
        <v>1804</v>
      </c>
    </row>
    <row r="65" spans="1:27">
      <c r="A65" s="273"/>
      <c r="B65" s="273"/>
      <c r="C65" s="151" t="s">
        <v>39</v>
      </c>
      <c r="D65" s="157"/>
      <c r="E65" s="152">
        <f t="shared" ref="E65:M65" si="71">ROUND((E21+E43)/1000,0)</f>
        <v>2498</v>
      </c>
      <c r="F65" s="152">
        <f t="shared" si="71"/>
        <v>536</v>
      </c>
      <c r="G65" s="152">
        <f t="shared" si="71"/>
        <v>1939</v>
      </c>
      <c r="H65" s="152">
        <f t="shared" si="71"/>
        <v>824</v>
      </c>
      <c r="I65" s="152">
        <f t="shared" si="71"/>
        <v>535</v>
      </c>
      <c r="J65" s="152">
        <f t="shared" si="71"/>
        <v>1519</v>
      </c>
      <c r="K65" s="152">
        <f t="shared" si="71"/>
        <v>1467</v>
      </c>
      <c r="L65" s="152">
        <f t="shared" si="71"/>
        <v>185</v>
      </c>
      <c r="M65" s="152">
        <f t="shared" si="71"/>
        <v>627</v>
      </c>
      <c r="N65" s="153">
        <f t="shared" si="69"/>
        <v>10130</v>
      </c>
      <c r="O65" s="152">
        <f t="shared" si="58"/>
        <v>0</v>
      </c>
      <c r="P65" s="152">
        <f t="shared" si="58"/>
        <v>345</v>
      </c>
      <c r="Q65" s="152">
        <f t="shared" si="58"/>
        <v>17</v>
      </c>
      <c r="R65" s="153">
        <f t="shared" si="62"/>
        <v>362</v>
      </c>
      <c r="S65" s="152">
        <f t="shared" si="59"/>
        <v>29</v>
      </c>
      <c r="T65" s="152">
        <f t="shared" si="59"/>
        <v>0</v>
      </c>
      <c r="U65" s="152">
        <f t="shared" si="59"/>
        <v>0</v>
      </c>
      <c r="V65" s="152">
        <f t="shared" si="59"/>
        <v>0</v>
      </c>
      <c r="W65" s="152">
        <f t="shared" si="59"/>
        <v>135</v>
      </c>
      <c r="X65" s="152">
        <f t="shared" si="59"/>
        <v>0</v>
      </c>
      <c r="Y65" s="152">
        <f t="shared" si="59"/>
        <v>0</v>
      </c>
      <c r="Z65" s="153">
        <f t="shared" si="63"/>
        <v>164</v>
      </c>
      <c r="AA65" s="153">
        <f t="shared" si="64"/>
        <v>10656</v>
      </c>
    </row>
    <row r="66" spans="1:27">
      <c r="A66" s="274"/>
      <c r="B66" s="207" t="s">
        <v>67</v>
      </c>
      <c r="C66" s="207" t="s">
        <v>37</v>
      </c>
      <c r="D66" s="158"/>
      <c r="E66" s="155">
        <f>ROUND((E22+E44)/1000,0)</f>
        <v>1</v>
      </c>
      <c r="F66" s="155">
        <f t="shared" ref="F66:M66" si="72">ROUND((F22+F44)/1000,0)</f>
        <v>71</v>
      </c>
      <c r="G66" s="155">
        <f t="shared" si="72"/>
        <v>343</v>
      </c>
      <c r="H66" s="155">
        <f t="shared" si="72"/>
        <v>398</v>
      </c>
      <c r="I66" s="155">
        <f t="shared" si="72"/>
        <v>175</v>
      </c>
      <c r="J66" s="155">
        <f t="shared" si="72"/>
        <v>160</v>
      </c>
      <c r="K66" s="155">
        <f t="shared" si="72"/>
        <v>91</v>
      </c>
      <c r="L66" s="155">
        <f t="shared" si="72"/>
        <v>42</v>
      </c>
      <c r="M66" s="155">
        <f t="shared" si="72"/>
        <v>0</v>
      </c>
      <c r="N66" s="156">
        <f t="shared" ref="N66" si="73">SUM(E66:M66)</f>
        <v>1281</v>
      </c>
      <c r="O66" s="155">
        <f>ROUND((O22+O44)/1000,0)</f>
        <v>0</v>
      </c>
      <c r="P66" s="155">
        <f t="shared" ref="P66:Q66" si="74">ROUND((P22+P44)/1000,0)</f>
        <v>0</v>
      </c>
      <c r="Q66" s="155">
        <f t="shared" si="74"/>
        <v>0</v>
      </c>
      <c r="R66" s="156">
        <f t="shared" ref="R66" si="75">SUM(O66:Q66)</f>
        <v>0</v>
      </c>
      <c r="S66" s="155">
        <f>ROUND((S22+S44)/1000,0)</f>
        <v>0</v>
      </c>
      <c r="T66" s="155">
        <f t="shared" ref="T66:Y66" si="76">ROUND((T22+T44)/1000,0)</f>
        <v>10</v>
      </c>
      <c r="U66" s="155">
        <f t="shared" si="76"/>
        <v>0</v>
      </c>
      <c r="V66" s="155">
        <f t="shared" si="76"/>
        <v>0</v>
      </c>
      <c r="W66" s="155">
        <f t="shared" si="76"/>
        <v>0</v>
      </c>
      <c r="X66" s="155">
        <f t="shared" si="76"/>
        <v>0</v>
      </c>
      <c r="Y66" s="155">
        <f t="shared" si="76"/>
        <v>5</v>
      </c>
      <c r="Z66" s="156">
        <f t="shared" ref="Z66" si="77">SUM(S66:Y66)</f>
        <v>15</v>
      </c>
      <c r="AA66" s="156">
        <f t="shared" ref="AA66" si="78">N66+R66+Z66</f>
        <v>1296</v>
      </c>
    </row>
    <row r="67" spans="1:27">
      <c r="A67" s="275"/>
      <c r="B67" s="154" t="s">
        <v>353</v>
      </c>
      <c r="C67" s="207" t="s">
        <v>354</v>
      </c>
      <c r="D67" s="158"/>
      <c r="E67" s="155">
        <f>ROUND((E23+E45)/1000,0)</f>
        <v>3370</v>
      </c>
      <c r="F67" s="155">
        <f t="shared" ref="F67:M67" si="79">ROUND((F23+F45)/1000,0)</f>
        <v>0</v>
      </c>
      <c r="G67" s="155">
        <f t="shared" si="79"/>
        <v>0</v>
      </c>
      <c r="H67" s="155">
        <f t="shared" si="79"/>
        <v>0</v>
      </c>
      <c r="I67" s="155">
        <f t="shared" si="79"/>
        <v>4194</v>
      </c>
      <c r="J67" s="155">
        <f t="shared" si="79"/>
        <v>0</v>
      </c>
      <c r="K67" s="155">
        <f t="shared" si="79"/>
        <v>0</v>
      </c>
      <c r="L67" s="155">
        <f t="shared" si="79"/>
        <v>0</v>
      </c>
      <c r="M67" s="155">
        <f t="shared" si="79"/>
        <v>1696</v>
      </c>
      <c r="N67" s="156">
        <f t="shared" si="69"/>
        <v>9260</v>
      </c>
      <c r="O67" s="155">
        <f t="shared" ref="O67:Y67" si="80">ROUND((O23+O45)/1000,0)</f>
        <v>130</v>
      </c>
      <c r="P67" s="155">
        <f t="shared" si="80"/>
        <v>0</v>
      </c>
      <c r="Q67" s="155">
        <f t="shared" si="80"/>
        <v>3203</v>
      </c>
      <c r="R67" s="156">
        <f t="shared" si="62"/>
        <v>3333</v>
      </c>
      <c r="S67" s="155">
        <f t="shared" si="80"/>
        <v>0</v>
      </c>
      <c r="T67" s="155">
        <f t="shared" si="80"/>
        <v>0</v>
      </c>
      <c r="U67" s="155">
        <f t="shared" si="80"/>
        <v>0</v>
      </c>
      <c r="V67" s="155">
        <f t="shared" si="80"/>
        <v>0</v>
      </c>
      <c r="W67" s="155">
        <f t="shared" si="80"/>
        <v>0</v>
      </c>
      <c r="X67" s="155">
        <f t="shared" si="80"/>
        <v>0</v>
      </c>
      <c r="Y67" s="155">
        <f t="shared" si="80"/>
        <v>0</v>
      </c>
      <c r="Z67" s="156">
        <f t="shared" si="63"/>
        <v>0</v>
      </c>
      <c r="AA67" s="156">
        <f t="shared" si="64"/>
        <v>12593</v>
      </c>
    </row>
    <row r="68" spans="1:27">
      <c r="E68" s="21">
        <f>SUM(E58:E67)</f>
        <v>24078</v>
      </c>
      <c r="F68" s="21">
        <f t="shared" ref="F68:AA68" si="81">SUM(F58:F67)</f>
        <v>8595</v>
      </c>
      <c r="G68" s="21">
        <f t="shared" si="81"/>
        <v>11964</v>
      </c>
      <c r="H68" s="21">
        <f t="shared" si="81"/>
        <v>9948</v>
      </c>
      <c r="I68" s="21">
        <f t="shared" si="81"/>
        <v>9782</v>
      </c>
      <c r="J68" s="21">
        <f t="shared" si="81"/>
        <v>2875</v>
      </c>
      <c r="K68" s="21">
        <f t="shared" si="81"/>
        <v>6162</v>
      </c>
      <c r="L68" s="21">
        <f t="shared" si="81"/>
        <v>5109</v>
      </c>
      <c r="M68" s="21">
        <f t="shared" si="81"/>
        <v>3253</v>
      </c>
      <c r="N68" s="21">
        <f t="shared" si="81"/>
        <v>81766</v>
      </c>
      <c r="O68" s="21">
        <f t="shared" si="81"/>
        <v>1119</v>
      </c>
      <c r="P68" s="21">
        <f t="shared" si="81"/>
        <v>3748</v>
      </c>
      <c r="Q68" s="21">
        <f t="shared" si="81"/>
        <v>4980</v>
      </c>
      <c r="R68" s="21">
        <f t="shared" si="81"/>
        <v>9847</v>
      </c>
      <c r="S68" s="21">
        <f t="shared" si="81"/>
        <v>3476</v>
      </c>
      <c r="T68" s="21">
        <f t="shared" si="81"/>
        <v>4562</v>
      </c>
      <c r="U68" s="21">
        <f t="shared" si="81"/>
        <v>1514</v>
      </c>
      <c r="V68" s="21">
        <f t="shared" si="81"/>
        <v>2115</v>
      </c>
      <c r="W68" s="21">
        <f t="shared" si="81"/>
        <v>263</v>
      </c>
      <c r="X68" s="21">
        <f t="shared" si="81"/>
        <v>1</v>
      </c>
      <c r="Y68" s="21">
        <f t="shared" si="81"/>
        <v>11</v>
      </c>
      <c r="Z68" s="21">
        <f t="shared" si="81"/>
        <v>11942</v>
      </c>
      <c r="AA68" s="21">
        <f t="shared" si="81"/>
        <v>103555</v>
      </c>
    </row>
  </sheetData>
  <mergeCells count="27">
    <mergeCell ref="A47:C47"/>
    <mergeCell ref="A48:B55"/>
    <mergeCell ref="A57:C57"/>
    <mergeCell ref="A58:A67"/>
    <mergeCell ref="B58:C58"/>
    <mergeCell ref="B59:C59"/>
    <mergeCell ref="B60:B61"/>
    <mergeCell ref="B63:C63"/>
    <mergeCell ref="B64:B65"/>
    <mergeCell ref="A35:C35"/>
    <mergeCell ref="A36:A45"/>
    <mergeCell ref="B36:C36"/>
    <mergeCell ref="B37:C37"/>
    <mergeCell ref="B38:B39"/>
    <mergeCell ref="B41:C41"/>
    <mergeCell ref="B42:B43"/>
    <mergeCell ref="A3:C3"/>
    <mergeCell ref="A4:B11"/>
    <mergeCell ref="A13:C13"/>
    <mergeCell ref="A25:C25"/>
    <mergeCell ref="A26:B33"/>
    <mergeCell ref="B14:C14"/>
    <mergeCell ref="B15:C15"/>
    <mergeCell ref="B16:B17"/>
    <mergeCell ref="B19:C19"/>
    <mergeCell ref="B20:B21"/>
    <mergeCell ref="A14:A23"/>
  </mergeCells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5:AD66"/>
  <sheetViews>
    <sheetView zoomScale="70" zoomScaleNormal="70" workbookViewId="0">
      <pane xSplit="4" ySplit="5" topLeftCell="E27" activePane="bottomRight" state="frozen"/>
      <selection activeCell="S53" sqref="S53"/>
      <selection pane="topRight" activeCell="S53" sqref="S53"/>
      <selection pane="bottomLeft" activeCell="S53" sqref="S53"/>
      <selection pane="bottomRight" activeCell="E66" sqref="E66"/>
    </sheetView>
  </sheetViews>
  <sheetFormatPr defaultRowHeight="16.899999999999999"/>
  <cols>
    <col min="1" max="1" width="17.875" customWidth="1"/>
    <col min="2" max="2" width="18.875" customWidth="1"/>
    <col min="3" max="3" width="39" bestFit="1" customWidth="1"/>
    <col min="4" max="4" width="14.875" style="65" customWidth="1"/>
    <col min="5" max="5" width="14.375" customWidth="1"/>
    <col min="6" max="13" width="11.75" customWidth="1"/>
    <col min="14" max="14" width="15.875" customWidth="1"/>
    <col min="15" max="15" width="13.125" customWidth="1"/>
    <col min="16" max="16" width="11.75" customWidth="1"/>
    <col min="17" max="17" width="14.25" customWidth="1"/>
    <col min="18" max="18" width="14.625" customWidth="1"/>
    <col min="19" max="25" width="10.625" customWidth="1"/>
    <col min="26" max="26" width="11.875" customWidth="1"/>
    <col min="27" max="27" width="12.875" customWidth="1"/>
    <col min="28" max="28" width="12.625" bestFit="1" customWidth="1"/>
    <col min="29" max="29" width="14.75" customWidth="1"/>
  </cols>
  <sheetData>
    <row r="5" spans="1:28">
      <c r="A5" s="268" t="s">
        <v>143</v>
      </c>
      <c r="B5" s="279"/>
      <c r="C5" s="269"/>
      <c r="D5" s="113" t="s">
        <v>271</v>
      </c>
      <c r="E5" s="64" t="s">
        <v>128</v>
      </c>
      <c r="F5" s="64" t="s">
        <v>18</v>
      </c>
      <c r="G5" s="64" t="s">
        <v>19</v>
      </c>
      <c r="H5" s="64" t="s">
        <v>3</v>
      </c>
      <c r="I5" s="64" t="s">
        <v>5</v>
      </c>
      <c r="J5" s="64" t="s">
        <v>20</v>
      </c>
      <c r="K5" s="64" t="s">
        <v>7</v>
      </c>
      <c r="L5" s="64" t="s">
        <v>22</v>
      </c>
      <c r="M5" s="64" t="s">
        <v>23</v>
      </c>
      <c r="N5" s="52" t="s">
        <v>85</v>
      </c>
      <c r="O5" s="64" t="s">
        <v>21</v>
      </c>
      <c r="P5" s="64" t="s">
        <v>24</v>
      </c>
      <c r="Q5" s="64" t="s">
        <v>25</v>
      </c>
      <c r="R5" s="52" t="s">
        <v>85</v>
      </c>
      <c r="S5" s="64" t="s">
        <v>26</v>
      </c>
      <c r="T5" s="64" t="s">
        <v>27</v>
      </c>
      <c r="U5" s="64" t="s">
        <v>28</v>
      </c>
      <c r="V5" s="64" t="s">
        <v>29</v>
      </c>
      <c r="W5" s="64" t="s">
        <v>30</v>
      </c>
      <c r="X5" s="64" t="s">
        <v>31</v>
      </c>
      <c r="Y5" s="64" t="s">
        <v>32</v>
      </c>
      <c r="Z5" s="52" t="s">
        <v>85</v>
      </c>
      <c r="AA5" s="52" t="s">
        <v>129</v>
      </c>
    </row>
    <row r="6" spans="1:28">
      <c r="A6" s="254" t="s">
        <v>138</v>
      </c>
      <c r="B6" s="254" t="s">
        <v>135</v>
      </c>
      <c r="C6" s="67" t="s">
        <v>123</v>
      </c>
      <c r="D6" s="115">
        <v>35300000</v>
      </c>
      <c r="E6" s="67">
        <f t="shared" ref="E6:M6" si="0">TRUNC(E43/$N$43*$D6)</f>
        <v>7946763</v>
      </c>
      <c r="F6" s="115">
        <f t="shared" si="0"/>
        <v>6081376</v>
      </c>
      <c r="G6" s="115">
        <f t="shared" si="0"/>
        <v>5713423</v>
      </c>
      <c r="H6" s="115">
        <f t="shared" si="0"/>
        <v>2317985</v>
      </c>
      <c r="I6" s="115">
        <f t="shared" si="0"/>
        <v>2445325</v>
      </c>
      <c r="J6" s="115">
        <f>TRUNC(J43/$N$43*$D6)</f>
        <v>1738006</v>
      </c>
      <c r="K6" s="115">
        <f t="shared" si="0"/>
        <v>2128991</v>
      </c>
      <c r="L6" s="115">
        <f t="shared" si="0"/>
        <v>3632451</v>
      </c>
      <c r="M6" s="115">
        <f t="shared" si="0"/>
        <v>3295676</v>
      </c>
      <c r="N6" s="52">
        <f>SUM(E6:M6)</f>
        <v>35299996</v>
      </c>
      <c r="O6" s="115"/>
      <c r="P6" s="115"/>
      <c r="Q6" s="115"/>
      <c r="R6" s="52">
        <f>SUM(O6:Q6)</f>
        <v>0</v>
      </c>
      <c r="S6" s="67"/>
      <c r="T6" s="67"/>
      <c r="U6" s="67"/>
      <c r="V6" s="67"/>
      <c r="W6" s="67"/>
      <c r="X6" s="67"/>
      <c r="Y6" s="67"/>
      <c r="Z6" s="52">
        <f>SUM(S6:Y6)</f>
        <v>0</v>
      </c>
      <c r="AA6" s="52">
        <f>N6+R6+Z6</f>
        <v>35299996</v>
      </c>
      <c r="AB6" s="21">
        <f>AA6-D6</f>
        <v>-4</v>
      </c>
    </row>
    <row r="7" spans="1:28">
      <c r="A7" s="254"/>
      <c r="B7" s="254"/>
      <c r="C7" s="67" t="s">
        <v>130</v>
      </c>
      <c r="D7" s="115">
        <v>1700000</v>
      </c>
      <c r="E7" s="67">
        <v>0</v>
      </c>
      <c r="F7" s="67">
        <v>0</v>
      </c>
      <c r="G7" s="67">
        <v>0</v>
      </c>
      <c r="H7" s="67">
        <v>0</v>
      </c>
      <c r="I7" s="67">
        <v>0</v>
      </c>
      <c r="J7" s="67">
        <v>0</v>
      </c>
      <c r="K7" s="67">
        <v>0</v>
      </c>
      <c r="L7" s="67">
        <v>0</v>
      </c>
      <c r="M7" s="67">
        <v>0</v>
      </c>
      <c r="N7" s="52">
        <f t="shared" ref="N7:N11" si="1">SUM(E7:M7)</f>
        <v>0</v>
      </c>
      <c r="O7" s="67">
        <v>0</v>
      </c>
      <c r="P7" s="67">
        <f>D7</f>
        <v>1700000</v>
      </c>
      <c r="Q7" s="67">
        <v>0</v>
      </c>
      <c r="R7" s="52">
        <f t="shared" ref="R7:R11" si="2">SUM(O7:Q7)</f>
        <v>1700000</v>
      </c>
      <c r="S7" s="67">
        <v>0</v>
      </c>
      <c r="T7" s="67">
        <v>0</v>
      </c>
      <c r="U7" s="115">
        <v>0</v>
      </c>
      <c r="V7" s="115">
        <v>0</v>
      </c>
      <c r="W7" s="115">
        <v>0</v>
      </c>
      <c r="X7" s="115">
        <v>0</v>
      </c>
      <c r="Y7" s="115">
        <v>0</v>
      </c>
      <c r="Z7" s="52">
        <f t="shared" ref="Z7:Z11" si="3">SUM(S7:Y7)</f>
        <v>0</v>
      </c>
      <c r="AA7" s="52">
        <f t="shared" ref="AA7:AA11" si="4">N7+R7+Z7</f>
        <v>1700000</v>
      </c>
      <c r="AB7" s="21">
        <f t="shared" ref="AB7:AB38" si="5">AA7-D7</f>
        <v>0</v>
      </c>
    </row>
    <row r="8" spans="1:28" ht="22.5" customHeight="1">
      <c r="A8" s="254"/>
      <c r="B8" s="254"/>
      <c r="C8" s="67" t="s">
        <v>127</v>
      </c>
      <c r="D8" s="115">
        <v>3700000</v>
      </c>
      <c r="E8" s="67">
        <v>0</v>
      </c>
      <c r="F8" s="67">
        <v>0</v>
      </c>
      <c r="G8" s="67">
        <v>0</v>
      </c>
      <c r="H8" s="67">
        <v>0</v>
      </c>
      <c r="I8" s="67">
        <v>0</v>
      </c>
      <c r="J8" s="67">
        <v>0</v>
      </c>
      <c r="K8" s="67">
        <v>0</v>
      </c>
      <c r="L8" s="67">
        <v>0</v>
      </c>
      <c r="M8" s="67">
        <v>0</v>
      </c>
      <c r="N8" s="52">
        <f t="shared" si="1"/>
        <v>0</v>
      </c>
      <c r="O8" s="67">
        <v>0</v>
      </c>
      <c r="P8" s="67">
        <v>0</v>
      </c>
      <c r="Q8" s="67">
        <f>Q41</f>
        <v>571776</v>
      </c>
      <c r="R8" s="52">
        <f t="shared" si="2"/>
        <v>571776</v>
      </c>
      <c r="S8" s="67">
        <f t="shared" ref="S8:Y8" si="6">TRUNC(($D$8-$Q$8)*S41/$Z$41)</f>
        <v>1018100</v>
      </c>
      <c r="T8" s="115">
        <f t="shared" si="6"/>
        <v>639801</v>
      </c>
      <c r="U8" s="115">
        <f t="shared" si="6"/>
        <v>653281</v>
      </c>
      <c r="V8" s="115">
        <f t="shared" si="6"/>
        <v>587215</v>
      </c>
      <c r="W8" s="115">
        <f t="shared" si="6"/>
        <v>213474</v>
      </c>
      <c r="X8" s="115">
        <f t="shared" si="6"/>
        <v>0</v>
      </c>
      <c r="Y8" s="115">
        <f t="shared" si="6"/>
        <v>16350</v>
      </c>
      <c r="Z8" s="52">
        <f t="shared" si="3"/>
        <v>3128221</v>
      </c>
      <c r="AA8" s="52">
        <f t="shared" si="4"/>
        <v>3699997</v>
      </c>
      <c r="AB8" s="21">
        <f t="shared" si="5"/>
        <v>-3</v>
      </c>
    </row>
    <row r="9" spans="1:28">
      <c r="A9" s="254"/>
      <c r="B9" s="254"/>
      <c r="C9" s="67" t="s">
        <v>125</v>
      </c>
      <c r="D9" s="115">
        <v>1300000</v>
      </c>
      <c r="E9" s="67">
        <v>0</v>
      </c>
      <c r="F9" s="67">
        <v>0</v>
      </c>
      <c r="G9" s="67">
        <v>0</v>
      </c>
      <c r="H9" s="67">
        <v>0</v>
      </c>
      <c r="I9" s="67">
        <v>0</v>
      </c>
      <c r="J9" s="67">
        <v>0</v>
      </c>
      <c r="K9" s="67">
        <v>0</v>
      </c>
      <c r="L9" s="67">
        <v>0</v>
      </c>
      <c r="M9" s="67">
        <v>0</v>
      </c>
      <c r="N9" s="52">
        <f t="shared" si="1"/>
        <v>0</v>
      </c>
      <c r="O9" s="67">
        <f>O42</f>
        <v>677200</v>
      </c>
      <c r="P9" s="67"/>
      <c r="Q9" s="67">
        <f>D9-O9</f>
        <v>622800</v>
      </c>
      <c r="R9" s="52">
        <f t="shared" si="2"/>
        <v>1300000</v>
      </c>
      <c r="S9" s="67"/>
      <c r="T9" s="67"/>
      <c r="U9" s="67"/>
      <c r="V9" s="67"/>
      <c r="W9" s="67"/>
      <c r="X9" s="67"/>
      <c r="Y9" s="67"/>
      <c r="Z9" s="52">
        <f t="shared" si="3"/>
        <v>0</v>
      </c>
      <c r="AA9" s="52">
        <f t="shared" si="4"/>
        <v>1300000</v>
      </c>
      <c r="AB9" s="21">
        <f t="shared" si="5"/>
        <v>0</v>
      </c>
    </row>
    <row r="10" spans="1:28">
      <c r="A10" s="254"/>
      <c r="B10" s="254"/>
      <c r="C10" s="67" t="s">
        <v>272</v>
      </c>
      <c r="D10" s="115">
        <v>77000</v>
      </c>
      <c r="E10" s="67"/>
      <c r="F10" s="67">
        <f>$D$10/5*2</f>
        <v>30800</v>
      </c>
      <c r="G10" s="67"/>
      <c r="H10" s="67"/>
      <c r="I10" s="67"/>
      <c r="J10" s="67"/>
      <c r="K10" s="182">
        <f>$D$10/5*2</f>
        <v>30800</v>
      </c>
      <c r="L10" s="67"/>
      <c r="M10" s="67"/>
      <c r="N10" s="52">
        <f t="shared" si="1"/>
        <v>61600</v>
      </c>
      <c r="O10" s="67"/>
      <c r="P10" s="67"/>
      <c r="Q10" s="67"/>
      <c r="R10" s="52">
        <f t="shared" si="2"/>
        <v>0</v>
      </c>
      <c r="S10" s="67"/>
      <c r="T10" s="67"/>
      <c r="U10" s="67"/>
      <c r="V10" s="67"/>
      <c r="W10" s="182">
        <f>$D$10/5</f>
        <v>15400</v>
      </c>
      <c r="X10" s="67"/>
      <c r="Y10" s="67"/>
      <c r="Z10" s="52">
        <f t="shared" si="3"/>
        <v>15400</v>
      </c>
      <c r="AA10" s="52">
        <f t="shared" si="4"/>
        <v>77000</v>
      </c>
      <c r="AB10" s="21">
        <f t="shared" si="5"/>
        <v>0</v>
      </c>
    </row>
    <row r="11" spans="1:28">
      <c r="A11" s="254"/>
      <c r="B11" s="254"/>
      <c r="C11" s="182" t="s">
        <v>235</v>
      </c>
      <c r="D11" s="115">
        <v>661000</v>
      </c>
      <c r="E11" s="67">
        <v>26849</v>
      </c>
      <c r="F11" s="67">
        <v>47809</v>
      </c>
      <c r="G11" s="67">
        <v>43625</v>
      </c>
      <c r="H11" s="67">
        <v>47809</v>
      </c>
      <c r="I11" s="67">
        <v>11030</v>
      </c>
      <c r="J11" s="67">
        <v>33558</v>
      </c>
      <c r="K11" s="67">
        <v>47809</v>
      </c>
      <c r="L11" s="67">
        <v>20134</v>
      </c>
      <c r="M11" s="67">
        <v>23814</v>
      </c>
      <c r="N11" s="52">
        <f t="shared" si="1"/>
        <v>302437</v>
      </c>
      <c r="O11" s="67">
        <v>25742</v>
      </c>
      <c r="P11" s="67">
        <v>47809</v>
      </c>
      <c r="Q11" s="67">
        <v>32457</v>
      </c>
      <c r="R11" s="52">
        <f t="shared" si="2"/>
        <v>106008</v>
      </c>
      <c r="S11" s="67">
        <v>45558</v>
      </c>
      <c r="T11" s="67">
        <v>58839</v>
      </c>
      <c r="U11" s="67">
        <v>23491</v>
      </c>
      <c r="V11" s="67">
        <v>16782</v>
      </c>
      <c r="W11" s="67">
        <v>44128</v>
      </c>
      <c r="X11" s="67">
        <v>40267</v>
      </c>
      <c r="Y11" s="67">
        <v>23491</v>
      </c>
      <c r="Z11" s="52">
        <f t="shared" si="3"/>
        <v>252556</v>
      </c>
      <c r="AA11" s="52">
        <f t="shared" si="4"/>
        <v>661001</v>
      </c>
      <c r="AB11" s="21">
        <f t="shared" si="5"/>
        <v>1</v>
      </c>
    </row>
    <row r="12" spans="1:28">
      <c r="A12" s="254"/>
      <c r="B12" s="254"/>
      <c r="C12" s="67" t="s">
        <v>129</v>
      </c>
      <c r="D12" s="115">
        <f t="shared" ref="D12:AA12" si="7">SUM(D6:D11)</f>
        <v>42738000</v>
      </c>
      <c r="E12" s="67">
        <f t="shared" si="7"/>
        <v>7973612</v>
      </c>
      <c r="F12" s="115">
        <f t="shared" si="7"/>
        <v>6159985</v>
      </c>
      <c r="G12" s="115">
        <f t="shared" si="7"/>
        <v>5757048</v>
      </c>
      <c r="H12" s="115">
        <f t="shared" si="7"/>
        <v>2365794</v>
      </c>
      <c r="I12" s="115">
        <f t="shared" si="7"/>
        <v>2456355</v>
      </c>
      <c r="J12" s="115">
        <f t="shared" si="7"/>
        <v>1771564</v>
      </c>
      <c r="K12" s="115">
        <f t="shared" si="7"/>
        <v>2207600</v>
      </c>
      <c r="L12" s="115">
        <f t="shared" si="7"/>
        <v>3652585</v>
      </c>
      <c r="M12" s="115">
        <f t="shared" si="7"/>
        <v>3319490</v>
      </c>
      <c r="N12" s="52">
        <f t="shared" si="7"/>
        <v>35664033</v>
      </c>
      <c r="O12" s="115">
        <f t="shared" si="7"/>
        <v>702942</v>
      </c>
      <c r="P12" s="115">
        <f t="shared" si="7"/>
        <v>1747809</v>
      </c>
      <c r="Q12" s="115">
        <f t="shared" si="7"/>
        <v>1227033</v>
      </c>
      <c r="R12" s="52">
        <f t="shared" si="7"/>
        <v>3677784</v>
      </c>
      <c r="S12" s="115">
        <f t="shared" si="7"/>
        <v>1063658</v>
      </c>
      <c r="T12" s="115">
        <f t="shared" si="7"/>
        <v>698640</v>
      </c>
      <c r="U12" s="115">
        <f t="shared" si="7"/>
        <v>676772</v>
      </c>
      <c r="V12" s="115">
        <f t="shared" si="7"/>
        <v>603997</v>
      </c>
      <c r="W12" s="115">
        <f t="shared" si="7"/>
        <v>273002</v>
      </c>
      <c r="X12" s="115">
        <f t="shared" si="7"/>
        <v>40267</v>
      </c>
      <c r="Y12" s="115">
        <f t="shared" si="7"/>
        <v>39841</v>
      </c>
      <c r="Z12" s="52">
        <f t="shared" si="7"/>
        <v>3396177</v>
      </c>
      <c r="AA12" s="52">
        <f t="shared" si="7"/>
        <v>42737994</v>
      </c>
      <c r="AB12" s="21">
        <f t="shared" si="5"/>
        <v>-6</v>
      </c>
    </row>
    <row r="13" spans="1:28">
      <c r="A13" s="254"/>
      <c r="B13" s="254" t="s">
        <v>136</v>
      </c>
      <c r="C13" s="50" t="s">
        <v>273</v>
      </c>
      <c r="D13" s="50">
        <v>43200</v>
      </c>
      <c r="E13" s="10">
        <f t="shared" ref="E13:M13" si="8">$D$13/21</f>
        <v>2057.1428571428573</v>
      </c>
      <c r="F13" s="10">
        <f t="shared" si="8"/>
        <v>2057.1428571428573</v>
      </c>
      <c r="G13" s="10">
        <f t="shared" si="8"/>
        <v>2057.1428571428573</v>
      </c>
      <c r="H13" s="10">
        <f t="shared" si="8"/>
        <v>2057.1428571428573</v>
      </c>
      <c r="I13" s="10">
        <f t="shared" si="8"/>
        <v>2057.1428571428573</v>
      </c>
      <c r="J13" s="10">
        <f t="shared" si="8"/>
        <v>2057.1428571428573</v>
      </c>
      <c r="K13" s="10">
        <f t="shared" si="8"/>
        <v>2057.1428571428573</v>
      </c>
      <c r="L13" s="10">
        <f t="shared" si="8"/>
        <v>2057.1428571428573</v>
      </c>
      <c r="M13" s="10">
        <f t="shared" si="8"/>
        <v>2057.1428571428573</v>
      </c>
      <c r="N13" s="54">
        <f>SUM(E13:M13)</f>
        <v>18514.285714285717</v>
      </c>
      <c r="O13" s="10">
        <f>$D$13/21</f>
        <v>2057.1428571428573</v>
      </c>
      <c r="P13" s="10">
        <f>$D$13/21</f>
        <v>2057.1428571428573</v>
      </c>
      <c r="Q13" s="10">
        <f>$D$13/21*2</f>
        <v>4114.2857142857147</v>
      </c>
      <c r="R13" s="52">
        <f t="shared" ref="R13:R20" si="9">SUM(O13:Q13)</f>
        <v>8228.5714285714294</v>
      </c>
      <c r="S13" s="10">
        <f>$D$13/21*2</f>
        <v>4114.2857142857147</v>
      </c>
      <c r="T13" s="10">
        <f t="shared" ref="T13:Y13" si="10">$D$13/21</f>
        <v>2057.1428571428573</v>
      </c>
      <c r="U13" s="10">
        <f t="shared" si="10"/>
        <v>2057.1428571428573</v>
      </c>
      <c r="V13" s="10">
        <f t="shared" si="10"/>
        <v>2057.1428571428573</v>
      </c>
      <c r="W13" s="10">
        <f t="shared" si="10"/>
        <v>2057.1428571428573</v>
      </c>
      <c r="X13" s="10">
        <f t="shared" si="10"/>
        <v>2057.1428571428573</v>
      </c>
      <c r="Y13" s="10">
        <f t="shared" si="10"/>
        <v>2057.1428571428573</v>
      </c>
      <c r="Z13" s="52">
        <f t="shared" ref="Z13:Z20" si="11">SUM(S13:Y13)</f>
        <v>16457.142857142859</v>
      </c>
      <c r="AA13" s="52">
        <f t="shared" ref="AA13:AA24" si="12">N13+R13+Z13</f>
        <v>43200</v>
      </c>
      <c r="AB13" s="21">
        <f t="shared" si="5"/>
        <v>0</v>
      </c>
    </row>
    <row r="14" spans="1:28">
      <c r="A14" s="254"/>
      <c r="B14" s="254"/>
      <c r="C14" s="50" t="s">
        <v>274</v>
      </c>
      <c r="D14" s="50">
        <v>183000</v>
      </c>
      <c r="E14" s="10"/>
      <c r="F14" s="10"/>
      <c r="G14" s="10">
        <v>183000</v>
      </c>
      <c r="H14" s="10"/>
      <c r="I14" s="10"/>
      <c r="J14" s="10"/>
      <c r="K14" s="10"/>
      <c r="L14" s="10"/>
      <c r="M14" s="10"/>
      <c r="N14" s="54">
        <f>SUM(E14:M14)</f>
        <v>183000</v>
      </c>
      <c r="O14" s="6"/>
      <c r="P14" s="6"/>
      <c r="Q14" s="6"/>
      <c r="R14" s="52"/>
      <c r="S14" s="6"/>
      <c r="T14" s="6"/>
      <c r="U14" s="6"/>
      <c r="V14" s="6"/>
      <c r="W14" s="6"/>
      <c r="X14" s="6"/>
      <c r="Y14" s="6"/>
      <c r="Z14" s="52"/>
      <c r="AA14" s="52">
        <f t="shared" si="12"/>
        <v>183000</v>
      </c>
      <c r="AB14" s="21">
        <f t="shared" si="5"/>
        <v>0</v>
      </c>
    </row>
    <row r="15" spans="1:28">
      <c r="A15" s="254"/>
      <c r="B15" s="266" t="s">
        <v>137</v>
      </c>
      <c r="C15" s="181" t="s">
        <v>237</v>
      </c>
      <c r="D15" s="115">
        <v>623000</v>
      </c>
      <c r="E15" s="10">
        <v>85663</v>
      </c>
      <c r="F15" s="10"/>
      <c r="G15" s="10">
        <v>38370</v>
      </c>
      <c r="H15" s="10">
        <v>40512</v>
      </c>
      <c r="I15" s="10">
        <v>72810</v>
      </c>
      <c r="J15" s="10">
        <v>36404</v>
      </c>
      <c r="K15" s="10"/>
      <c r="L15" s="10">
        <v>15032</v>
      </c>
      <c r="M15" s="10">
        <v>55722</v>
      </c>
      <c r="N15" s="54">
        <f>SUM(E15:M15)</f>
        <v>344513</v>
      </c>
      <c r="O15" s="10">
        <v>32480</v>
      </c>
      <c r="P15" s="10"/>
      <c r="Q15" s="10"/>
      <c r="R15" s="52">
        <f t="shared" si="9"/>
        <v>32480</v>
      </c>
      <c r="S15" s="10">
        <v>44012</v>
      </c>
      <c r="T15" s="10">
        <v>138983</v>
      </c>
      <c r="U15" s="10"/>
      <c r="V15" s="10">
        <v>63010</v>
      </c>
      <c r="W15" s="10"/>
      <c r="X15" s="10"/>
      <c r="Y15" s="10"/>
      <c r="Z15" s="52">
        <f t="shared" si="11"/>
        <v>246005</v>
      </c>
      <c r="AA15" s="52">
        <f t="shared" si="12"/>
        <v>622998</v>
      </c>
      <c r="AB15" s="21">
        <f t="shared" si="5"/>
        <v>-2</v>
      </c>
    </row>
    <row r="16" spans="1:28">
      <c r="A16" s="254"/>
      <c r="B16" s="267"/>
      <c r="C16" s="50" t="s">
        <v>238</v>
      </c>
      <c r="D16" s="115">
        <v>960000</v>
      </c>
      <c r="E16" s="10">
        <f>ROUND($D16*E$12/$AA$12,0)</f>
        <v>179107</v>
      </c>
      <c r="F16" s="10">
        <f t="shared" ref="F16:Y17" si="13">ROUND($D16*F$12/$AA$12,0)</f>
        <v>138368</v>
      </c>
      <c r="G16" s="10">
        <f t="shared" si="13"/>
        <v>129317</v>
      </c>
      <c r="H16" s="10">
        <f t="shared" si="13"/>
        <v>53142</v>
      </c>
      <c r="I16" s="10">
        <f t="shared" si="13"/>
        <v>55176</v>
      </c>
      <c r="J16" s="10">
        <f t="shared" si="13"/>
        <v>39794</v>
      </c>
      <c r="K16" s="10">
        <f t="shared" si="13"/>
        <v>49588</v>
      </c>
      <c r="L16" s="10">
        <f t="shared" si="13"/>
        <v>82046</v>
      </c>
      <c r="M16" s="10">
        <f t="shared" si="13"/>
        <v>74564</v>
      </c>
      <c r="N16" s="54">
        <f t="shared" ref="N16:N17" si="14">SUM(E16:M16)</f>
        <v>801102</v>
      </c>
      <c r="O16" s="10">
        <f t="shared" si="13"/>
        <v>15790</v>
      </c>
      <c r="P16" s="10">
        <f t="shared" si="13"/>
        <v>39260</v>
      </c>
      <c r="Q16" s="10">
        <f t="shared" si="13"/>
        <v>27562</v>
      </c>
      <c r="R16" s="52">
        <f t="shared" si="9"/>
        <v>82612</v>
      </c>
      <c r="S16" s="10">
        <f t="shared" si="13"/>
        <v>23892</v>
      </c>
      <c r="T16" s="10">
        <f t="shared" si="13"/>
        <v>15693</v>
      </c>
      <c r="U16" s="10">
        <f t="shared" si="13"/>
        <v>15202</v>
      </c>
      <c r="V16" s="10">
        <f t="shared" si="13"/>
        <v>13567</v>
      </c>
      <c r="W16" s="10">
        <f t="shared" si="13"/>
        <v>6132</v>
      </c>
      <c r="X16" s="10">
        <f t="shared" si="13"/>
        <v>904</v>
      </c>
      <c r="Y16" s="10">
        <f t="shared" si="13"/>
        <v>895</v>
      </c>
      <c r="Z16" s="52">
        <f t="shared" si="11"/>
        <v>76285</v>
      </c>
      <c r="AA16" s="52">
        <f t="shared" si="12"/>
        <v>959999</v>
      </c>
      <c r="AB16" s="21">
        <f t="shared" si="5"/>
        <v>-1</v>
      </c>
    </row>
    <row r="17" spans="1:28">
      <c r="A17" s="254"/>
      <c r="B17" s="66" t="s">
        <v>98</v>
      </c>
      <c r="C17" s="50" t="s">
        <v>239</v>
      </c>
      <c r="D17" s="115">
        <v>539454</v>
      </c>
      <c r="E17" s="10">
        <f>ROUND($D17*E$12/$AA$12,0)</f>
        <v>100646</v>
      </c>
      <c r="F17" s="10">
        <f t="shared" si="13"/>
        <v>77753</v>
      </c>
      <c r="G17" s="10">
        <f t="shared" si="13"/>
        <v>72667</v>
      </c>
      <c r="H17" s="10">
        <f t="shared" si="13"/>
        <v>29862</v>
      </c>
      <c r="I17" s="10">
        <f t="shared" si="13"/>
        <v>31005</v>
      </c>
      <c r="J17" s="10">
        <f t="shared" si="13"/>
        <v>22361</v>
      </c>
      <c r="K17" s="10">
        <f t="shared" si="13"/>
        <v>27865</v>
      </c>
      <c r="L17" s="10">
        <f t="shared" si="13"/>
        <v>46104</v>
      </c>
      <c r="M17" s="10">
        <f t="shared" si="13"/>
        <v>41900</v>
      </c>
      <c r="N17" s="54">
        <f t="shared" si="14"/>
        <v>450163</v>
      </c>
      <c r="O17" s="10">
        <f t="shared" si="13"/>
        <v>8873</v>
      </c>
      <c r="P17" s="10">
        <f t="shared" si="13"/>
        <v>22061</v>
      </c>
      <c r="Q17" s="10">
        <f t="shared" si="13"/>
        <v>15488</v>
      </c>
      <c r="R17" s="52">
        <f t="shared" si="9"/>
        <v>46422</v>
      </c>
      <c r="S17" s="10">
        <f t="shared" si="13"/>
        <v>13426</v>
      </c>
      <c r="T17" s="10">
        <f t="shared" si="13"/>
        <v>8818</v>
      </c>
      <c r="U17" s="10">
        <f t="shared" si="13"/>
        <v>8542</v>
      </c>
      <c r="V17" s="10">
        <f t="shared" si="13"/>
        <v>7624</v>
      </c>
      <c r="W17" s="10">
        <f t="shared" si="13"/>
        <v>3446</v>
      </c>
      <c r="X17" s="10">
        <f t="shared" si="13"/>
        <v>508</v>
      </c>
      <c r="Y17" s="10">
        <f t="shared" si="13"/>
        <v>503</v>
      </c>
      <c r="Z17" s="52">
        <f t="shared" si="11"/>
        <v>42867</v>
      </c>
      <c r="AA17" s="52">
        <f t="shared" si="12"/>
        <v>539452</v>
      </c>
      <c r="AB17" s="21">
        <f t="shared" si="5"/>
        <v>-2</v>
      </c>
    </row>
    <row r="18" spans="1:28">
      <c r="A18" s="254"/>
      <c r="B18" s="266" t="s">
        <v>139</v>
      </c>
      <c r="C18" s="50" t="s">
        <v>275</v>
      </c>
      <c r="D18" s="115">
        <v>1396000</v>
      </c>
      <c r="E18" s="10">
        <v>500000</v>
      </c>
      <c r="F18" s="10">
        <v>350000</v>
      </c>
      <c r="G18" s="10"/>
      <c r="H18" s="10">
        <v>182000</v>
      </c>
      <c r="I18" s="10">
        <v>182000</v>
      </c>
      <c r="J18" s="10"/>
      <c r="K18" s="10">
        <v>182000</v>
      </c>
      <c r="L18" s="10"/>
      <c r="M18" s="10"/>
      <c r="N18" s="54">
        <f>SUM(E18:M18)</f>
        <v>1396000</v>
      </c>
      <c r="O18" s="10"/>
      <c r="P18" s="10"/>
      <c r="Q18" s="10"/>
      <c r="R18" s="52">
        <f t="shared" si="9"/>
        <v>0</v>
      </c>
      <c r="S18" s="6"/>
      <c r="T18" s="6"/>
      <c r="U18" s="6"/>
      <c r="V18" s="6"/>
      <c r="W18" s="6"/>
      <c r="X18" s="6"/>
      <c r="Y18" s="6"/>
      <c r="Z18" s="52">
        <f t="shared" si="11"/>
        <v>0</v>
      </c>
      <c r="AA18" s="52">
        <f t="shared" si="12"/>
        <v>1396000</v>
      </c>
      <c r="AB18" s="21">
        <f t="shared" si="5"/>
        <v>0</v>
      </c>
    </row>
    <row r="19" spans="1:28">
      <c r="A19" s="254"/>
      <c r="B19" s="270"/>
      <c r="C19" s="50" t="s">
        <v>277</v>
      </c>
      <c r="D19" s="182">
        <v>92000</v>
      </c>
      <c r="E19" s="10"/>
      <c r="F19" s="10"/>
      <c r="G19" s="10"/>
      <c r="H19" s="189"/>
      <c r="I19" s="10"/>
      <c r="J19" s="10"/>
      <c r="K19" s="189">
        <f>ROUND($D$19/3,0)</f>
        <v>30667</v>
      </c>
      <c r="L19" s="10"/>
      <c r="M19" s="10"/>
      <c r="N19" s="54">
        <f>SUM(E19:M19)</f>
        <v>30667</v>
      </c>
      <c r="O19" s="10"/>
      <c r="P19" s="10"/>
      <c r="Q19" s="10"/>
      <c r="R19" s="52">
        <f t="shared" ref="R19" si="15">SUM(O19:Q19)</f>
        <v>0</v>
      </c>
      <c r="S19" s="6"/>
      <c r="T19" s="6"/>
      <c r="U19" s="6"/>
      <c r="V19" s="189">
        <f>ROUND($D$19*2/3,0)</f>
        <v>61333</v>
      </c>
      <c r="W19" s="6"/>
      <c r="X19" s="6"/>
      <c r="Y19" s="6"/>
      <c r="Z19" s="52">
        <f t="shared" ref="Z19" si="16">SUM(S19:Y19)</f>
        <v>61333</v>
      </c>
      <c r="AA19" s="52">
        <f t="shared" ref="AA19" si="17">N19+R19+Z19</f>
        <v>92000</v>
      </c>
      <c r="AB19" s="21">
        <f t="shared" ref="AB19" si="18">AA19-D19</f>
        <v>0</v>
      </c>
    </row>
    <row r="20" spans="1:28">
      <c r="A20" s="254"/>
      <c r="B20" s="270"/>
      <c r="C20" s="50" t="s">
        <v>276</v>
      </c>
      <c r="D20" s="182">
        <v>582000</v>
      </c>
      <c r="E20" s="10"/>
      <c r="F20" s="10"/>
      <c r="G20" s="10"/>
      <c r="H20" s="10">
        <v>582000</v>
      </c>
      <c r="I20" s="10"/>
      <c r="J20" s="10"/>
      <c r="K20" s="10"/>
      <c r="L20" s="10"/>
      <c r="M20" s="10"/>
      <c r="N20" s="54">
        <f>SUM(E20:M20)</f>
        <v>582000</v>
      </c>
      <c r="O20" s="10"/>
      <c r="P20" s="10"/>
      <c r="Q20" s="10"/>
      <c r="R20" s="52">
        <f t="shared" si="9"/>
        <v>0</v>
      </c>
      <c r="S20" s="6"/>
      <c r="T20" s="6"/>
      <c r="U20" s="6"/>
      <c r="V20" s="6"/>
      <c r="W20" s="6"/>
      <c r="X20" s="6"/>
      <c r="Y20" s="6"/>
      <c r="Z20" s="52">
        <f t="shared" si="11"/>
        <v>0</v>
      </c>
      <c r="AA20" s="52">
        <f t="shared" si="12"/>
        <v>582000</v>
      </c>
      <c r="AB20" s="21">
        <f t="shared" si="5"/>
        <v>0</v>
      </c>
    </row>
    <row r="21" spans="1:28">
      <c r="A21" s="254"/>
      <c r="B21" s="270"/>
      <c r="C21" s="50" t="s">
        <v>140</v>
      </c>
      <c r="D21" s="182">
        <v>1455000</v>
      </c>
      <c r="E21" s="10"/>
      <c r="F21" s="10">
        <v>301477</v>
      </c>
      <c r="G21" s="10"/>
      <c r="H21" s="10">
        <v>108003</v>
      </c>
      <c r="I21" s="10"/>
      <c r="J21" s="10"/>
      <c r="K21" s="10">
        <v>125746</v>
      </c>
      <c r="L21" s="10"/>
      <c r="M21" s="10"/>
      <c r="N21" s="54">
        <f>SUM(E21:M21)</f>
        <v>535226</v>
      </c>
      <c r="O21" s="10"/>
      <c r="P21" s="10"/>
      <c r="Q21" s="10"/>
      <c r="R21" s="52">
        <f t="shared" ref="R21:R23" si="19">SUM(O21:Q21)</f>
        <v>0</v>
      </c>
      <c r="S21" s="6"/>
      <c r="T21" s="10">
        <v>636519</v>
      </c>
      <c r="U21" s="6"/>
      <c r="V21" s="10">
        <v>283255</v>
      </c>
      <c r="W21" s="6"/>
      <c r="X21" s="6"/>
      <c r="Y21" s="6"/>
      <c r="Z21" s="52">
        <f t="shared" ref="Z21" si="20">SUM(S21:Y21)</f>
        <v>919774</v>
      </c>
      <c r="AA21" s="52">
        <f t="shared" ref="AA21:AA23" si="21">N21+R21+Z21</f>
        <v>1455000</v>
      </c>
      <c r="AB21" s="21">
        <f t="shared" ref="AB21:AB23" si="22">AA21-D21</f>
        <v>0</v>
      </c>
    </row>
    <row r="22" spans="1:28">
      <c r="A22" s="254"/>
      <c r="B22" s="267"/>
      <c r="C22" s="50" t="s">
        <v>278</v>
      </c>
      <c r="D22" s="182">
        <v>28800</v>
      </c>
      <c r="E22" s="10">
        <v>28800</v>
      </c>
      <c r="F22" s="10"/>
      <c r="G22" s="10"/>
      <c r="H22" s="10"/>
      <c r="I22" s="10"/>
      <c r="J22" s="10"/>
      <c r="K22" s="10"/>
      <c r="L22" s="10"/>
      <c r="M22" s="10"/>
      <c r="N22" s="52">
        <f t="shared" ref="N22:N23" si="23">SUM(E22:M22)</f>
        <v>28800</v>
      </c>
      <c r="O22" s="10"/>
      <c r="P22" s="10"/>
      <c r="Q22" s="10"/>
      <c r="R22" s="52">
        <f t="shared" si="19"/>
        <v>0</v>
      </c>
      <c r="S22" s="55"/>
      <c r="T22" s="55"/>
      <c r="U22" s="55"/>
      <c r="V22" s="55"/>
      <c r="W22" s="55"/>
      <c r="X22" s="55"/>
      <c r="Y22" s="55"/>
      <c r="Z22" s="52">
        <f>SUM(S22:Y22)</f>
        <v>0</v>
      </c>
      <c r="AA22" s="52">
        <f t="shared" si="21"/>
        <v>28800</v>
      </c>
      <c r="AB22" s="21">
        <f t="shared" si="22"/>
        <v>0</v>
      </c>
    </row>
    <row r="23" spans="1:28">
      <c r="A23" s="254"/>
      <c r="B23" s="268" t="s">
        <v>279</v>
      </c>
      <c r="C23" s="269"/>
      <c r="D23" s="182">
        <v>1500000</v>
      </c>
      <c r="E23" s="187">
        <f t="shared" ref="E23:M23" si="24">ROUND($D23*E$12/$AA$12,0)</f>
        <v>279854</v>
      </c>
      <c r="F23" s="187">
        <f t="shared" si="24"/>
        <v>216201</v>
      </c>
      <c r="G23" s="187">
        <f t="shared" si="24"/>
        <v>202058</v>
      </c>
      <c r="H23" s="187">
        <f t="shared" si="24"/>
        <v>83034</v>
      </c>
      <c r="I23" s="187">
        <f t="shared" si="24"/>
        <v>86212</v>
      </c>
      <c r="J23" s="187">
        <f t="shared" si="24"/>
        <v>62178</v>
      </c>
      <c r="K23" s="187">
        <f t="shared" si="24"/>
        <v>77481</v>
      </c>
      <c r="L23" s="187">
        <f t="shared" si="24"/>
        <v>128197</v>
      </c>
      <c r="M23" s="187">
        <f t="shared" si="24"/>
        <v>116506</v>
      </c>
      <c r="N23" s="52">
        <f t="shared" si="23"/>
        <v>1251721</v>
      </c>
      <c r="O23" s="187">
        <f>ROUND($D23*O$12/$AA$12,0)</f>
        <v>24672</v>
      </c>
      <c r="P23" s="187">
        <f>ROUND($D23*P$12/$AA$12,0)</f>
        <v>61344</v>
      </c>
      <c r="Q23" s="187">
        <f>ROUND($D23*Q$12/$AA$12,0)</f>
        <v>43066</v>
      </c>
      <c r="R23" s="52">
        <f t="shared" si="19"/>
        <v>129082</v>
      </c>
      <c r="S23" s="187">
        <f t="shared" ref="S23:Y24" si="25">ROUND($D23*S$12/$AA$12,0)</f>
        <v>37332</v>
      </c>
      <c r="T23" s="187">
        <f t="shared" si="25"/>
        <v>24521</v>
      </c>
      <c r="U23" s="187">
        <f t="shared" si="25"/>
        <v>23753</v>
      </c>
      <c r="V23" s="187">
        <f t="shared" si="25"/>
        <v>21199</v>
      </c>
      <c r="W23" s="187">
        <f t="shared" si="25"/>
        <v>9582</v>
      </c>
      <c r="X23" s="187">
        <f t="shared" si="25"/>
        <v>1413</v>
      </c>
      <c r="Y23" s="187">
        <f t="shared" si="25"/>
        <v>1398</v>
      </c>
      <c r="Z23" s="52">
        <f>SUM(S23:Y23)</f>
        <v>119198</v>
      </c>
      <c r="AA23" s="52">
        <f t="shared" si="21"/>
        <v>1500001</v>
      </c>
      <c r="AB23" s="21">
        <f t="shared" si="22"/>
        <v>1</v>
      </c>
    </row>
    <row r="24" spans="1:28">
      <c r="A24" s="254"/>
      <c r="B24" s="268" t="s">
        <v>280</v>
      </c>
      <c r="C24" s="269"/>
      <c r="D24" s="115">
        <v>200000</v>
      </c>
      <c r="E24" s="187">
        <f>ROUND($D24*E$12/$AA$12,0)</f>
        <v>37314</v>
      </c>
      <c r="F24" s="187">
        <f t="shared" ref="F24:M24" si="26">ROUND($D24*F$12/$AA$12,0)</f>
        <v>28827</v>
      </c>
      <c r="G24" s="187">
        <f t="shared" si="26"/>
        <v>26941</v>
      </c>
      <c r="H24" s="187">
        <f t="shared" si="26"/>
        <v>11071</v>
      </c>
      <c r="I24" s="187">
        <f t="shared" si="26"/>
        <v>11495</v>
      </c>
      <c r="J24" s="187">
        <f t="shared" si="26"/>
        <v>8290</v>
      </c>
      <c r="K24" s="187">
        <f t="shared" si="26"/>
        <v>10331</v>
      </c>
      <c r="L24" s="187">
        <f t="shared" si="26"/>
        <v>17093</v>
      </c>
      <c r="M24" s="187">
        <f t="shared" si="26"/>
        <v>15534</v>
      </c>
      <c r="N24" s="52">
        <f t="shared" ref="N24" si="27">SUM(E24:M24)</f>
        <v>166896</v>
      </c>
      <c r="O24" s="187">
        <f t="shared" ref="O24:Q24" si="28">ROUND($D24*O$12/$AA$12,0)</f>
        <v>3290</v>
      </c>
      <c r="P24" s="187">
        <f t="shared" si="28"/>
        <v>8179</v>
      </c>
      <c r="Q24" s="187">
        <f t="shared" si="28"/>
        <v>5742</v>
      </c>
      <c r="R24" s="52">
        <f t="shared" ref="R24" si="29">SUM(O24:Q24)</f>
        <v>17211</v>
      </c>
      <c r="S24" s="187">
        <f t="shared" si="25"/>
        <v>4978</v>
      </c>
      <c r="T24" s="187">
        <f t="shared" si="25"/>
        <v>3269</v>
      </c>
      <c r="U24" s="187">
        <f t="shared" si="25"/>
        <v>3167</v>
      </c>
      <c r="V24" s="187">
        <f t="shared" si="25"/>
        <v>2827</v>
      </c>
      <c r="W24" s="187">
        <f t="shared" si="25"/>
        <v>1278</v>
      </c>
      <c r="X24" s="187">
        <f t="shared" si="25"/>
        <v>188</v>
      </c>
      <c r="Y24" s="187">
        <f t="shared" si="25"/>
        <v>186</v>
      </c>
      <c r="Z24" s="52">
        <f>SUM(S24:Y24)</f>
        <v>15893</v>
      </c>
      <c r="AA24" s="52">
        <f t="shared" si="12"/>
        <v>200000</v>
      </c>
      <c r="AB24" s="21">
        <f t="shared" si="5"/>
        <v>0</v>
      </c>
    </row>
    <row r="25" spans="1:28"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21">
        <f t="shared" si="5"/>
        <v>0</v>
      </c>
    </row>
    <row r="26" spans="1:28">
      <c r="N26" s="43"/>
      <c r="R26" s="43"/>
      <c r="Z26" s="43"/>
      <c r="AA26" s="43"/>
      <c r="AB26" s="21">
        <f t="shared" si="5"/>
        <v>0</v>
      </c>
    </row>
    <row r="27" spans="1:28" s="31" customFormat="1">
      <c r="A27" s="288" t="s">
        <v>240</v>
      </c>
      <c r="B27" s="289" t="s">
        <v>141</v>
      </c>
      <c r="C27" s="290"/>
      <c r="D27" s="50">
        <v>0</v>
      </c>
      <c r="E27" s="10"/>
      <c r="F27" s="10"/>
      <c r="G27" s="10"/>
      <c r="H27" s="10"/>
      <c r="I27" s="10"/>
      <c r="J27" s="10"/>
      <c r="K27" s="10"/>
      <c r="L27" s="10"/>
      <c r="M27" s="10"/>
      <c r="N27" s="53">
        <f>SUM(E27:M27)</f>
        <v>0</v>
      </c>
      <c r="O27" s="10"/>
      <c r="P27" s="10"/>
      <c r="Q27" s="10"/>
      <c r="R27" s="53">
        <f>SUM(O27:Q27)</f>
        <v>0</v>
      </c>
      <c r="S27" s="10"/>
      <c r="T27" s="10"/>
      <c r="U27" s="10"/>
      <c r="V27" s="10"/>
      <c r="W27" s="10"/>
      <c r="X27" s="10"/>
      <c r="Y27" s="10"/>
      <c r="Z27" s="52">
        <f>SUM(S27:Y27)</f>
        <v>0</v>
      </c>
      <c r="AA27" s="52">
        <f>N27+R27+Z27</f>
        <v>0</v>
      </c>
      <c r="AB27" s="21">
        <f t="shared" si="5"/>
        <v>0</v>
      </c>
    </row>
    <row r="28" spans="1:28">
      <c r="A28" s="254"/>
      <c r="B28" s="268" t="s">
        <v>137</v>
      </c>
      <c r="C28" s="269"/>
      <c r="D28" s="50">
        <v>0</v>
      </c>
      <c r="E28" s="6"/>
      <c r="F28" s="6"/>
      <c r="G28" s="6"/>
      <c r="H28" s="6"/>
      <c r="I28" s="6"/>
      <c r="J28" s="6"/>
      <c r="K28" s="6"/>
      <c r="L28" s="6"/>
      <c r="M28" s="6"/>
      <c r="N28" s="71"/>
      <c r="O28" s="6"/>
      <c r="P28" s="6"/>
      <c r="Q28" s="6"/>
      <c r="R28" s="73">
        <f t="shared" ref="R28:R31" si="30">SUM(O28:Q28)</f>
        <v>0</v>
      </c>
      <c r="S28" s="6"/>
      <c r="T28" s="6"/>
      <c r="U28" s="6"/>
      <c r="V28" s="6"/>
      <c r="W28" s="6"/>
      <c r="X28" s="6"/>
      <c r="Y28" s="6"/>
      <c r="Z28" s="71"/>
      <c r="AA28" s="71"/>
      <c r="AB28" s="21">
        <f t="shared" si="5"/>
        <v>0</v>
      </c>
    </row>
    <row r="29" spans="1:28">
      <c r="A29" s="254"/>
      <c r="B29" s="268" t="s">
        <v>136</v>
      </c>
      <c r="C29" s="269"/>
      <c r="D29" s="50">
        <v>179912</v>
      </c>
      <c r="E29" s="187">
        <f>ROUND($D29*E$12/$AA$12,0)</f>
        <v>33566</v>
      </c>
      <c r="F29" s="187">
        <f>ROUND($D29*F$12/$AA$12,0)</f>
        <v>25931</v>
      </c>
      <c r="G29" s="187">
        <f t="shared" ref="F29:Y31" si="31">ROUND($D29*G$12/$AA$12,0)</f>
        <v>24235</v>
      </c>
      <c r="H29" s="187">
        <f>ROUND($D29*H$12/$AA$12,0)</f>
        <v>9959</v>
      </c>
      <c r="I29" s="187">
        <f t="shared" si="31"/>
        <v>10340</v>
      </c>
      <c r="J29" s="187">
        <f t="shared" si="31"/>
        <v>7458</v>
      </c>
      <c r="K29" s="187">
        <f t="shared" si="31"/>
        <v>9293</v>
      </c>
      <c r="L29" s="187">
        <f t="shared" si="31"/>
        <v>15376</v>
      </c>
      <c r="M29" s="187">
        <f t="shared" si="31"/>
        <v>13974</v>
      </c>
      <c r="N29" s="188">
        <f>SUM(E29:M29)</f>
        <v>150132</v>
      </c>
      <c r="O29" s="187">
        <f t="shared" si="31"/>
        <v>2959</v>
      </c>
      <c r="P29" s="187">
        <f t="shared" si="31"/>
        <v>7358</v>
      </c>
      <c r="Q29" s="187">
        <f t="shared" si="31"/>
        <v>5165</v>
      </c>
      <c r="R29" s="188">
        <f t="shared" si="30"/>
        <v>15482</v>
      </c>
      <c r="S29" s="187">
        <f t="shared" si="31"/>
        <v>4478</v>
      </c>
      <c r="T29" s="187">
        <f t="shared" si="31"/>
        <v>2941</v>
      </c>
      <c r="U29" s="187">
        <f t="shared" si="31"/>
        <v>2849</v>
      </c>
      <c r="V29" s="187">
        <f t="shared" si="31"/>
        <v>2543</v>
      </c>
      <c r="W29" s="187">
        <f t="shared" si="31"/>
        <v>1149</v>
      </c>
      <c r="X29" s="187">
        <f t="shared" si="31"/>
        <v>170</v>
      </c>
      <c r="Y29" s="187">
        <f t="shared" si="31"/>
        <v>168</v>
      </c>
      <c r="Z29" s="52">
        <f t="shared" ref="Z29:Z31" si="32">SUM(S29:Y29)</f>
        <v>14298</v>
      </c>
      <c r="AA29" s="52">
        <f>N29+R29+Z29</f>
        <v>179912</v>
      </c>
      <c r="AB29" s="21">
        <f t="shared" si="5"/>
        <v>0</v>
      </c>
    </row>
    <row r="30" spans="1:28">
      <c r="A30" s="254"/>
      <c r="B30" s="268" t="s">
        <v>142</v>
      </c>
      <c r="C30" s="269"/>
      <c r="D30" s="50">
        <v>259144</v>
      </c>
      <c r="E30" s="187">
        <f t="shared" ref="E30:E31" si="33">ROUND($D30*E$12/$AA$12,0)</f>
        <v>48348</v>
      </c>
      <c r="F30" s="187">
        <f t="shared" si="31"/>
        <v>37351</v>
      </c>
      <c r="G30" s="187">
        <f t="shared" si="31"/>
        <v>34908</v>
      </c>
      <c r="H30" s="187">
        <f t="shared" si="31"/>
        <v>14345</v>
      </c>
      <c r="I30" s="187">
        <f t="shared" si="31"/>
        <v>14894</v>
      </c>
      <c r="J30" s="187">
        <f t="shared" si="31"/>
        <v>10742</v>
      </c>
      <c r="K30" s="187">
        <f t="shared" si="31"/>
        <v>13386</v>
      </c>
      <c r="L30" s="187">
        <f t="shared" si="31"/>
        <v>22148</v>
      </c>
      <c r="M30" s="187">
        <f t="shared" si="31"/>
        <v>20128</v>
      </c>
      <c r="N30" s="188">
        <f t="shared" ref="N30" si="34">SUM(E30:M30)</f>
        <v>216250</v>
      </c>
      <c r="O30" s="187">
        <f t="shared" si="31"/>
        <v>4262</v>
      </c>
      <c r="P30" s="187">
        <f t="shared" si="31"/>
        <v>10598</v>
      </c>
      <c r="Q30" s="187">
        <f t="shared" si="31"/>
        <v>7440</v>
      </c>
      <c r="R30" s="188">
        <f t="shared" si="30"/>
        <v>22300</v>
      </c>
      <c r="S30" s="187">
        <f t="shared" si="31"/>
        <v>6450</v>
      </c>
      <c r="T30" s="187">
        <f t="shared" si="31"/>
        <v>4236</v>
      </c>
      <c r="U30" s="187">
        <f t="shared" si="31"/>
        <v>4104</v>
      </c>
      <c r="V30" s="187">
        <f t="shared" si="31"/>
        <v>3662</v>
      </c>
      <c r="W30" s="187">
        <f t="shared" si="31"/>
        <v>1655</v>
      </c>
      <c r="X30" s="187">
        <f t="shared" si="31"/>
        <v>244</v>
      </c>
      <c r="Y30" s="187">
        <f t="shared" si="31"/>
        <v>242</v>
      </c>
      <c r="Z30" s="52">
        <f t="shared" si="32"/>
        <v>20593</v>
      </c>
      <c r="AA30" s="52">
        <f t="shared" ref="AA30" si="35">N30+R30+Z30</f>
        <v>259143</v>
      </c>
      <c r="AB30" s="21">
        <f t="shared" si="5"/>
        <v>-1</v>
      </c>
    </row>
    <row r="31" spans="1:28">
      <c r="A31" s="254"/>
      <c r="B31" s="268" t="s">
        <v>98</v>
      </c>
      <c r="C31" s="269"/>
      <c r="D31" s="50">
        <v>1262983</v>
      </c>
      <c r="E31" s="187">
        <f t="shared" si="33"/>
        <v>235634</v>
      </c>
      <c r="F31" s="187">
        <f>ROUND($D31*F$12/$AA$12,0)</f>
        <v>182038</v>
      </c>
      <c r="G31" s="187">
        <f>ROUND($D31*G$12/$AA$12,0)</f>
        <v>170131</v>
      </c>
      <c r="H31" s="187">
        <f t="shared" si="31"/>
        <v>69913</v>
      </c>
      <c r="I31" s="187">
        <f t="shared" si="31"/>
        <v>72590</v>
      </c>
      <c r="J31" s="187">
        <f t="shared" si="31"/>
        <v>52353</v>
      </c>
      <c r="K31" s="187">
        <f t="shared" si="31"/>
        <v>65238</v>
      </c>
      <c r="L31" s="187">
        <f t="shared" si="31"/>
        <v>107940</v>
      </c>
      <c r="M31" s="187">
        <f t="shared" si="31"/>
        <v>98097</v>
      </c>
      <c r="N31" s="188">
        <f>SUM(E31:M31)</f>
        <v>1053934</v>
      </c>
      <c r="O31" s="187">
        <f>ROUND($D31*O$12/$AA$12,0)</f>
        <v>20773</v>
      </c>
      <c r="P31" s="187">
        <f t="shared" si="31"/>
        <v>51651</v>
      </c>
      <c r="Q31" s="187">
        <f t="shared" si="31"/>
        <v>36261</v>
      </c>
      <c r="R31" s="188">
        <f t="shared" si="30"/>
        <v>108685</v>
      </c>
      <c r="S31" s="187">
        <f t="shared" si="31"/>
        <v>31433</v>
      </c>
      <c r="T31" s="187">
        <f t="shared" si="31"/>
        <v>20646</v>
      </c>
      <c r="U31" s="187">
        <f t="shared" si="31"/>
        <v>20000</v>
      </c>
      <c r="V31" s="187">
        <f t="shared" si="31"/>
        <v>17849</v>
      </c>
      <c r="W31" s="187">
        <f t="shared" si="31"/>
        <v>8068</v>
      </c>
      <c r="X31" s="187">
        <f t="shared" si="31"/>
        <v>1190</v>
      </c>
      <c r="Y31" s="187">
        <f t="shared" si="31"/>
        <v>1177</v>
      </c>
      <c r="Z31" s="52">
        <f t="shared" si="32"/>
        <v>100363</v>
      </c>
      <c r="AA31" s="52">
        <f>N31+R31+Z31</f>
        <v>1262982</v>
      </c>
      <c r="AB31" s="21">
        <f t="shared" si="5"/>
        <v>-1</v>
      </c>
    </row>
    <row r="32" spans="1:28">
      <c r="A32" s="42"/>
      <c r="B32" s="42"/>
      <c r="C32" s="42"/>
      <c r="D32" s="134"/>
      <c r="E32" s="69"/>
      <c r="F32" s="69"/>
      <c r="G32" s="69"/>
      <c r="H32" s="69"/>
      <c r="I32" s="69"/>
      <c r="J32" s="69"/>
      <c r="K32" s="69"/>
      <c r="L32" s="69"/>
      <c r="M32" s="69"/>
      <c r="N32" s="74"/>
      <c r="O32" s="69"/>
      <c r="P32" s="69"/>
      <c r="Q32" s="69"/>
      <c r="R32" s="74"/>
      <c r="S32" s="69"/>
      <c r="T32" s="69"/>
      <c r="U32" s="69"/>
      <c r="V32" s="69"/>
      <c r="W32" s="69"/>
      <c r="X32" s="69"/>
      <c r="Y32" s="69"/>
      <c r="Z32" s="68"/>
      <c r="AA32" s="68"/>
      <c r="AB32" s="21">
        <f t="shared" si="5"/>
        <v>0</v>
      </c>
    </row>
    <row r="33" spans="1:30">
      <c r="A33" s="254" t="s">
        <v>361</v>
      </c>
      <c r="B33" s="254" t="s">
        <v>141</v>
      </c>
      <c r="C33" s="254"/>
      <c r="D33" s="50">
        <v>242030</v>
      </c>
      <c r="E33" s="10">
        <v>242030</v>
      </c>
      <c r="F33" s="60"/>
      <c r="G33" s="60"/>
      <c r="H33" s="60"/>
      <c r="I33" s="60"/>
      <c r="J33" s="60"/>
      <c r="K33" s="60"/>
      <c r="L33" s="60"/>
      <c r="M33" s="60"/>
      <c r="N33" s="53">
        <f>SUM(E33:M33)</f>
        <v>242030</v>
      </c>
      <c r="O33" s="60"/>
      <c r="P33" s="60"/>
      <c r="Q33" s="60"/>
      <c r="R33" s="73"/>
      <c r="S33" s="60"/>
      <c r="T33" s="60"/>
      <c r="U33" s="60"/>
      <c r="V33" s="60"/>
      <c r="W33" s="60"/>
      <c r="X33" s="60"/>
      <c r="Y33" s="60"/>
      <c r="Z33" s="52"/>
      <c r="AA33" s="52">
        <f>N33+R33+Z33</f>
        <v>242030</v>
      </c>
      <c r="AB33" s="21">
        <f t="shared" si="5"/>
        <v>0</v>
      </c>
    </row>
    <row r="34" spans="1:30">
      <c r="A34" s="254"/>
      <c r="B34" s="254" t="s">
        <v>137</v>
      </c>
      <c r="C34" s="254"/>
      <c r="D34" s="50">
        <v>3000</v>
      </c>
      <c r="E34" s="10">
        <v>3000</v>
      </c>
      <c r="F34" s="60"/>
      <c r="G34" s="60"/>
      <c r="H34" s="60"/>
      <c r="I34" s="60"/>
      <c r="J34" s="60"/>
      <c r="K34" s="60"/>
      <c r="L34" s="60"/>
      <c r="M34" s="60"/>
      <c r="N34" s="53">
        <f t="shared" ref="N34:N37" si="36">SUM(E34:M34)</f>
        <v>3000</v>
      </c>
      <c r="O34" s="60"/>
      <c r="P34" s="60"/>
      <c r="Q34" s="60"/>
      <c r="R34" s="73"/>
      <c r="S34" s="60"/>
      <c r="T34" s="60"/>
      <c r="U34" s="60"/>
      <c r="V34" s="60"/>
      <c r="W34" s="60"/>
      <c r="X34" s="60"/>
      <c r="Y34" s="60"/>
      <c r="Z34" s="52"/>
      <c r="AA34" s="52">
        <f t="shared" ref="AA34:AA37" si="37">N34+R34+Z34</f>
        <v>3000</v>
      </c>
      <c r="AB34" s="21">
        <f t="shared" si="5"/>
        <v>0</v>
      </c>
    </row>
    <row r="35" spans="1:30">
      <c r="A35" s="254"/>
      <c r="B35" s="254" t="s">
        <v>136</v>
      </c>
      <c r="C35" s="254"/>
      <c r="D35" s="50">
        <v>3500</v>
      </c>
      <c r="E35" s="10">
        <v>3500</v>
      </c>
      <c r="F35" s="60"/>
      <c r="G35" s="60"/>
      <c r="H35" s="60"/>
      <c r="I35" s="60"/>
      <c r="J35" s="60"/>
      <c r="K35" s="60"/>
      <c r="L35" s="60"/>
      <c r="M35" s="60"/>
      <c r="N35" s="53">
        <f t="shared" si="36"/>
        <v>3500</v>
      </c>
      <c r="O35" s="60"/>
      <c r="P35" s="60"/>
      <c r="Q35" s="60"/>
      <c r="R35" s="73"/>
      <c r="S35" s="60"/>
      <c r="T35" s="60"/>
      <c r="U35" s="60"/>
      <c r="V35" s="60"/>
      <c r="W35" s="60"/>
      <c r="X35" s="60"/>
      <c r="Y35" s="60"/>
      <c r="Z35" s="52"/>
      <c r="AA35" s="52">
        <f t="shared" si="37"/>
        <v>3500</v>
      </c>
      <c r="AB35" s="21">
        <f t="shared" si="5"/>
        <v>0</v>
      </c>
    </row>
    <row r="36" spans="1:30">
      <c r="A36" s="254"/>
      <c r="B36" s="254" t="s">
        <v>142</v>
      </c>
      <c r="C36" s="254"/>
      <c r="D36" s="50">
        <v>21600</v>
      </c>
      <c r="E36" s="10">
        <v>21600</v>
      </c>
      <c r="F36" s="60"/>
      <c r="G36" s="60"/>
      <c r="H36" s="60"/>
      <c r="I36" s="60"/>
      <c r="J36" s="60"/>
      <c r="K36" s="60"/>
      <c r="L36" s="60"/>
      <c r="M36" s="60"/>
      <c r="N36" s="53">
        <f t="shared" si="36"/>
        <v>21600</v>
      </c>
      <c r="O36" s="60"/>
      <c r="P36" s="60"/>
      <c r="Q36" s="60"/>
      <c r="R36" s="73"/>
      <c r="S36" s="60"/>
      <c r="T36" s="60"/>
      <c r="U36" s="60"/>
      <c r="V36" s="60"/>
      <c r="W36" s="60"/>
      <c r="X36" s="60"/>
      <c r="Y36" s="60"/>
      <c r="Z36" s="52"/>
      <c r="AA36" s="52">
        <f t="shared" si="37"/>
        <v>21600</v>
      </c>
      <c r="AB36" s="21">
        <f t="shared" si="5"/>
        <v>0</v>
      </c>
    </row>
    <row r="37" spans="1:30" ht="15.75" customHeight="1">
      <c r="A37" s="254"/>
      <c r="B37" s="254" t="s">
        <v>98</v>
      </c>
      <c r="C37" s="254"/>
      <c r="D37" s="50">
        <v>7300</v>
      </c>
      <c r="E37" s="10">
        <v>7300</v>
      </c>
      <c r="F37" s="60"/>
      <c r="G37" s="60"/>
      <c r="H37" s="60"/>
      <c r="I37" s="60"/>
      <c r="J37" s="60"/>
      <c r="K37" s="60"/>
      <c r="L37" s="60"/>
      <c r="M37" s="60"/>
      <c r="N37" s="53">
        <f t="shared" si="36"/>
        <v>7300</v>
      </c>
      <c r="O37" s="60"/>
      <c r="P37" s="60"/>
      <c r="Q37" s="60"/>
      <c r="R37" s="73"/>
      <c r="S37" s="60"/>
      <c r="T37" s="60"/>
      <c r="U37" s="60"/>
      <c r="V37" s="60"/>
      <c r="W37" s="60"/>
      <c r="X37" s="60"/>
      <c r="Y37" s="60"/>
      <c r="Z37" s="52"/>
      <c r="AA37" s="52">
        <f t="shared" si="37"/>
        <v>7300</v>
      </c>
      <c r="AB37" s="21">
        <f t="shared" si="5"/>
        <v>0</v>
      </c>
    </row>
    <row r="38" spans="1:30" ht="15.75" customHeight="1">
      <c r="A38" s="287" t="s">
        <v>41</v>
      </c>
      <c r="B38" s="287"/>
      <c r="C38" s="287"/>
      <c r="D38" s="79">
        <f t="shared" ref="D38:AA38" si="38">SUM(D12:D37)</f>
        <v>52319923</v>
      </c>
      <c r="E38" s="79">
        <f t="shared" si="38"/>
        <v>9782031.1428571418</v>
      </c>
      <c r="F38" s="79">
        <f t="shared" si="38"/>
        <v>7519988.1428571427</v>
      </c>
      <c r="G38" s="79">
        <f t="shared" si="38"/>
        <v>6640732.1428571427</v>
      </c>
      <c r="H38" s="79">
        <f t="shared" si="38"/>
        <v>3551692.1428571427</v>
      </c>
      <c r="I38" s="79">
        <f t="shared" si="38"/>
        <v>2994934.1428571427</v>
      </c>
      <c r="J38" s="79">
        <f t="shared" si="38"/>
        <v>2013201.142857143</v>
      </c>
      <c r="K38" s="79">
        <f t="shared" si="38"/>
        <v>2801252.1428571427</v>
      </c>
      <c r="L38" s="79">
        <f t="shared" si="38"/>
        <v>4088578.1428571427</v>
      </c>
      <c r="M38" s="79">
        <f t="shared" si="38"/>
        <v>3757972.1428571427</v>
      </c>
      <c r="N38" s="79">
        <f t="shared" si="38"/>
        <v>43150381.285714284</v>
      </c>
      <c r="O38" s="79">
        <f t="shared" si="38"/>
        <v>818098.14285714284</v>
      </c>
      <c r="P38" s="79">
        <f t="shared" si="38"/>
        <v>1950317.142857143</v>
      </c>
      <c r="Q38" s="79">
        <f t="shared" si="38"/>
        <v>1371871.2857142857</v>
      </c>
      <c r="R38" s="79">
        <f t="shared" si="38"/>
        <v>4140286.5714285714</v>
      </c>
      <c r="S38" s="79">
        <f t="shared" si="38"/>
        <v>1233773.2857142857</v>
      </c>
      <c r="T38" s="79">
        <f t="shared" si="38"/>
        <v>1556323.1428571427</v>
      </c>
      <c r="U38" s="79">
        <f t="shared" si="38"/>
        <v>756446.14285714284</v>
      </c>
      <c r="V38" s="79">
        <f t="shared" si="38"/>
        <v>1082923.1428571427</v>
      </c>
      <c r="W38" s="79">
        <f t="shared" si="38"/>
        <v>306369.14285714284</v>
      </c>
      <c r="X38" s="79">
        <f t="shared" si="38"/>
        <v>46941.142857142855</v>
      </c>
      <c r="Y38" s="79">
        <f t="shared" si="38"/>
        <v>46467.142857142855</v>
      </c>
      <c r="Z38" s="79">
        <f t="shared" si="38"/>
        <v>5029243.1428571427</v>
      </c>
      <c r="AA38" s="79">
        <f t="shared" si="38"/>
        <v>52319911</v>
      </c>
      <c r="AB38" s="21">
        <f t="shared" si="5"/>
        <v>-12</v>
      </c>
    </row>
    <row r="39" spans="1:30" ht="15.75" customHeight="1">
      <c r="A39" s="42"/>
      <c r="B39" s="42"/>
      <c r="C39" s="42"/>
      <c r="D39" s="134"/>
      <c r="E39" s="136"/>
      <c r="F39" s="69"/>
      <c r="G39" s="69"/>
      <c r="H39" s="69"/>
      <c r="I39" s="69"/>
      <c r="J39" s="69"/>
      <c r="K39" s="69"/>
      <c r="L39" s="69"/>
      <c r="M39" s="69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4"/>
      <c r="AA39" s="134"/>
    </row>
    <row r="40" spans="1:30" ht="15.75" customHeight="1">
      <c r="A40" s="281" t="s">
        <v>236</v>
      </c>
      <c r="B40" s="282"/>
      <c r="C40" s="113" t="s">
        <v>123</v>
      </c>
      <c r="D40" s="113" t="s">
        <v>131</v>
      </c>
      <c r="E40" s="10">
        <v>7728360</v>
      </c>
      <c r="F40" s="10">
        <v>5914240</v>
      </c>
      <c r="G40" s="10">
        <v>5556400</v>
      </c>
      <c r="H40" s="10">
        <v>2254280</v>
      </c>
      <c r="I40" s="10">
        <v>2378120</v>
      </c>
      <c r="J40" s="10">
        <f>490240+1200000</f>
        <v>1690240</v>
      </c>
      <c r="K40" s="10">
        <v>2070480</v>
      </c>
      <c r="L40" s="10">
        <v>3532620</v>
      </c>
      <c r="M40" s="10">
        <v>3205100</v>
      </c>
      <c r="N40" s="53">
        <f>SUM(E40:M40)</f>
        <v>34329840</v>
      </c>
      <c r="O40" s="6"/>
      <c r="P40" s="6"/>
      <c r="Q40" s="6"/>
      <c r="R40" s="52">
        <f>SUM(O40:Q40)</f>
        <v>0</v>
      </c>
      <c r="S40" s="6"/>
      <c r="T40" s="6"/>
      <c r="U40" s="6"/>
      <c r="V40" s="6"/>
      <c r="W40" s="6"/>
      <c r="X40" s="6"/>
      <c r="Y40" s="6"/>
      <c r="Z40" s="52">
        <f>SUM(S40:Y40)</f>
        <v>0</v>
      </c>
      <c r="AA40" s="55">
        <f>N40+R40+Z40</f>
        <v>34329840</v>
      </c>
    </row>
    <row r="41" spans="1:30" ht="15.75" customHeight="1">
      <c r="A41" s="283"/>
      <c r="B41" s="284"/>
      <c r="C41" s="113" t="s">
        <v>124</v>
      </c>
      <c r="D41" s="113" t="s">
        <v>131</v>
      </c>
      <c r="E41" s="6"/>
      <c r="F41" s="6"/>
      <c r="G41" s="6"/>
      <c r="H41" s="6"/>
      <c r="I41" s="6"/>
      <c r="J41" s="6"/>
      <c r="K41" s="6"/>
      <c r="L41" s="6"/>
      <c r="M41" s="6"/>
      <c r="N41" s="53">
        <f t="shared" ref="N41:N42" si="39">SUM(E41:M41)</f>
        <v>0</v>
      </c>
      <c r="O41" s="6"/>
      <c r="P41" s="6"/>
      <c r="Q41" s="10">
        <v>571776</v>
      </c>
      <c r="R41" s="52">
        <f t="shared" ref="R41:R42" si="40">SUM(O41:Q41)</f>
        <v>571776</v>
      </c>
      <c r="S41" s="10">
        <v>816017</v>
      </c>
      <c r="T41" s="10">
        <v>512807</v>
      </c>
      <c r="U41" s="10">
        <v>523611</v>
      </c>
      <c r="V41" s="10">
        <v>470659</v>
      </c>
      <c r="W41" s="10">
        <v>171102</v>
      </c>
      <c r="X41" s="10">
        <v>0</v>
      </c>
      <c r="Y41" s="10">
        <v>13105</v>
      </c>
      <c r="Z41" s="52">
        <f>SUM(S41:Y41)</f>
        <v>2507301</v>
      </c>
      <c r="AA41" s="55">
        <f t="shared" ref="AA41:AA42" si="41">N41+R41+Z41</f>
        <v>3079077</v>
      </c>
    </row>
    <row r="42" spans="1:30" ht="15.75" customHeight="1">
      <c r="A42" s="283"/>
      <c r="B42" s="284"/>
      <c r="C42" s="113" t="s">
        <v>126</v>
      </c>
      <c r="D42" s="113" t="s">
        <v>131</v>
      </c>
      <c r="E42" s="6"/>
      <c r="F42" s="6"/>
      <c r="G42" s="6"/>
      <c r="H42" s="6"/>
      <c r="I42" s="6"/>
      <c r="J42" s="6"/>
      <c r="K42" s="6"/>
      <c r="L42" s="10"/>
      <c r="M42" s="10"/>
      <c r="N42" s="53">
        <f t="shared" si="39"/>
        <v>0</v>
      </c>
      <c r="O42" s="10">
        <v>677200</v>
      </c>
      <c r="P42" s="10">
        <f>P7</f>
        <v>1700000</v>
      </c>
      <c r="Q42" s="10">
        <v>649880</v>
      </c>
      <c r="R42" s="52">
        <f t="shared" si="40"/>
        <v>3027080</v>
      </c>
      <c r="S42" s="6"/>
      <c r="T42" s="6"/>
      <c r="U42" s="6"/>
      <c r="V42" s="6"/>
      <c r="W42" s="6"/>
      <c r="X42" s="6"/>
      <c r="Y42" s="6"/>
      <c r="Z42" s="52">
        <f t="shared" ref="Z42" si="42">SUM(S42:Y42)</f>
        <v>0</v>
      </c>
      <c r="AA42" s="55">
        <f t="shared" si="41"/>
        <v>3027080</v>
      </c>
    </row>
    <row r="43" spans="1:30" ht="15.75" customHeight="1">
      <c r="A43" s="285"/>
      <c r="B43" s="286"/>
      <c r="C43" s="114" t="s">
        <v>41</v>
      </c>
      <c r="D43" s="113" t="s">
        <v>131</v>
      </c>
      <c r="E43" s="55">
        <f>SUM(E40:E42)</f>
        <v>7728360</v>
      </c>
      <c r="F43" s="55">
        <f t="shared" ref="F43:O43" si="43">SUM(F40:F42)</f>
        <v>5914240</v>
      </c>
      <c r="G43" s="55">
        <f t="shared" si="43"/>
        <v>5556400</v>
      </c>
      <c r="H43" s="55">
        <f t="shared" si="43"/>
        <v>2254280</v>
      </c>
      <c r="I43" s="55">
        <f t="shared" si="43"/>
        <v>2378120</v>
      </c>
      <c r="J43" s="55">
        <f t="shared" si="43"/>
        <v>1690240</v>
      </c>
      <c r="K43" s="55">
        <f t="shared" si="43"/>
        <v>2070480</v>
      </c>
      <c r="L43" s="55">
        <f t="shared" si="43"/>
        <v>3532620</v>
      </c>
      <c r="M43" s="55">
        <f t="shared" si="43"/>
        <v>3205100</v>
      </c>
      <c r="N43" s="55">
        <f>SUM(N40:N42)</f>
        <v>34329840</v>
      </c>
      <c r="O43" s="55">
        <f t="shared" si="43"/>
        <v>677200</v>
      </c>
      <c r="P43" s="55">
        <f t="shared" ref="P43" si="44">SUM(P40:P42)</f>
        <v>1700000</v>
      </c>
      <c r="Q43" s="55">
        <f t="shared" ref="Q43:S43" si="45">SUM(Q40:Q42)</f>
        <v>1221656</v>
      </c>
      <c r="R43" s="55">
        <f>SUM(R40:R42)</f>
        <v>3598856</v>
      </c>
      <c r="S43" s="55">
        <f t="shared" si="45"/>
        <v>816017</v>
      </c>
      <c r="T43" s="55">
        <f t="shared" ref="T43" si="46">SUM(T40:T42)</f>
        <v>512807</v>
      </c>
      <c r="U43" s="55">
        <f t="shared" ref="U43" si="47">SUM(U40:U42)</f>
        <v>523611</v>
      </c>
      <c r="V43" s="55">
        <f t="shared" ref="V43" si="48">SUM(V40:V42)</f>
        <v>470659</v>
      </c>
      <c r="W43" s="55">
        <f t="shared" ref="W43" si="49">SUM(W40:W42)</f>
        <v>171102</v>
      </c>
      <c r="X43" s="55">
        <f t="shared" ref="X43" si="50">SUM(X40:X42)</f>
        <v>0</v>
      </c>
      <c r="Y43" s="55">
        <f t="shared" ref="Y43" si="51">SUM(Y40:Y42)</f>
        <v>13105</v>
      </c>
      <c r="Z43" s="55">
        <f>SUM(Z40:Z42)</f>
        <v>2507301</v>
      </c>
      <c r="AA43" s="55">
        <f>N43+R43+Z43</f>
        <v>40435997</v>
      </c>
    </row>
    <row r="44" spans="1:30" ht="15.75" customHeight="1">
      <c r="A44" s="42"/>
      <c r="B44" s="42"/>
      <c r="C44" s="42"/>
      <c r="D44" s="134"/>
      <c r="E44" s="136"/>
      <c r="F44" s="69"/>
      <c r="G44" s="69"/>
      <c r="H44" s="69"/>
      <c r="I44" s="69"/>
      <c r="J44" s="69"/>
      <c r="K44" s="69"/>
      <c r="L44" s="69"/>
      <c r="M44" s="69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4"/>
      <c r="AA44" s="134"/>
    </row>
    <row r="45" spans="1:30" ht="15.75" customHeight="1">
      <c r="A45" s="42"/>
      <c r="B45" s="42"/>
      <c r="C45" s="42"/>
      <c r="D45" s="134"/>
      <c r="E45" s="136"/>
      <c r="F45" s="69"/>
      <c r="G45" s="69"/>
      <c r="H45" s="69"/>
      <c r="I45" s="69"/>
      <c r="J45" s="69"/>
      <c r="K45" s="69"/>
      <c r="L45" s="69"/>
      <c r="M45" s="69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4"/>
      <c r="AA45" s="134"/>
    </row>
    <row r="46" spans="1:30" ht="15.75" customHeight="1">
      <c r="A46" s="42"/>
      <c r="B46" s="42"/>
      <c r="C46" s="42"/>
      <c r="D46" s="134"/>
      <c r="E46" s="136"/>
      <c r="F46" s="69"/>
      <c r="G46" s="69"/>
      <c r="H46" s="69"/>
      <c r="I46" s="69"/>
      <c r="J46" s="69"/>
      <c r="K46" s="69"/>
      <c r="L46" s="69"/>
      <c r="M46" s="69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4"/>
      <c r="AA46" s="134"/>
    </row>
    <row r="47" spans="1:30">
      <c r="N47" s="43"/>
      <c r="R47" s="43"/>
      <c r="Z47" s="43"/>
      <c r="AA47" s="43"/>
      <c r="AD47" s="65"/>
    </row>
    <row r="48" spans="1:30">
      <c r="A48" s="280" t="s">
        <v>241</v>
      </c>
      <c r="B48" s="280"/>
      <c r="C48" s="122" t="s">
        <v>141</v>
      </c>
      <c r="D48" s="138">
        <f>D27+D33</f>
        <v>242030</v>
      </c>
      <c r="E48" s="138">
        <f t="shared" ref="E48:Y48" si="52">E27+E33</f>
        <v>242030</v>
      </c>
      <c r="F48" s="138">
        <f t="shared" si="52"/>
        <v>0</v>
      </c>
      <c r="G48" s="138">
        <f t="shared" si="52"/>
        <v>0</v>
      </c>
      <c r="H48" s="138">
        <f t="shared" si="52"/>
        <v>0</v>
      </c>
      <c r="I48" s="138">
        <f t="shared" si="52"/>
        <v>0</v>
      </c>
      <c r="J48" s="138">
        <f t="shared" si="52"/>
        <v>0</v>
      </c>
      <c r="K48" s="138">
        <f t="shared" si="52"/>
        <v>0</v>
      </c>
      <c r="L48" s="138">
        <f t="shared" si="52"/>
        <v>0</v>
      </c>
      <c r="M48" s="138">
        <f t="shared" si="52"/>
        <v>0</v>
      </c>
      <c r="N48" s="53">
        <f>SUM(E48:M48)</f>
        <v>242030</v>
      </c>
      <c r="O48" s="138">
        <f t="shared" si="52"/>
        <v>0</v>
      </c>
      <c r="P48" s="138">
        <f t="shared" si="52"/>
        <v>0</v>
      </c>
      <c r="Q48" s="138">
        <f t="shared" si="52"/>
        <v>0</v>
      </c>
      <c r="R48" s="52">
        <f>SUM(O48:Q48)</f>
        <v>0</v>
      </c>
      <c r="S48" s="138">
        <f t="shared" si="52"/>
        <v>0</v>
      </c>
      <c r="T48" s="138">
        <f t="shared" si="52"/>
        <v>0</v>
      </c>
      <c r="U48" s="138">
        <f t="shared" si="52"/>
        <v>0</v>
      </c>
      <c r="V48" s="138">
        <f t="shared" si="52"/>
        <v>0</v>
      </c>
      <c r="W48" s="138">
        <f t="shared" si="52"/>
        <v>0</v>
      </c>
      <c r="X48" s="138">
        <f t="shared" si="52"/>
        <v>0</v>
      </c>
      <c r="Y48" s="138">
        <f t="shared" si="52"/>
        <v>0</v>
      </c>
      <c r="Z48" s="52">
        <f>SUM(S48:Y48)</f>
        <v>0</v>
      </c>
      <c r="AA48" s="52">
        <f>N48+R48+Z48</f>
        <v>242030</v>
      </c>
      <c r="AB48" s="21"/>
      <c r="AD48" s="70"/>
    </row>
    <row r="49" spans="1:30">
      <c r="A49" s="280"/>
      <c r="B49" s="280"/>
      <c r="C49" s="122" t="s">
        <v>95</v>
      </c>
      <c r="D49" s="138">
        <f t="shared" ref="D49:M49" si="53">D16+D15+D28+D34</f>
        <v>1586000</v>
      </c>
      <c r="E49" s="138">
        <f t="shared" si="53"/>
        <v>267770</v>
      </c>
      <c r="F49" s="138">
        <f t="shared" si="53"/>
        <v>138368</v>
      </c>
      <c r="G49" s="138">
        <f t="shared" si="53"/>
        <v>167687</v>
      </c>
      <c r="H49" s="138">
        <f t="shared" si="53"/>
        <v>93654</v>
      </c>
      <c r="I49" s="138">
        <f t="shared" si="53"/>
        <v>127986</v>
      </c>
      <c r="J49" s="138">
        <f t="shared" si="53"/>
        <v>76198</v>
      </c>
      <c r="K49" s="138">
        <f t="shared" si="53"/>
        <v>49588</v>
      </c>
      <c r="L49" s="138">
        <f t="shared" si="53"/>
        <v>97078</v>
      </c>
      <c r="M49" s="138">
        <f t="shared" si="53"/>
        <v>130286</v>
      </c>
      <c r="N49" s="53">
        <f t="shared" ref="N49:N55" si="54">SUM(E49:M49)</f>
        <v>1148615</v>
      </c>
      <c r="O49" s="138">
        <f>O16+O15+O28+O34</f>
        <v>48270</v>
      </c>
      <c r="P49" s="138">
        <f>P16+P15+P28+P34</f>
        <v>39260</v>
      </c>
      <c r="Q49" s="138">
        <f>Q16+Q15+Q28+Q34</f>
        <v>27562</v>
      </c>
      <c r="R49" s="52">
        <f t="shared" ref="R49:R55" si="55">SUM(O49:Q49)</f>
        <v>115092</v>
      </c>
      <c r="S49" s="138">
        <f t="shared" ref="S49:Y49" si="56">S16+S15+S28+S34</f>
        <v>67904</v>
      </c>
      <c r="T49" s="138">
        <f t="shared" si="56"/>
        <v>154676</v>
      </c>
      <c r="U49" s="138">
        <f t="shared" si="56"/>
        <v>15202</v>
      </c>
      <c r="V49" s="138">
        <f t="shared" si="56"/>
        <v>76577</v>
      </c>
      <c r="W49" s="138">
        <f t="shared" si="56"/>
        <v>6132</v>
      </c>
      <c r="X49" s="138">
        <f t="shared" si="56"/>
        <v>904</v>
      </c>
      <c r="Y49" s="138">
        <f t="shared" si="56"/>
        <v>895</v>
      </c>
      <c r="Z49" s="52">
        <f t="shared" ref="Z49:Z55" si="57">SUM(S49:Y49)</f>
        <v>322290</v>
      </c>
      <c r="AA49" s="52">
        <f t="shared" ref="AA49:AA50" si="58">N49+R49+Z49</f>
        <v>1585997</v>
      </c>
      <c r="AB49" s="21"/>
      <c r="AD49" s="70"/>
    </row>
    <row r="50" spans="1:30">
      <c r="A50" s="280"/>
      <c r="B50" s="280"/>
      <c r="C50" s="122" t="s">
        <v>96</v>
      </c>
      <c r="D50" s="138">
        <f t="shared" ref="D50:M50" si="59">D12</f>
        <v>42738000</v>
      </c>
      <c r="E50" s="138">
        <f t="shared" si="59"/>
        <v>7973612</v>
      </c>
      <c r="F50" s="138">
        <f t="shared" si="59"/>
        <v>6159985</v>
      </c>
      <c r="G50" s="138">
        <f t="shared" si="59"/>
        <v>5757048</v>
      </c>
      <c r="H50" s="138">
        <f t="shared" si="59"/>
        <v>2365794</v>
      </c>
      <c r="I50" s="138">
        <f t="shared" si="59"/>
        <v>2456355</v>
      </c>
      <c r="J50" s="138">
        <f t="shared" si="59"/>
        <v>1771564</v>
      </c>
      <c r="K50" s="138">
        <f t="shared" si="59"/>
        <v>2207600</v>
      </c>
      <c r="L50" s="138">
        <f t="shared" si="59"/>
        <v>3652585</v>
      </c>
      <c r="M50" s="138">
        <f t="shared" si="59"/>
        <v>3319490</v>
      </c>
      <c r="N50" s="53">
        <f t="shared" si="54"/>
        <v>35664033</v>
      </c>
      <c r="O50" s="138">
        <f>O12</f>
        <v>702942</v>
      </c>
      <c r="P50" s="138">
        <f>P12</f>
        <v>1747809</v>
      </c>
      <c r="Q50" s="138">
        <f>Q12</f>
        <v>1227033</v>
      </c>
      <c r="R50" s="52">
        <f t="shared" si="55"/>
        <v>3677784</v>
      </c>
      <c r="S50" s="138">
        <f t="shared" ref="S50:Y50" si="60">S12</f>
        <v>1063658</v>
      </c>
      <c r="T50" s="138">
        <f t="shared" si="60"/>
        <v>698640</v>
      </c>
      <c r="U50" s="138">
        <f t="shared" si="60"/>
        <v>676772</v>
      </c>
      <c r="V50" s="138">
        <f t="shared" si="60"/>
        <v>603997</v>
      </c>
      <c r="W50" s="138">
        <f t="shared" si="60"/>
        <v>273002</v>
      </c>
      <c r="X50" s="138">
        <f t="shared" si="60"/>
        <v>40267</v>
      </c>
      <c r="Y50" s="138">
        <f t="shared" si="60"/>
        <v>39841</v>
      </c>
      <c r="Z50" s="52">
        <f t="shared" si="57"/>
        <v>3396177</v>
      </c>
      <c r="AA50" s="52">
        <f t="shared" si="58"/>
        <v>42737994</v>
      </c>
      <c r="AB50" s="21"/>
      <c r="AD50" s="70"/>
    </row>
    <row r="51" spans="1:30">
      <c r="A51" s="280"/>
      <c r="B51" s="280"/>
      <c r="C51" s="122" t="s">
        <v>97</v>
      </c>
      <c r="D51" s="138">
        <f>D13+D14+D29+D35</f>
        <v>409612</v>
      </c>
      <c r="E51" s="138">
        <f t="shared" ref="E51:M51" si="61">E13+E14+E29+E35</f>
        <v>39123.142857142855</v>
      </c>
      <c r="F51" s="138">
        <f t="shared" si="61"/>
        <v>27988.142857142859</v>
      </c>
      <c r="G51" s="138">
        <f t="shared" si="61"/>
        <v>209292.14285714287</v>
      </c>
      <c r="H51" s="138">
        <f t="shared" si="61"/>
        <v>12016.142857142857</v>
      </c>
      <c r="I51" s="138">
        <f t="shared" si="61"/>
        <v>12397.142857142857</v>
      </c>
      <c r="J51" s="138">
        <f t="shared" si="61"/>
        <v>9515.1428571428569</v>
      </c>
      <c r="K51" s="138">
        <f t="shared" si="61"/>
        <v>11350.142857142857</v>
      </c>
      <c r="L51" s="138">
        <f t="shared" si="61"/>
        <v>17433.142857142859</v>
      </c>
      <c r="M51" s="138">
        <f t="shared" si="61"/>
        <v>16031.142857142857</v>
      </c>
      <c r="N51" s="53">
        <f>SUM(E51:M51)</f>
        <v>355146.28571428562</v>
      </c>
      <c r="O51" s="138">
        <f t="shared" ref="O51:Q51" si="62">O13+O14+O29+O35</f>
        <v>5016.1428571428569</v>
      </c>
      <c r="P51" s="138">
        <f t="shared" si="62"/>
        <v>9415.1428571428569</v>
      </c>
      <c r="Q51" s="138">
        <f t="shared" si="62"/>
        <v>9279.2857142857138</v>
      </c>
      <c r="R51" s="52">
        <f t="shared" si="55"/>
        <v>23710.571428571428</v>
      </c>
      <c r="S51" s="138">
        <f t="shared" ref="S51:Y51" si="63">S13+S14+S29+S35</f>
        <v>8592.2857142857138</v>
      </c>
      <c r="T51" s="138">
        <f t="shared" si="63"/>
        <v>4998.1428571428569</v>
      </c>
      <c r="U51" s="138">
        <f t="shared" si="63"/>
        <v>4906.1428571428569</v>
      </c>
      <c r="V51" s="138">
        <f t="shared" si="63"/>
        <v>4600.1428571428569</v>
      </c>
      <c r="W51" s="138">
        <f t="shared" si="63"/>
        <v>3206.1428571428573</v>
      </c>
      <c r="X51" s="138">
        <f t="shared" si="63"/>
        <v>2227.1428571428573</v>
      </c>
      <c r="Y51" s="138">
        <f t="shared" si="63"/>
        <v>2225.1428571428573</v>
      </c>
      <c r="Z51" s="52">
        <f t="shared" si="57"/>
        <v>30755.142857142859</v>
      </c>
      <c r="AA51" s="52">
        <f>N51+R51+Z51</f>
        <v>409611.99999999988</v>
      </c>
      <c r="AB51" s="21"/>
      <c r="AD51" s="70"/>
    </row>
    <row r="52" spans="1:30">
      <c r="A52" s="280"/>
      <c r="B52" s="280"/>
      <c r="C52" s="122" t="s">
        <v>281</v>
      </c>
      <c r="D52" s="138">
        <f>D18+D19+D20+D21+D22+D30+D36</f>
        <v>3834544</v>
      </c>
      <c r="E52" s="138">
        <f>E18+E19+E20+E21+E22+E30+E36</f>
        <v>598748</v>
      </c>
      <c r="F52" s="138">
        <f>F18+F19+F20+F21+F22+F30+F36</f>
        <v>688828</v>
      </c>
      <c r="G52" s="138">
        <f t="shared" ref="G52:M52" si="64">G18+G19+G20+G21+G22+G30+G36</f>
        <v>34908</v>
      </c>
      <c r="H52" s="138">
        <f t="shared" si="64"/>
        <v>886348</v>
      </c>
      <c r="I52" s="138">
        <f t="shared" si="64"/>
        <v>196894</v>
      </c>
      <c r="J52" s="138">
        <f t="shared" si="64"/>
        <v>10742</v>
      </c>
      <c r="K52" s="138">
        <f t="shared" si="64"/>
        <v>351799</v>
      </c>
      <c r="L52" s="138">
        <f t="shared" si="64"/>
        <v>22148</v>
      </c>
      <c r="M52" s="138">
        <f t="shared" si="64"/>
        <v>20128</v>
      </c>
      <c r="N52" s="53">
        <f t="shared" si="54"/>
        <v>2810543</v>
      </c>
      <c r="O52" s="138">
        <f t="shared" ref="O52:Q52" si="65">O18+O19+O20+O21+O22+O30+O36</f>
        <v>4262</v>
      </c>
      <c r="P52" s="138">
        <f t="shared" si="65"/>
        <v>10598</v>
      </c>
      <c r="Q52" s="138">
        <f t="shared" si="65"/>
        <v>7440</v>
      </c>
      <c r="R52" s="52">
        <f t="shared" si="55"/>
        <v>22300</v>
      </c>
      <c r="S52" s="138">
        <f t="shared" ref="S52:Y52" si="66">S18+S19+S20+S21+S22+S30+S36</f>
        <v>6450</v>
      </c>
      <c r="T52" s="138">
        <f t="shared" si="66"/>
        <v>640755</v>
      </c>
      <c r="U52" s="138">
        <f t="shared" si="66"/>
        <v>4104</v>
      </c>
      <c r="V52" s="138">
        <f t="shared" si="66"/>
        <v>348250</v>
      </c>
      <c r="W52" s="138">
        <f t="shared" si="66"/>
        <v>1655</v>
      </c>
      <c r="X52" s="138">
        <f t="shared" si="66"/>
        <v>244</v>
      </c>
      <c r="Y52" s="138">
        <f t="shared" si="66"/>
        <v>242</v>
      </c>
      <c r="Z52" s="52">
        <f t="shared" si="57"/>
        <v>1001700</v>
      </c>
      <c r="AA52" s="52">
        <f>N52+R52+Z52</f>
        <v>3834543</v>
      </c>
      <c r="AB52" s="21"/>
      <c r="AD52" s="70"/>
    </row>
    <row r="53" spans="1:30">
      <c r="A53" s="280"/>
      <c r="B53" s="280"/>
      <c r="C53" s="184" t="s">
        <v>279</v>
      </c>
      <c r="D53" s="138">
        <f>D23</f>
        <v>1500000</v>
      </c>
      <c r="E53" s="138">
        <f t="shared" ref="E53:Y54" si="67">E23</f>
        <v>279854</v>
      </c>
      <c r="F53" s="138">
        <f t="shared" si="67"/>
        <v>216201</v>
      </c>
      <c r="G53" s="138">
        <f t="shared" si="67"/>
        <v>202058</v>
      </c>
      <c r="H53" s="138">
        <f t="shared" si="67"/>
        <v>83034</v>
      </c>
      <c r="I53" s="138">
        <f t="shared" si="67"/>
        <v>86212</v>
      </c>
      <c r="J53" s="138">
        <f t="shared" si="67"/>
        <v>62178</v>
      </c>
      <c r="K53" s="138">
        <f t="shared" si="67"/>
        <v>77481</v>
      </c>
      <c r="L53" s="138">
        <f t="shared" si="67"/>
        <v>128197</v>
      </c>
      <c r="M53" s="138">
        <f t="shared" si="67"/>
        <v>116506</v>
      </c>
      <c r="N53" s="53">
        <f t="shared" ref="N53" si="68">SUM(E53:M53)</f>
        <v>1251721</v>
      </c>
      <c r="O53" s="138">
        <f t="shared" ref="O53:Q53" si="69">O23</f>
        <v>24672</v>
      </c>
      <c r="P53" s="138">
        <f t="shared" si="69"/>
        <v>61344</v>
      </c>
      <c r="Q53" s="138">
        <f t="shared" si="69"/>
        <v>43066</v>
      </c>
      <c r="R53" s="52">
        <f t="shared" ref="R53" si="70">SUM(O53:Q53)</f>
        <v>129082</v>
      </c>
      <c r="S53" s="138">
        <f t="shared" ref="S53:Y53" si="71">S23</f>
        <v>37332</v>
      </c>
      <c r="T53" s="138">
        <f t="shared" si="71"/>
        <v>24521</v>
      </c>
      <c r="U53" s="138">
        <f t="shared" si="71"/>
        <v>23753</v>
      </c>
      <c r="V53" s="138">
        <f t="shared" si="71"/>
        <v>21199</v>
      </c>
      <c r="W53" s="138">
        <f t="shared" si="71"/>
        <v>9582</v>
      </c>
      <c r="X53" s="138">
        <f t="shared" si="71"/>
        <v>1413</v>
      </c>
      <c r="Y53" s="138">
        <f t="shared" si="71"/>
        <v>1398</v>
      </c>
      <c r="Z53" s="52">
        <f t="shared" ref="Z53" si="72">SUM(S53:Y53)</f>
        <v>119198</v>
      </c>
      <c r="AA53" s="52">
        <f>N53+R53+Z53</f>
        <v>1500001</v>
      </c>
      <c r="AB53" s="21"/>
      <c r="AD53" s="70"/>
    </row>
    <row r="54" spans="1:30">
      <c r="A54" s="280"/>
      <c r="B54" s="280"/>
      <c r="C54" s="184" t="s">
        <v>280</v>
      </c>
      <c r="D54" s="138">
        <f>D24</f>
        <v>200000</v>
      </c>
      <c r="E54" s="138">
        <f t="shared" si="67"/>
        <v>37314</v>
      </c>
      <c r="F54" s="138">
        <f t="shared" si="67"/>
        <v>28827</v>
      </c>
      <c r="G54" s="138">
        <f t="shared" si="67"/>
        <v>26941</v>
      </c>
      <c r="H54" s="138">
        <f t="shared" si="67"/>
        <v>11071</v>
      </c>
      <c r="I54" s="138">
        <f t="shared" si="67"/>
        <v>11495</v>
      </c>
      <c r="J54" s="138">
        <f t="shared" si="67"/>
        <v>8290</v>
      </c>
      <c r="K54" s="138">
        <f t="shared" si="67"/>
        <v>10331</v>
      </c>
      <c r="L54" s="138">
        <f t="shared" si="67"/>
        <v>17093</v>
      </c>
      <c r="M54" s="138">
        <f t="shared" si="67"/>
        <v>15534</v>
      </c>
      <c r="N54" s="53">
        <f t="shared" ref="N54" si="73">SUM(E54:M54)</f>
        <v>166896</v>
      </c>
      <c r="O54" s="138">
        <f t="shared" si="67"/>
        <v>3290</v>
      </c>
      <c r="P54" s="138">
        <f t="shared" si="67"/>
        <v>8179</v>
      </c>
      <c r="Q54" s="138">
        <f t="shared" si="67"/>
        <v>5742</v>
      </c>
      <c r="R54" s="52">
        <f t="shared" ref="R54" si="74">SUM(O54:Q54)</f>
        <v>17211</v>
      </c>
      <c r="S54" s="138">
        <f t="shared" si="67"/>
        <v>4978</v>
      </c>
      <c r="T54" s="138">
        <f t="shared" si="67"/>
        <v>3269</v>
      </c>
      <c r="U54" s="138">
        <f t="shared" si="67"/>
        <v>3167</v>
      </c>
      <c r="V54" s="138">
        <f t="shared" si="67"/>
        <v>2827</v>
      </c>
      <c r="W54" s="138">
        <f t="shared" si="67"/>
        <v>1278</v>
      </c>
      <c r="X54" s="138">
        <f t="shared" si="67"/>
        <v>188</v>
      </c>
      <c r="Y54" s="138">
        <f t="shared" si="67"/>
        <v>186</v>
      </c>
      <c r="Z54" s="52">
        <f t="shared" ref="Z54" si="75">SUM(S54:Y54)</f>
        <v>15893</v>
      </c>
      <c r="AA54" s="52">
        <f>N54+R54+Z54</f>
        <v>200000</v>
      </c>
      <c r="AB54" s="21"/>
      <c r="AD54" s="70"/>
    </row>
    <row r="55" spans="1:30">
      <c r="A55" s="280"/>
      <c r="B55" s="280"/>
      <c r="C55" s="122" t="s">
        <v>98</v>
      </c>
      <c r="D55" s="138">
        <f>D31+D17+D37</f>
        <v>1809737</v>
      </c>
      <c r="E55" s="138">
        <f>E31+E17+E37</f>
        <v>343580</v>
      </c>
      <c r="F55" s="138">
        <f>F31+F17+F37</f>
        <v>259791</v>
      </c>
      <c r="G55" s="138">
        <f>G31+G17+G37</f>
        <v>242798</v>
      </c>
      <c r="H55" s="138">
        <f t="shared" ref="H55:M55" si="76">H31+H17+H37</f>
        <v>99775</v>
      </c>
      <c r="I55" s="138">
        <f t="shared" si="76"/>
        <v>103595</v>
      </c>
      <c r="J55" s="138">
        <f t="shared" si="76"/>
        <v>74714</v>
      </c>
      <c r="K55" s="138">
        <f t="shared" si="76"/>
        <v>93103</v>
      </c>
      <c r="L55" s="138">
        <f t="shared" si="76"/>
        <v>154044</v>
      </c>
      <c r="M55" s="138">
        <f t="shared" si="76"/>
        <v>139997</v>
      </c>
      <c r="N55" s="53">
        <f t="shared" si="54"/>
        <v>1511397</v>
      </c>
      <c r="O55" s="138">
        <f t="shared" ref="O55:Q55" si="77">O31+O17+O37</f>
        <v>29646</v>
      </c>
      <c r="P55" s="138">
        <f t="shared" si="77"/>
        <v>73712</v>
      </c>
      <c r="Q55" s="138">
        <f t="shared" si="77"/>
        <v>51749</v>
      </c>
      <c r="R55" s="52">
        <f t="shared" si="55"/>
        <v>155107</v>
      </c>
      <c r="S55" s="138">
        <f t="shared" ref="S55:Y55" si="78">S31+S17+S37</f>
        <v>44859</v>
      </c>
      <c r="T55" s="138">
        <f t="shared" si="78"/>
        <v>29464</v>
      </c>
      <c r="U55" s="138">
        <f t="shared" si="78"/>
        <v>28542</v>
      </c>
      <c r="V55" s="138">
        <f t="shared" si="78"/>
        <v>25473</v>
      </c>
      <c r="W55" s="138">
        <f t="shared" si="78"/>
        <v>11514</v>
      </c>
      <c r="X55" s="138">
        <f t="shared" si="78"/>
        <v>1698</v>
      </c>
      <c r="Y55" s="138">
        <f t="shared" si="78"/>
        <v>1680</v>
      </c>
      <c r="Z55" s="52">
        <f t="shared" si="57"/>
        <v>143230</v>
      </c>
      <c r="AA55" s="52">
        <f>N55+R55+Z55</f>
        <v>1809734</v>
      </c>
      <c r="AB55" s="21"/>
      <c r="AD55" s="70"/>
    </row>
    <row r="57" spans="1:30">
      <c r="A57" s="280" t="s">
        <v>242</v>
      </c>
      <c r="B57" s="280" t="s">
        <v>65</v>
      </c>
      <c r="C57" s="280"/>
      <c r="D57" s="138">
        <v>120000</v>
      </c>
      <c r="E57" s="139">
        <f>ROUND($D57*E$52/$AA$52,0)</f>
        <v>18738</v>
      </c>
      <c r="F57" s="139">
        <f t="shared" ref="F57:U65" si="79">ROUND($D57*F$52/$AA$52,0)</f>
        <v>21557</v>
      </c>
      <c r="G57" s="139">
        <f t="shared" si="79"/>
        <v>1092</v>
      </c>
      <c r="H57" s="139">
        <f t="shared" si="79"/>
        <v>27738</v>
      </c>
      <c r="I57" s="139">
        <f t="shared" si="79"/>
        <v>6162</v>
      </c>
      <c r="J57" s="139">
        <f t="shared" si="79"/>
        <v>336</v>
      </c>
      <c r="K57" s="139">
        <f t="shared" si="79"/>
        <v>11009</v>
      </c>
      <c r="L57" s="139">
        <f t="shared" si="79"/>
        <v>693</v>
      </c>
      <c r="M57" s="139">
        <f t="shared" si="79"/>
        <v>630</v>
      </c>
      <c r="N57" s="53">
        <f>SUM(E57:M57)</f>
        <v>87955</v>
      </c>
      <c r="O57" s="139">
        <f t="shared" si="79"/>
        <v>133</v>
      </c>
      <c r="P57" s="139">
        <f t="shared" si="79"/>
        <v>332</v>
      </c>
      <c r="Q57" s="139">
        <f t="shared" si="79"/>
        <v>233</v>
      </c>
      <c r="R57" s="52">
        <f>SUM(O57:Q57)</f>
        <v>698</v>
      </c>
      <c r="S57" s="139">
        <f t="shared" si="79"/>
        <v>202</v>
      </c>
      <c r="T57" s="139">
        <f t="shared" si="79"/>
        <v>20052</v>
      </c>
      <c r="U57" s="139">
        <f t="shared" si="79"/>
        <v>128</v>
      </c>
      <c r="V57" s="139">
        <f t="shared" ref="V57:Y65" si="80">ROUND($D57*V$52/$AA$52,0)</f>
        <v>10898</v>
      </c>
      <c r="W57" s="139">
        <f t="shared" si="80"/>
        <v>52</v>
      </c>
      <c r="X57" s="139">
        <f t="shared" si="80"/>
        <v>8</v>
      </c>
      <c r="Y57" s="139">
        <f t="shared" si="80"/>
        <v>8</v>
      </c>
      <c r="Z57" s="52">
        <f>SUM(S57:Y57)</f>
        <v>31348</v>
      </c>
      <c r="AA57" s="52">
        <f>N57+R57+Z57</f>
        <v>120001</v>
      </c>
    </row>
    <row r="58" spans="1:30">
      <c r="A58" s="280"/>
      <c r="B58" s="280" t="s">
        <v>66</v>
      </c>
      <c r="C58" s="280"/>
      <c r="D58" s="138">
        <v>0</v>
      </c>
      <c r="E58" s="139">
        <f t="shared" ref="E58:E65" si="81">ROUND($D58*E$52/$AA$52,0)</f>
        <v>0</v>
      </c>
      <c r="F58" s="139">
        <f t="shared" si="79"/>
        <v>0</v>
      </c>
      <c r="G58" s="139">
        <f t="shared" si="79"/>
        <v>0</v>
      </c>
      <c r="H58" s="139">
        <f t="shared" si="79"/>
        <v>0</v>
      </c>
      <c r="I58" s="139">
        <f t="shared" si="79"/>
        <v>0</v>
      </c>
      <c r="J58" s="139">
        <f t="shared" si="79"/>
        <v>0</v>
      </c>
      <c r="K58" s="139">
        <f t="shared" si="79"/>
        <v>0</v>
      </c>
      <c r="L58" s="139">
        <f t="shared" si="79"/>
        <v>0</v>
      </c>
      <c r="M58" s="139">
        <f t="shared" si="79"/>
        <v>0</v>
      </c>
      <c r="N58" s="53">
        <f>SUM(E58:M58)</f>
        <v>0</v>
      </c>
      <c r="O58" s="139">
        <f t="shared" si="79"/>
        <v>0</v>
      </c>
      <c r="P58" s="139">
        <f t="shared" si="79"/>
        <v>0</v>
      </c>
      <c r="Q58" s="139">
        <f t="shared" si="79"/>
        <v>0</v>
      </c>
      <c r="R58" s="52">
        <f t="shared" ref="R58:R65" si="82">SUM(O58:Q58)</f>
        <v>0</v>
      </c>
      <c r="S58" s="139">
        <f t="shared" si="79"/>
        <v>0</v>
      </c>
      <c r="T58" s="139">
        <f t="shared" si="79"/>
        <v>0</v>
      </c>
      <c r="U58" s="139">
        <f t="shared" si="79"/>
        <v>0</v>
      </c>
      <c r="V58" s="139">
        <f t="shared" si="80"/>
        <v>0</v>
      </c>
      <c r="W58" s="139">
        <f t="shared" si="80"/>
        <v>0</v>
      </c>
      <c r="X58" s="139">
        <f t="shared" si="80"/>
        <v>0</v>
      </c>
      <c r="Y58" s="139">
        <f t="shared" si="80"/>
        <v>0</v>
      </c>
      <c r="Z58" s="52">
        <f t="shared" ref="Z58:Z65" si="83">SUM(S58:Y58)</f>
        <v>0</v>
      </c>
      <c r="AA58" s="52">
        <f t="shared" ref="AA58:AA65" si="84">N58+R58+Z58</f>
        <v>0</v>
      </c>
    </row>
    <row r="59" spans="1:30">
      <c r="A59" s="280"/>
      <c r="B59" s="280" t="s">
        <v>34</v>
      </c>
      <c r="C59" s="184" t="s">
        <v>81</v>
      </c>
      <c r="D59" s="138">
        <v>0</v>
      </c>
      <c r="E59" s="139">
        <f t="shared" si="81"/>
        <v>0</v>
      </c>
      <c r="F59" s="139">
        <f t="shared" si="79"/>
        <v>0</v>
      </c>
      <c r="G59" s="139">
        <f t="shared" si="79"/>
        <v>0</v>
      </c>
      <c r="H59" s="139">
        <f t="shared" si="79"/>
        <v>0</v>
      </c>
      <c r="I59" s="139">
        <f t="shared" si="79"/>
        <v>0</v>
      </c>
      <c r="J59" s="139">
        <f t="shared" si="79"/>
        <v>0</v>
      </c>
      <c r="K59" s="139">
        <f t="shared" si="79"/>
        <v>0</v>
      </c>
      <c r="L59" s="139">
        <f t="shared" si="79"/>
        <v>0</v>
      </c>
      <c r="M59" s="139">
        <f t="shared" si="79"/>
        <v>0</v>
      </c>
      <c r="N59" s="53">
        <f t="shared" ref="N59:N65" si="85">SUM(E59:M59)</f>
        <v>0</v>
      </c>
      <c r="O59" s="139">
        <f t="shared" si="79"/>
        <v>0</v>
      </c>
      <c r="P59" s="139">
        <f t="shared" si="79"/>
        <v>0</v>
      </c>
      <c r="Q59" s="139">
        <f t="shared" si="79"/>
        <v>0</v>
      </c>
      <c r="R59" s="52">
        <f t="shared" si="82"/>
        <v>0</v>
      </c>
      <c r="S59" s="139">
        <f t="shared" si="79"/>
        <v>0</v>
      </c>
      <c r="T59" s="139">
        <f t="shared" si="79"/>
        <v>0</v>
      </c>
      <c r="U59" s="139">
        <f t="shared" si="79"/>
        <v>0</v>
      </c>
      <c r="V59" s="139">
        <f t="shared" si="80"/>
        <v>0</v>
      </c>
      <c r="W59" s="139">
        <f t="shared" si="80"/>
        <v>0</v>
      </c>
      <c r="X59" s="139">
        <f t="shared" si="80"/>
        <v>0</v>
      </c>
      <c r="Y59" s="139">
        <f t="shared" si="80"/>
        <v>0</v>
      </c>
      <c r="Z59" s="52">
        <f t="shared" si="83"/>
        <v>0</v>
      </c>
      <c r="AA59" s="52">
        <f t="shared" si="84"/>
        <v>0</v>
      </c>
    </row>
    <row r="60" spans="1:30">
      <c r="A60" s="280"/>
      <c r="B60" s="280"/>
      <c r="C60" s="184" t="s">
        <v>64</v>
      </c>
      <c r="D60" s="138">
        <v>17317000</v>
      </c>
      <c r="E60" s="139">
        <f t="shared" si="81"/>
        <v>2703978</v>
      </c>
      <c r="F60" s="139">
        <f t="shared" si="79"/>
        <v>3110784</v>
      </c>
      <c r="G60" s="139">
        <f t="shared" si="79"/>
        <v>157646</v>
      </c>
      <c r="H60" s="139">
        <f t="shared" si="79"/>
        <v>4002795</v>
      </c>
      <c r="I60" s="139">
        <f t="shared" si="79"/>
        <v>889184</v>
      </c>
      <c r="J60" s="139">
        <f t="shared" si="79"/>
        <v>48511</v>
      </c>
      <c r="K60" s="139">
        <f t="shared" si="79"/>
        <v>1588743</v>
      </c>
      <c r="L60" s="139">
        <f t="shared" si="79"/>
        <v>100022</v>
      </c>
      <c r="M60" s="139">
        <f t="shared" si="79"/>
        <v>90899</v>
      </c>
      <c r="N60" s="53">
        <f t="shared" si="85"/>
        <v>12692562</v>
      </c>
      <c r="O60" s="139">
        <f t="shared" si="79"/>
        <v>19247</v>
      </c>
      <c r="P60" s="139">
        <f t="shared" si="79"/>
        <v>47861</v>
      </c>
      <c r="Q60" s="139">
        <f t="shared" si="79"/>
        <v>33599</v>
      </c>
      <c r="R60" s="52">
        <f t="shared" si="82"/>
        <v>100707</v>
      </c>
      <c r="S60" s="139">
        <f t="shared" si="79"/>
        <v>29129</v>
      </c>
      <c r="T60" s="139">
        <f t="shared" si="79"/>
        <v>2893684</v>
      </c>
      <c r="U60" s="139">
        <f t="shared" si="79"/>
        <v>18534</v>
      </c>
      <c r="V60" s="139">
        <f t="shared" si="80"/>
        <v>1572716</v>
      </c>
      <c r="W60" s="139">
        <f t="shared" si="80"/>
        <v>7474</v>
      </c>
      <c r="X60" s="139">
        <f t="shared" si="80"/>
        <v>1102</v>
      </c>
      <c r="Y60" s="139">
        <f t="shared" si="80"/>
        <v>1093</v>
      </c>
      <c r="Z60" s="52">
        <f t="shared" si="83"/>
        <v>4523732</v>
      </c>
      <c r="AA60" s="52">
        <f t="shared" si="84"/>
        <v>17317001</v>
      </c>
    </row>
    <row r="61" spans="1:30">
      <c r="A61" s="280"/>
      <c r="B61" s="184" t="s">
        <v>102</v>
      </c>
      <c r="C61" s="184" t="s">
        <v>103</v>
      </c>
      <c r="D61" s="138">
        <v>0</v>
      </c>
      <c r="E61" s="139">
        <f t="shared" si="81"/>
        <v>0</v>
      </c>
      <c r="F61" s="139">
        <f t="shared" si="79"/>
        <v>0</v>
      </c>
      <c r="G61" s="139">
        <f t="shared" si="79"/>
        <v>0</v>
      </c>
      <c r="H61" s="139">
        <f t="shared" si="79"/>
        <v>0</v>
      </c>
      <c r="I61" s="139">
        <f t="shared" si="79"/>
        <v>0</v>
      </c>
      <c r="J61" s="139">
        <f t="shared" si="79"/>
        <v>0</v>
      </c>
      <c r="K61" s="139">
        <f t="shared" si="79"/>
        <v>0</v>
      </c>
      <c r="L61" s="139">
        <f t="shared" si="79"/>
        <v>0</v>
      </c>
      <c r="M61" s="139">
        <f t="shared" si="79"/>
        <v>0</v>
      </c>
      <c r="N61" s="53">
        <f t="shared" si="85"/>
        <v>0</v>
      </c>
      <c r="O61" s="139">
        <f t="shared" si="79"/>
        <v>0</v>
      </c>
      <c r="P61" s="139">
        <f t="shared" si="79"/>
        <v>0</v>
      </c>
      <c r="Q61" s="139">
        <f t="shared" si="79"/>
        <v>0</v>
      </c>
      <c r="R61" s="52">
        <f t="shared" si="82"/>
        <v>0</v>
      </c>
      <c r="S61" s="139">
        <f t="shared" si="79"/>
        <v>0</v>
      </c>
      <c r="T61" s="139">
        <f t="shared" si="79"/>
        <v>0</v>
      </c>
      <c r="U61" s="139">
        <f t="shared" si="79"/>
        <v>0</v>
      </c>
      <c r="V61" s="139">
        <f t="shared" si="80"/>
        <v>0</v>
      </c>
      <c r="W61" s="139">
        <f t="shared" si="80"/>
        <v>0</v>
      </c>
      <c r="X61" s="139">
        <f t="shared" si="80"/>
        <v>0</v>
      </c>
      <c r="Y61" s="139">
        <f t="shared" si="80"/>
        <v>0</v>
      </c>
      <c r="Z61" s="52">
        <f t="shared" si="83"/>
        <v>0</v>
      </c>
      <c r="AA61" s="52">
        <f t="shared" si="84"/>
        <v>0</v>
      </c>
    </row>
    <row r="62" spans="1:30">
      <c r="A62" s="280"/>
      <c r="B62" s="280" t="s">
        <v>63</v>
      </c>
      <c r="C62" s="280"/>
      <c r="D62" s="138">
        <v>70000</v>
      </c>
      <c r="E62" s="139">
        <f t="shared" si="81"/>
        <v>10930</v>
      </c>
      <c r="F62" s="139">
        <f t="shared" si="79"/>
        <v>12575</v>
      </c>
      <c r="G62" s="139">
        <f t="shared" si="79"/>
        <v>637</v>
      </c>
      <c r="H62" s="139">
        <f t="shared" si="79"/>
        <v>16180</v>
      </c>
      <c r="I62" s="139">
        <f t="shared" si="79"/>
        <v>3594</v>
      </c>
      <c r="J62" s="139">
        <f t="shared" si="79"/>
        <v>196</v>
      </c>
      <c r="K62" s="139">
        <f t="shared" si="79"/>
        <v>6422</v>
      </c>
      <c r="L62" s="139">
        <f t="shared" si="79"/>
        <v>404</v>
      </c>
      <c r="M62" s="139">
        <f t="shared" si="79"/>
        <v>367</v>
      </c>
      <c r="N62" s="53">
        <f t="shared" si="85"/>
        <v>51305</v>
      </c>
      <c r="O62" s="139">
        <f t="shared" si="79"/>
        <v>78</v>
      </c>
      <c r="P62" s="139">
        <f t="shared" si="79"/>
        <v>193</v>
      </c>
      <c r="Q62" s="139">
        <f t="shared" si="79"/>
        <v>136</v>
      </c>
      <c r="R62" s="52">
        <f>SUM(O62:Q62)</f>
        <v>407</v>
      </c>
      <c r="S62" s="139">
        <f t="shared" si="79"/>
        <v>118</v>
      </c>
      <c r="T62" s="139">
        <f t="shared" si="79"/>
        <v>11697</v>
      </c>
      <c r="U62" s="139">
        <f t="shared" si="79"/>
        <v>75</v>
      </c>
      <c r="V62" s="139">
        <f t="shared" si="80"/>
        <v>6357</v>
      </c>
      <c r="W62" s="139">
        <f t="shared" si="80"/>
        <v>30</v>
      </c>
      <c r="X62" s="139">
        <f t="shared" si="80"/>
        <v>4</v>
      </c>
      <c r="Y62" s="139">
        <f t="shared" si="80"/>
        <v>4</v>
      </c>
      <c r="Z62" s="52">
        <f t="shared" si="83"/>
        <v>18285</v>
      </c>
      <c r="AA62" s="52">
        <f t="shared" si="84"/>
        <v>69997</v>
      </c>
    </row>
    <row r="63" spans="1:30">
      <c r="A63" s="280"/>
      <c r="B63" s="280" t="s">
        <v>61</v>
      </c>
      <c r="C63" s="184" t="s">
        <v>38</v>
      </c>
      <c r="D63" s="138"/>
      <c r="E63" s="139">
        <f t="shared" si="81"/>
        <v>0</v>
      </c>
      <c r="F63" s="139">
        <f t="shared" si="79"/>
        <v>0</v>
      </c>
      <c r="G63" s="139">
        <f t="shared" si="79"/>
        <v>0</v>
      </c>
      <c r="H63" s="139">
        <f t="shared" si="79"/>
        <v>0</v>
      </c>
      <c r="I63" s="139">
        <f t="shared" si="79"/>
        <v>0</v>
      </c>
      <c r="J63" s="139">
        <f t="shared" si="79"/>
        <v>0</v>
      </c>
      <c r="K63" s="139">
        <f t="shared" si="79"/>
        <v>0</v>
      </c>
      <c r="L63" s="139">
        <f t="shared" si="79"/>
        <v>0</v>
      </c>
      <c r="M63" s="139">
        <f t="shared" si="79"/>
        <v>0</v>
      </c>
      <c r="N63" s="53">
        <f t="shared" si="85"/>
        <v>0</v>
      </c>
      <c r="O63" s="139">
        <f t="shared" si="79"/>
        <v>0</v>
      </c>
      <c r="P63" s="139">
        <f t="shared" si="79"/>
        <v>0</v>
      </c>
      <c r="Q63" s="139">
        <f t="shared" si="79"/>
        <v>0</v>
      </c>
      <c r="R63" s="52">
        <f t="shared" si="82"/>
        <v>0</v>
      </c>
      <c r="S63" s="139">
        <f t="shared" si="79"/>
        <v>0</v>
      </c>
      <c r="T63" s="139">
        <f t="shared" si="79"/>
        <v>0</v>
      </c>
      <c r="U63" s="139">
        <f t="shared" si="79"/>
        <v>0</v>
      </c>
      <c r="V63" s="139">
        <f t="shared" si="80"/>
        <v>0</v>
      </c>
      <c r="W63" s="139">
        <f t="shared" si="80"/>
        <v>0</v>
      </c>
      <c r="X63" s="139">
        <f t="shared" si="80"/>
        <v>0</v>
      </c>
      <c r="Y63" s="139">
        <f t="shared" si="80"/>
        <v>0</v>
      </c>
      <c r="Z63" s="52">
        <f t="shared" si="83"/>
        <v>0</v>
      </c>
      <c r="AA63" s="52">
        <f t="shared" si="84"/>
        <v>0</v>
      </c>
    </row>
    <row r="64" spans="1:30">
      <c r="A64" s="280"/>
      <c r="B64" s="280"/>
      <c r="C64" s="184" t="s">
        <v>39</v>
      </c>
      <c r="D64" s="138"/>
      <c r="E64" s="139">
        <f t="shared" si="81"/>
        <v>0</v>
      </c>
      <c r="F64" s="139">
        <f t="shared" si="79"/>
        <v>0</v>
      </c>
      <c r="G64" s="139">
        <f t="shared" si="79"/>
        <v>0</v>
      </c>
      <c r="H64" s="139">
        <f t="shared" si="79"/>
        <v>0</v>
      </c>
      <c r="I64" s="139">
        <f t="shared" si="79"/>
        <v>0</v>
      </c>
      <c r="J64" s="139">
        <f t="shared" si="79"/>
        <v>0</v>
      </c>
      <c r="K64" s="139">
        <f t="shared" si="79"/>
        <v>0</v>
      </c>
      <c r="L64" s="139">
        <f t="shared" si="79"/>
        <v>0</v>
      </c>
      <c r="M64" s="139">
        <f t="shared" si="79"/>
        <v>0</v>
      </c>
      <c r="N64" s="53">
        <f t="shared" si="85"/>
        <v>0</v>
      </c>
      <c r="O64" s="139">
        <f t="shared" si="79"/>
        <v>0</v>
      </c>
      <c r="P64" s="139">
        <f t="shared" si="79"/>
        <v>0</v>
      </c>
      <c r="Q64" s="139">
        <f t="shared" si="79"/>
        <v>0</v>
      </c>
      <c r="R64" s="52">
        <f t="shared" si="82"/>
        <v>0</v>
      </c>
      <c r="S64" s="139">
        <f t="shared" si="79"/>
        <v>0</v>
      </c>
      <c r="T64" s="139">
        <f t="shared" si="79"/>
        <v>0</v>
      </c>
      <c r="U64" s="139">
        <f t="shared" si="79"/>
        <v>0</v>
      </c>
      <c r="V64" s="139">
        <f t="shared" si="80"/>
        <v>0</v>
      </c>
      <c r="W64" s="139">
        <f t="shared" si="80"/>
        <v>0</v>
      </c>
      <c r="X64" s="139">
        <f t="shared" si="80"/>
        <v>0</v>
      </c>
      <c r="Y64" s="139">
        <f t="shared" si="80"/>
        <v>0</v>
      </c>
      <c r="Z64" s="52">
        <f t="shared" si="83"/>
        <v>0</v>
      </c>
      <c r="AA64" s="52">
        <f t="shared" si="84"/>
        <v>0</v>
      </c>
    </row>
    <row r="65" spans="1:27">
      <c r="A65" s="280"/>
      <c r="B65" s="184" t="s">
        <v>67</v>
      </c>
      <c r="C65" s="184" t="s">
        <v>37</v>
      </c>
      <c r="D65" s="138"/>
      <c r="E65" s="139">
        <f t="shared" si="81"/>
        <v>0</v>
      </c>
      <c r="F65" s="139">
        <f t="shared" si="79"/>
        <v>0</v>
      </c>
      <c r="G65" s="139">
        <f t="shared" si="79"/>
        <v>0</v>
      </c>
      <c r="H65" s="139">
        <f t="shared" si="79"/>
        <v>0</v>
      </c>
      <c r="I65" s="139">
        <f t="shared" si="79"/>
        <v>0</v>
      </c>
      <c r="J65" s="139">
        <f t="shared" si="79"/>
        <v>0</v>
      </c>
      <c r="K65" s="139">
        <f t="shared" si="79"/>
        <v>0</v>
      </c>
      <c r="L65" s="139">
        <f t="shared" si="79"/>
        <v>0</v>
      </c>
      <c r="M65" s="139">
        <f t="shared" si="79"/>
        <v>0</v>
      </c>
      <c r="N65" s="53">
        <f t="shared" si="85"/>
        <v>0</v>
      </c>
      <c r="O65" s="139">
        <f t="shared" si="79"/>
        <v>0</v>
      </c>
      <c r="P65" s="139">
        <f t="shared" si="79"/>
        <v>0</v>
      </c>
      <c r="Q65" s="139">
        <f t="shared" si="79"/>
        <v>0</v>
      </c>
      <c r="R65" s="52">
        <f t="shared" si="82"/>
        <v>0</v>
      </c>
      <c r="S65" s="139">
        <f t="shared" si="79"/>
        <v>0</v>
      </c>
      <c r="T65" s="139">
        <f t="shared" si="79"/>
        <v>0</v>
      </c>
      <c r="U65" s="139">
        <f t="shared" si="79"/>
        <v>0</v>
      </c>
      <c r="V65" s="139">
        <f t="shared" si="80"/>
        <v>0</v>
      </c>
      <c r="W65" s="139">
        <f t="shared" si="80"/>
        <v>0</v>
      </c>
      <c r="X65" s="139">
        <f t="shared" si="80"/>
        <v>0</v>
      </c>
      <c r="Y65" s="139">
        <f t="shared" si="80"/>
        <v>0</v>
      </c>
      <c r="Z65" s="52">
        <f t="shared" si="83"/>
        <v>0</v>
      </c>
      <c r="AA65" s="52">
        <f t="shared" si="84"/>
        <v>0</v>
      </c>
    </row>
    <row r="66" spans="1:27">
      <c r="A66" s="280"/>
      <c r="B66" s="184" t="s">
        <v>282</v>
      </c>
      <c r="C66" s="184"/>
      <c r="D66" s="138">
        <v>12593662</v>
      </c>
      <c r="E66" s="139">
        <v>1290100</v>
      </c>
      <c r="F66" s="139"/>
      <c r="G66" s="139"/>
      <c r="H66" s="139"/>
      <c r="I66" s="139"/>
      <c r="J66" s="139"/>
      <c r="K66" s="139"/>
      <c r="L66" s="139"/>
      <c r="M66" s="139">
        <v>100000</v>
      </c>
      <c r="N66" s="53">
        <f t="shared" ref="N66" si="86">SUM(E66:M66)</f>
        <v>1390100</v>
      </c>
      <c r="O66" s="139">
        <v>130000</v>
      </c>
      <c r="P66" s="139"/>
      <c r="Q66" s="139"/>
      <c r="R66" s="52">
        <f t="shared" ref="R66" si="87">SUM(O66:Q66)</f>
        <v>130000</v>
      </c>
      <c r="S66" s="139"/>
      <c r="T66" s="139"/>
      <c r="U66" s="139"/>
      <c r="V66" s="139"/>
      <c r="W66" s="139"/>
      <c r="X66" s="139"/>
      <c r="Y66" s="139"/>
      <c r="Z66" s="52">
        <f t="shared" ref="Z66" si="88">SUM(S66:Y66)</f>
        <v>0</v>
      </c>
      <c r="AA66" s="52">
        <f t="shared" ref="AA66" si="89">N66+R66+Z66</f>
        <v>1520100</v>
      </c>
    </row>
  </sheetData>
  <mergeCells count="29">
    <mergeCell ref="A57:A66"/>
    <mergeCell ref="A40:B43"/>
    <mergeCell ref="B63:B64"/>
    <mergeCell ref="B15:B16"/>
    <mergeCell ref="A38:C38"/>
    <mergeCell ref="B57:C57"/>
    <mergeCell ref="B58:C58"/>
    <mergeCell ref="B59:B60"/>
    <mergeCell ref="B62:C62"/>
    <mergeCell ref="A6:A24"/>
    <mergeCell ref="A27:A31"/>
    <mergeCell ref="A48:B55"/>
    <mergeCell ref="B27:C27"/>
    <mergeCell ref="B28:C28"/>
    <mergeCell ref="B29:C29"/>
    <mergeCell ref="A5:C5"/>
    <mergeCell ref="A33:A37"/>
    <mergeCell ref="B33:C33"/>
    <mergeCell ref="B34:C34"/>
    <mergeCell ref="B35:C35"/>
    <mergeCell ref="B36:C36"/>
    <mergeCell ref="B37:C37"/>
    <mergeCell ref="B31:C31"/>
    <mergeCell ref="B13:B14"/>
    <mergeCell ref="B6:B12"/>
    <mergeCell ref="B30:C30"/>
    <mergeCell ref="B18:B22"/>
    <mergeCell ref="B23:C23"/>
    <mergeCell ref="B24:C24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2:Y68"/>
  <sheetViews>
    <sheetView topLeftCell="A28" zoomScale="70" zoomScaleNormal="70" workbookViewId="0">
      <pane xSplit="2" topLeftCell="F1" activePane="topRight" state="frozen"/>
      <selection pane="topRight" activeCell="I68" sqref="I68"/>
    </sheetView>
  </sheetViews>
  <sheetFormatPr defaultRowHeight="16.899999999999999"/>
  <cols>
    <col min="1" max="1" width="15.375" customWidth="1"/>
    <col min="2" max="2" width="22.25" bestFit="1" customWidth="1"/>
    <col min="3" max="3" width="12.75" customWidth="1"/>
    <col min="4" max="5" width="14.375" customWidth="1"/>
    <col min="6" max="7" width="12.75" customWidth="1"/>
    <col min="8" max="8" width="16.375" customWidth="1"/>
    <col min="9" max="10" width="12.75" customWidth="1"/>
    <col min="11" max="11" width="14.5" customWidth="1"/>
    <col min="12" max="12" width="15.875" style="72" bestFit="1" customWidth="1"/>
    <col min="13" max="13" width="12.75" customWidth="1"/>
    <col min="14" max="14" width="14.375" customWidth="1"/>
    <col min="15" max="15" width="12.75" customWidth="1"/>
    <col min="16" max="16" width="15.75" style="72" customWidth="1"/>
    <col min="17" max="17" width="12.75" customWidth="1"/>
    <col min="18" max="18" width="15.125" customWidth="1"/>
    <col min="19" max="23" width="12.75" customWidth="1"/>
    <col min="24" max="24" width="15.125" style="72" customWidth="1"/>
    <col min="25" max="25" width="15.875" style="72" bestFit="1" customWidth="1"/>
  </cols>
  <sheetData>
    <row r="2" spans="1:25">
      <c r="A2" s="240" t="s">
        <v>395</v>
      </c>
    </row>
    <row r="3" spans="1:25">
      <c r="A3" s="272" t="s">
        <v>245</v>
      </c>
      <c r="B3" s="272"/>
      <c r="C3" s="149" t="s">
        <v>0</v>
      </c>
      <c r="D3" s="149" t="s">
        <v>69</v>
      </c>
      <c r="E3" s="149" t="s">
        <v>19</v>
      </c>
      <c r="F3" s="149" t="s">
        <v>3</v>
      </c>
      <c r="G3" s="149" t="s">
        <v>5</v>
      </c>
      <c r="H3" s="149" t="s">
        <v>20</v>
      </c>
      <c r="I3" s="149" t="s">
        <v>7</v>
      </c>
      <c r="J3" s="149" t="s">
        <v>22</v>
      </c>
      <c r="K3" s="149" t="s">
        <v>23</v>
      </c>
      <c r="L3" s="150" t="s">
        <v>85</v>
      </c>
      <c r="M3" s="149" t="s">
        <v>21</v>
      </c>
      <c r="N3" s="149" t="s">
        <v>24</v>
      </c>
      <c r="O3" s="149" t="s">
        <v>25</v>
      </c>
      <c r="P3" s="150" t="s">
        <v>85</v>
      </c>
      <c r="Q3" s="149" t="s">
        <v>26</v>
      </c>
      <c r="R3" s="149" t="s">
        <v>27</v>
      </c>
      <c r="S3" s="149" t="s">
        <v>28</v>
      </c>
      <c r="T3" s="149" t="s">
        <v>29</v>
      </c>
      <c r="U3" s="149" t="s">
        <v>30</v>
      </c>
      <c r="V3" s="149" t="s">
        <v>31</v>
      </c>
      <c r="W3" s="149" t="s">
        <v>32</v>
      </c>
      <c r="X3" s="150" t="s">
        <v>85</v>
      </c>
      <c r="Y3" s="150" t="s">
        <v>129</v>
      </c>
    </row>
    <row r="4" spans="1:25">
      <c r="A4" s="273" t="s">
        <v>282</v>
      </c>
      <c r="B4" s="238" t="s">
        <v>399</v>
      </c>
      <c r="C4" s="152">
        <v>1290100</v>
      </c>
      <c r="D4" s="152">
        <v>0</v>
      </c>
      <c r="E4" s="152">
        <v>0</v>
      </c>
      <c r="F4" s="152">
        <v>0</v>
      </c>
      <c r="G4" s="152"/>
      <c r="H4" s="152">
        <v>0</v>
      </c>
      <c r="I4" s="152">
        <v>0</v>
      </c>
      <c r="J4" s="152">
        <v>0</v>
      </c>
      <c r="K4" s="152">
        <v>100000</v>
      </c>
      <c r="L4" s="153">
        <f>SUM(C4:K4)</f>
        <v>1390100</v>
      </c>
      <c r="M4" s="152"/>
      <c r="N4" s="152"/>
      <c r="O4" s="152"/>
      <c r="P4" s="153">
        <f t="shared" ref="P4:P6" si="0">SUM(M4:O4)</f>
        <v>0</v>
      </c>
      <c r="Q4" s="152"/>
      <c r="R4" s="152"/>
      <c r="S4" s="152"/>
      <c r="T4" s="152"/>
      <c r="U4" s="152"/>
      <c r="V4" s="152"/>
      <c r="W4" s="152"/>
      <c r="X4" s="153">
        <f>SUM(Q4:W4)</f>
        <v>0</v>
      </c>
      <c r="Y4" s="153">
        <f>L4+P4+X4</f>
        <v>1390100</v>
      </c>
    </row>
    <row r="5" spans="1:25">
      <c r="A5" s="273"/>
      <c r="B5" s="238" t="s">
        <v>400</v>
      </c>
      <c r="C5" s="152"/>
      <c r="D5" s="152"/>
      <c r="E5" s="152"/>
      <c r="F5" s="152"/>
      <c r="G5" s="152"/>
      <c r="H5" s="152"/>
      <c r="I5" s="152"/>
      <c r="J5" s="152"/>
      <c r="K5" s="152"/>
      <c r="L5" s="153">
        <f>SUM(C5:K5)</f>
        <v>0</v>
      </c>
      <c r="M5" s="152">
        <v>130000</v>
      </c>
      <c r="N5" s="152"/>
      <c r="O5" s="152"/>
      <c r="P5" s="153">
        <f t="shared" si="0"/>
        <v>130000</v>
      </c>
      <c r="Q5" s="152"/>
      <c r="R5" s="152"/>
      <c r="S5" s="152"/>
      <c r="T5" s="152"/>
      <c r="U5" s="152"/>
      <c r="V5" s="152"/>
      <c r="W5" s="152"/>
      <c r="X5" s="153">
        <f>SUM(Q5:W5)</f>
        <v>0</v>
      </c>
      <c r="Y5" s="153">
        <f t="shared" ref="Y5:Y6" si="1">L5+P5+X5</f>
        <v>130000</v>
      </c>
    </row>
    <row r="6" spans="1:25">
      <c r="A6" s="273"/>
      <c r="B6" s="238" t="s">
        <v>398</v>
      </c>
      <c r="C6" s="152"/>
      <c r="D6" s="152"/>
      <c r="E6" s="152"/>
      <c r="F6" s="152"/>
      <c r="G6" s="152"/>
      <c r="H6" s="152"/>
      <c r="I6" s="152"/>
      <c r="J6" s="152"/>
      <c r="K6" s="152"/>
      <c r="L6" s="153">
        <f>SUM(C6:K6)</f>
        <v>0</v>
      </c>
      <c r="M6" s="152"/>
      <c r="N6" s="152"/>
      <c r="O6" s="152"/>
      <c r="P6" s="153">
        <f t="shared" si="0"/>
        <v>0</v>
      </c>
      <c r="Q6" s="152"/>
      <c r="R6" s="152"/>
      <c r="S6" s="152"/>
      <c r="T6" s="152"/>
      <c r="U6" s="152"/>
      <c r="V6" s="152"/>
      <c r="W6" s="152"/>
      <c r="X6" s="153">
        <f>SUM(Q6:W6)</f>
        <v>0</v>
      </c>
      <c r="Y6" s="153">
        <f t="shared" si="1"/>
        <v>0</v>
      </c>
    </row>
    <row r="7" spans="1:25">
      <c r="A7" s="275"/>
      <c r="B7" s="239" t="s">
        <v>401</v>
      </c>
      <c r="C7" s="155"/>
      <c r="D7" s="155"/>
      <c r="E7" s="155"/>
      <c r="F7" s="155"/>
      <c r="G7" s="155"/>
      <c r="H7" s="155"/>
      <c r="I7" s="155"/>
      <c r="J7" s="155"/>
      <c r="K7" s="155"/>
      <c r="L7" s="156">
        <f>SUM(C7:K7)</f>
        <v>0</v>
      </c>
      <c r="M7" s="155"/>
      <c r="N7" s="155"/>
      <c r="O7" s="155"/>
      <c r="P7" s="156">
        <f t="shared" ref="P7" si="2">SUM(M7:O7)</f>
        <v>0</v>
      </c>
      <c r="Q7" s="155"/>
      <c r="R7" s="155"/>
      <c r="S7" s="155"/>
      <c r="T7" s="155"/>
      <c r="U7" s="155"/>
      <c r="V7" s="155"/>
      <c r="W7" s="155"/>
      <c r="X7" s="156">
        <f>SUM(Q7:W7)</f>
        <v>0</v>
      </c>
      <c r="Y7" s="156">
        <f t="shared" ref="Y7" si="3">L7+P7+X7</f>
        <v>0</v>
      </c>
    </row>
    <row r="9" spans="1:25">
      <c r="A9" s="272" t="s">
        <v>244</v>
      </c>
      <c r="B9" s="272"/>
      <c r="C9" s="149" t="s">
        <v>0</v>
      </c>
      <c r="D9" s="149" t="s">
        <v>69</v>
      </c>
      <c r="E9" s="149" t="s">
        <v>19</v>
      </c>
      <c r="F9" s="149" t="s">
        <v>3</v>
      </c>
      <c r="G9" s="149" t="s">
        <v>5</v>
      </c>
      <c r="H9" s="149" t="s">
        <v>20</v>
      </c>
      <c r="I9" s="149" t="s">
        <v>7</v>
      </c>
      <c r="J9" s="149" t="s">
        <v>22</v>
      </c>
      <c r="K9" s="149" t="s">
        <v>23</v>
      </c>
      <c r="L9" s="150" t="s">
        <v>85</v>
      </c>
      <c r="M9" s="149" t="s">
        <v>21</v>
      </c>
      <c r="N9" s="149" t="s">
        <v>24</v>
      </c>
      <c r="O9" s="149" t="s">
        <v>25</v>
      </c>
      <c r="P9" s="150" t="s">
        <v>85</v>
      </c>
      <c r="Q9" s="149" t="s">
        <v>26</v>
      </c>
      <c r="R9" s="149" t="s">
        <v>27</v>
      </c>
      <c r="S9" s="149" t="s">
        <v>28</v>
      </c>
      <c r="T9" s="149" t="s">
        <v>29</v>
      </c>
      <c r="U9" s="149" t="s">
        <v>30</v>
      </c>
      <c r="V9" s="149" t="s">
        <v>31</v>
      </c>
      <c r="W9" s="149" t="s">
        <v>32</v>
      </c>
      <c r="X9" s="150" t="s">
        <v>85</v>
      </c>
      <c r="Y9" s="150" t="s">
        <v>129</v>
      </c>
    </row>
    <row r="10" spans="1:25">
      <c r="A10" s="273" t="s">
        <v>282</v>
      </c>
      <c r="B10" s="238" t="s">
        <v>399</v>
      </c>
      <c r="C10" s="152">
        <v>2080232</v>
      </c>
      <c r="D10" s="152">
        <v>0</v>
      </c>
      <c r="E10" s="152">
        <v>0</v>
      </c>
      <c r="F10" s="152">
        <v>0</v>
      </c>
      <c r="G10" s="152">
        <v>4194330</v>
      </c>
      <c r="H10" s="152">
        <v>0</v>
      </c>
      <c r="I10" s="152">
        <v>0</v>
      </c>
      <c r="J10" s="152">
        <v>0</v>
      </c>
      <c r="K10" s="152">
        <v>1596000</v>
      </c>
      <c r="L10" s="153">
        <f>SUM(C10:K10)</f>
        <v>7870562</v>
      </c>
      <c r="M10" s="152"/>
      <c r="N10" s="152"/>
      <c r="O10" s="152">
        <v>3203000</v>
      </c>
      <c r="P10" s="153">
        <f t="shared" ref="P10:P13" si="4">SUM(M10:O10)</f>
        <v>3203000</v>
      </c>
      <c r="Q10" s="152"/>
      <c r="R10" s="152"/>
      <c r="S10" s="152"/>
      <c r="T10" s="152"/>
      <c r="U10" s="152"/>
      <c r="V10" s="152"/>
      <c r="W10" s="152"/>
      <c r="X10" s="153">
        <f>SUM(Q10:W10)</f>
        <v>0</v>
      </c>
      <c r="Y10" s="153">
        <f>L10+P10+X10</f>
        <v>11073562</v>
      </c>
    </row>
    <row r="11" spans="1:25">
      <c r="A11" s="273"/>
      <c r="B11" s="238" t="s">
        <v>400</v>
      </c>
      <c r="C11" s="152"/>
      <c r="D11" s="152"/>
      <c r="E11" s="152"/>
      <c r="F11" s="152"/>
      <c r="G11" s="152"/>
      <c r="H11" s="152"/>
      <c r="I11" s="152"/>
      <c r="J11" s="152"/>
      <c r="K11" s="152"/>
      <c r="L11" s="153">
        <f>SUM(C11:K11)</f>
        <v>0</v>
      </c>
      <c r="M11" s="152"/>
      <c r="N11" s="152"/>
      <c r="O11" s="152"/>
      <c r="P11" s="153">
        <f t="shared" si="4"/>
        <v>0</v>
      </c>
      <c r="Q11" s="152"/>
      <c r="R11" s="152"/>
      <c r="S11" s="152"/>
      <c r="T11" s="152"/>
      <c r="U11" s="152"/>
      <c r="V11" s="152"/>
      <c r="W11" s="152"/>
      <c r="X11" s="153">
        <f>SUM(Q11:W11)</f>
        <v>0</v>
      </c>
      <c r="Y11" s="153">
        <f t="shared" ref="Y11:Y13" si="5">L11+P11+X11</f>
        <v>0</v>
      </c>
    </row>
    <row r="12" spans="1:25">
      <c r="A12" s="273"/>
      <c r="B12" s="238" t="s">
        <v>398</v>
      </c>
      <c r="C12" s="152"/>
      <c r="D12" s="152"/>
      <c r="E12" s="152"/>
      <c r="F12" s="152"/>
      <c r="G12" s="152"/>
      <c r="H12" s="152"/>
      <c r="I12" s="152"/>
      <c r="J12" s="152"/>
      <c r="K12" s="152"/>
      <c r="L12" s="153">
        <f>SUM(C12:K12)</f>
        <v>0</v>
      </c>
      <c r="M12" s="152"/>
      <c r="N12" s="152"/>
      <c r="O12" s="152"/>
      <c r="P12" s="153">
        <f t="shared" si="4"/>
        <v>0</v>
      </c>
      <c r="Q12" s="152"/>
      <c r="R12" s="152"/>
      <c r="S12" s="152"/>
      <c r="T12" s="152"/>
      <c r="U12" s="152"/>
      <c r="V12" s="152"/>
      <c r="W12" s="152"/>
      <c r="X12" s="153">
        <f>SUM(Q12:W12)</f>
        <v>0</v>
      </c>
      <c r="Y12" s="153">
        <f t="shared" si="5"/>
        <v>0</v>
      </c>
    </row>
    <row r="13" spans="1:25">
      <c r="A13" s="275"/>
      <c r="B13" s="239" t="s">
        <v>401</v>
      </c>
      <c r="C13" s="155"/>
      <c r="D13" s="155"/>
      <c r="E13" s="155"/>
      <c r="F13" s="155"/>
      <c r="G13" s="155"/>
      <c r="H13" s="155"/>
      <c r="I13" s="155"/>
      <c r="J13" s="155"/>
      <c r="K13" s="155"/>
      <c r="L13" s="156">
        <f>SUM(C13:K13)</f>
        <v>0</v>
      </c>
      <c r="M13" s="155"/>
      <c r="N13" s="155"/>
      <c r="O13" s="155"/>
      <c r="P13" s="156">
        <f t="shared" si="4"/>
        <v>0</v>
      </c>
      <c r="Q13" s="155"/>
      <c r="R13" s="155"/>
      <c r="S13" s="155"/>
      <c r="T13" s="155"/>
      <c r="U13" s="155"/>
      <c r="V13" s="155"/>
      <c r="W13" s="155"/>
      <c r="X13" s="156">
        <f>SUM(Q13:W13)</f>
        <v>0</v>
      </c>
      <c r="Y13" s="156">
        <f t="shared" si="5"/>
        <v>0</v>
      </c>
    </row>
    <row r="15" spans="1:25">
      <c r="A15" s="272" t="s">
        <v>40</v>
      </c>
      <c r="B15" s="272"/>
      <c r="C15" s="149" t="s">
        <v>0</v>
      </c>
      <c r="D15" s="149" t="s">
        <v>69</v>
      </c>
      <c r="E15" s="149" t="s">
        <v>19</v>
      </c>
      <c r="F15" s="149" t="s">
        <v>3</v>
      </c>
      <c r="G15" s="149" t="s">
        <v>5</v>
      </c>
      <c r="H15" s="149" t="s">
        <v>20</v>
      </c>
      <c r="I15" s="149" t="s">
        <v>7</v>
      </c>
      <c r="J15" s="149" t="s">
        <v>22</v>
      </c>
      <c r="K15" s="149" t="s">
        <v>23</v>
      </c>
      <c r="L15" s="150" t="s">
        <v>85</v>
      </c>
      <c r="M15" s="149" t="s">
        <v>21</v>
      </c>
      <c r="N15" s="149" t="s">
        <v>24</v>
      </c>
      <c r="O15" s="149" t="s">
        <v>25</v>
      </c>
      <c r="P15" s="150" t="s">
        <v>85</v>
      </c>
      <c r="Q15" s="149" t="s">
        <v>26</v>
      </c>
      <c r="R15" s="149" t="s">
        <v>27</v>
      </c>
      <c r="S15" s="149" t="s">
        <v>28</v>
      </c>
      <c r="T15" s="149" t="s">
        <v>29</v>
      </c>
      <c r="U15" s="149" t="s">
        <v>30</v>
      </c>
      <c r="V15" s="149" t="s">
        <v>31</v>
      </c>
      <c r="W15" s="149" t="s">
        <v>32</v>
      </c>
      <c r="X15" s="150" t="s">
        <v>85</v>
      </c>
      <c r="Y15" s="150" t="s">
        <v>129</v>
      </c>
    </row>
    <row r="16" spans="1:25">
      <c r="A16" s="273" t="s">
        <v>282</v>
      </c>
      <c r="B16" s="238" t="s">
        <v>399</v>
      </c>
      <c r="C16" s="152">
        <f t="shared" ref="C16:K16" si="6">C4+C10</f>
        <v>3370332</v>
      </c>
      <c r="D16" s="152">
        <f t="shared" si="6"/>
        <v>0</v>
      </c>
      <c r="E16" s="152">
        <f t="shared" si="6"/>
        <v>0</v>
      </c>
      <c r="F16" s="152">
        <f t="shared" si="6"/>
        <v>0</v>
      </c>
      <c r="G16" s="152">
        <f t="shared" si="6"/>
        <v>4194330</v>
      </c>
      <c r="H16" s="152">
        <f t="shared" si="6"/>
        <v>0</v>
      </c>
      <c r="I16" s="152">
        <f t="shared" si="6"/>
        <v>0</v>
      </c>
      <c r="J16" s="152">
        <f t="shared" si="6"/>
        <v>0</v>
      </c>
      <c r="K16" s="152">
        <f t="shared" si="6"/>
        <v>1696000</v>
      </c>
      <c r="L16" s="153">
        <f>SUM(C16:K16)</f>
        <v>9260662</v>
      </c>
      <c r="M16" s="152">
        <f t="shared" ref="M16:O19" si="7">M4+M10</f>
        <v>0</v>
      </c>
      <c r="N16" s="152">
        <f t="shared" si="7"/>
        <v>0</v>
      </c>
      <c r="O16" s="152">
        <f t="shared" si="7"/>
        <v>3203000</v>
      </c>
      <c r="P16" s="153">
        <f t="shared" ref="P16:P19" si="8">SUM(M16:O16)</f>
        <v>3203000</v>
      </c>
      <c r="Q16" s="152">
        <f t="shared" ref="Q16:W19" si="9">Q4+Q10</f>
        <v>0</v>
      </c>
      <c r="R16" s="152">
        <f t="shared" si="9"/>
        <v>0</v>
      </c>
      <c r="S16" s="152">
        <f t="shared" si="9"/>
        <v>0</v>
      </c>
      <c r="T16" s="152">
        <f t="shared" si="9"/>
        <v>0</v>
      </c>
      <c r="U16" s="152">
        <f t="shared" si="9"/>
        <v>0</v>
      </c>
      <c r="V16" s="152">
        <f t="shared" si="9"/>
        <v>0</v>
      </c>
      <c r="W16" s="152">
        <f t="shared" si="9"/>
        <v>0</v>
      </c>
      <c r="X16" s="153">
        <f>SUM(Q16:W16)</f>
        <v>0</v>
      </c>
      <c r="Y16" s="153">
        <f>L16+P16+X16</f>
        <v>12463662</v>
      </c>
    </row>
    <row r="17" spans="1:25">
      <c r="A17" s="273"/>
      <c r="B17" s="238" t="s">
        <v>400</v>
      </c>
      <c r="C17" s="152">
        <f t="shared" ref="C17:K17" si="10">C5+C11</f>
        <v>0</v>
      </c>
      <c r="D17" s="152">
        <f t="shared" si="10"/>
        <v>0</v>
      </c>
      <c r="E17" s="152">
        <f t="shared" si="10"/>
        <v>0</v>
      </c>
      <c r="F17" s="152">
        <f t="shared" si="10"/>
        <v>0</v>
      </c>
      <c r="G17" s="152">
        <f t="shared" si="10"/>
        <v>0</v>
      </c>
      <c r="H17" s="152">
        <f t="shared" si="10"/>
        <v>0</v>
      </c>
      <c r="I17" s="152">
        <f t="shared" si="10"/>
        <v>0</v>
      </c>
      <c r="J17" s="152">
        <f t="shared" si="10"/>
        <v>0</v>
      </c>
      <c r="K17" s="152">
        <f t="shared" si="10"/>
        <v>0</v>
      </c>
      <c r="L17" s="153">
        <f>SUM(C17:K17)</f>
        <v>0</v>
      </c>
      <c r="M17" s="152">
        <f t="shared" si="7"/>
        <v>130000</v>
      </c>
      <c r="N17" s="152">
        <f t="shared" si="7"/>
        <v>0</v>
      </c>
      <c r="O17" s="152">
        <f t="shared" si="7"/>
        <v>0</v>
      </c>
      <c r="P17" s="153">
        <f t="shared" si="8"/>
        <v>130000</v>
      </c>
      <c r="Q17" s="152">
        <f t="shared" si="9"/>
        <v>0</v>
      </c>
      <c r="R17" s="152">
        <f t="shared" si="9"/>
        <v>0</v>
      </c>
      <c r="S17" s="152">
        <f t="shared" si="9"/>
        <v>0</v>
      </c>
      <c r="T17" s="152">
        <f t="shared" si="9"/>
        <v>0</v>
      </c>
      <c r="U17" s="152">
        <f t="shared" si="9"/>
        <v>0</v>
      </c>
      <c r="V17" s="152">
        <f t="shared" si="9"/>
        <v>0</v>
      </c>
      <c r="W17" s="152">
        <f t="shared" si="9"/>
        <v>0</v>
      </c>
      <c r="X17" s="153">
        <f>SUM(Q17:W17)</f>
        <v>0</v>
      </c>
      <c r="Y17" s="153">
        <f t="shared" ref="Y17:Y19" si="11">L17+P17+X17</f>
        <v>130000</v>
      </c>
    </row>
    <row r="18" spans="1:25">
      <c r="A18" s="273"/>
      <c r="B18" s="238" t="s">
        <v>398</v>
      </c>
      <c r="C18" s="152">
        <f>C6+C12</f>
        <v>0</v>
      </c>
      <c r="D18" s="152">
        <f>D6+D12</f>
        <v>0</v>
      </c>
      <c r="E18" s="152"/>
      <c r="F18" s="152"/>
      <c r="G18" s="152"/>
      <c r="H18" s="152"/>
      <c r="I18" s="152"/>
      <c r="J18" s="152"/>
      <c r="K18" s="152"/>
      <c r="L18" s="153">
        <f>SUM(C18:K18)</f>
        <v>0</v>
      </c>
      <c r="M18" s="152">
        <f t="shared" si="7"/>
        <v>0</v>
      </c>
      <c r="N18" s="152">
        <f t="shared" si="7"/>
        <v>0</v>
      </c>
      <c r="O18" s="152">
        <f t="shared" si="7"/>
        <v>0</v>
      </c>
      <c r="P18" s="153">
        <f t="shared" si="8"/>
        <v>0</v>
      </c>
      <c r="Q18" s="152">
        <f t="shared" si="9"/>
        <v>0</v>
      </c>
      <c r="R18" s="152">
        <f t="shared" si="9"/>
        <v>0</v>
      </c>
      <c r="S18" s="152">
        <f t="shared" si="9"/>
        <v>0</v>
      </c>
      <c r="T18" s="152">
        <f t="shared" si="9"/>
        <v>0</v>
      </c>
      <c r="U18" s="152">
        <f t="shared" si="9"/>
        <v>0</v>
      </c>
      <c r="V18" s="152">
        <f t="shared" si="9"/>
        <v>0</v>
      </c>
      <c r="W18" s="152">
        <f t="shared" si="9"/>
        <v>0</v>
      </c>
      <c r="X18" s="153">
        <f>SUM(Q18:W18)</f>
        <v>0</v>
      </c>
      <c r="Y18" s="153">
        <f t="shared" si="11"/>
        <v>0</v>
      </c>
    </row>
    <row r="19" spans="1:25">
      <c r="A19" s="275"/>
      <c r="B19" s="239" t="s">
        <v>401</v>
      </c>
      <c r="C19" s="155">
        <f>C7+C13</f>
        <v>0</v>
      </c>
      <c r="D19" s="155">
        <f>D7+D13</f>
        <v>0</v>
      </c>
      <c r="E19" s="155"/>
      <c r="F19" s="155"/>
      <c r="G19" s="155"/>
      <c r="H19" s="155"/>
      <c r="I19" s="155"/>
      <c r="J19" s="155"/>
      <c r="K19" s="155"/>
      <c r="L19" s="156">
        <f>SUM(C19:K19)</f>
        <v>0</v>
      </c>
      <c r="M19" s="155">
        <f t="shared" si="7"/>
        <v>0</v>
      </c>
      <c r="N19" s="155">
        <f t="shared" si="7"/>
        <v>0</v>
      </c>
      <c r="O19" s="155">
        <f t="shared" si="7"/>
        <v>0</v>
      </c>
      <c r="P19" s="156">
        <f t="shared" si="8"/>
        <v>0</v>
      </c>
      <c r="Q19" s="155">
        <f t="shared" si="9"/>
        <v>0</v>
      </c>
      <c r="R19" s="155">
        <f t="shared" si="9"/>
        <v>0</v>
      </c>
      <c r="S19" s="155">
        <f t="shared" si="9"/>
        <v>0</v>
      </c>
      <c r="T19" s="155">
        <f t="shared" si="9"/>
        <v>0</v>
      </c>
      <c r="U19" s="155">
        <f t="shared" si="9"/>
        <v>0</v>
      </c>
      <c r="V19" s="155">
        <f t="shared" si="9"/>
        <v>0</v>
      </c>
      <c r="W19" s="155">
        <f t="shared" si="9"/>
        <v>0</v>
      </c>
      <c r="X19" s="156">
        <f>SUM(Q19:W19)</f>
        <v>0</v>
      </c>
      <c r="Y19" s="156">
        <f t="shared" si="11"/>
        <v>0</v>
      </c>
    </row>
    <row r="21" spans="1:25">
      <c r="A21" s="240" t="s">
        <v>397</v>
      </c>
    </row>
    <row r="22" spans="1:25">
      <c r="A22" s="272" t="s">
        <v>245</v>
      </c>
      <c r="B22" s="272"/>
      <c r="C22" s="149" t="s">
        <v>0</v>
      </c>
      <c r="D22" s="149" t="s">
        <v>69</v>
      </c>
      <c r="E22" s="149" t="s">
        <v>19</v>
      </c>
      <c r="F22" s="149" t="s">
        <v>3</v>
      </c>
      <c r="G22" s="149" t="s">
        <v>5</v>
      </c>
      <c r="H22" s="149" t="s">
        <v>20</v>
      </c>
      <c r="I22" s="149" t="s">
        <v>7</v>
      </c>
      <c r="J22" s="149" t="s">
        <v>22</v>
      </c>
      <c r="K22" s="149" t="s">
        <v>23</v>
      </c>
      <c r="L22" s="150" t="s">
        <v>85</v>
      </c>
      <c r="M22" s="149" t="s">
        <v>21</v>
      </c>
      <c r="N22" s="149" t="s">
        <v>24</v>
      </c>
      <c r="O22" s="149" t="s">
        <v>25</v>
      </c>
      <c r="P22" s="150" t="s">
        <v>85</v>
      </c>
      <c r="Q22" s="149" t="s">
        <v>26</v>
      </c>
      <c r="R22" s="149" t="s">
        <v>27</v>
      </c>
      <c r="S22" s="149" t="s">
        <v>28</v>
      </c>
      <c r="T22" s="149" t="s">
        <v>29</v>
      </c>
      <c r="U22" s="149" t="s">
        <v>30</v>
      </c>
      <c r="V22" s="149" t="s">
        <v>31</v>
      </c>
      <c r="W22" s="149" t="s">
        <v>32</v>
      </c>
      <c r="X22" s="150" t="s">
        <v>85</v>
      </c>
      <c r="Y22" s="150" t="s">
        <v>129</v>
      </c>
    </row>
    <row r="23" spans="1:25">
      <c r="A23" s="273" t="s">
        <v>282</v>
      </c>
      <c r="B23" s="238" t="s">
        <v>399</v>
      </c>
      <c r="C23" s="152"/>
      <c r="D23" s="152"/>
      <c r="E23" s="152"/>
      <c r="F23" s="152"/>
      <c r="G23" s="152"/>
      <c r="H23" s="152"/>
      <c r="I23" s="152"/>
      <c r="J23" s="152"/>
      <c r="K23" s="152"/>
      <c r="L23" s="153">
        <f>SUM(C23:K23)</f>
        <v>0</v>
      </c>
      <c r="M23" s="152"/>
      <c r="N23" s="152"/>
      <c r="O23" s="152"/>
      <c r="P23" s="153">
        <f t="shared" ref="P23:P26" si="12">SUM(M23:O23)</f>
        <v>0</v>
      </c>
      <c r="Q23" s="152"/>
      <c r="R23" s="152"/>
      <c r="S23" s="152"/>
      <c r="T23" s="152"/>
      <c r="U23" s="152"/>
      <c r="V23" s="152"/>
      <c r="W23" s="152"/>
      <c r="X23" s="153">
        <f>SUM(Q23:W23)</f>
        <v>0</v>
      </c>
      <c r="Y23" s="153">
        <f t="shared" ref="Y23:Y24" si="13">L23+P23+X23</f>
        <v>0</v>
      </c>
    </row>
    <row r="24" spans="1:25">
      <c r="A24" s="273"/>
      <c r="B24" s="238" t="s">
        <v>400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3">
        <f>SUM(C24:K24)</f>
        <v>0</v>
      </c>
      <c r="M24" s="152"/>
      <c r="N24" s="152"/>
      <c r="O24" s="152"/>
      <c r="P24" s="153">
        <f t="shared" si="12"/>
        <v>0</v>
      </c>
      <c r="Q24" s="152"/>
      <c r="R24" s="152"/>
      <c r="S24" s="152"/>
      <c r="T24" s="152"/>
      <c r="U24" s="152"/>
      <c r="V24" s="152"/>
      <c r="W24" s="152"/>
      <c r="X24" s="153">
        <f>SUM(Q24:W24)</f>
        <v>0</v>
      </c>
      <c r="Y24" s="153">
        <f t="shared" si="13"/>
        <v>0</v>
      </c>
    </row>
    <row r="25" spans="1:25">
      <c r="A25" s="273"/>
      <c r="B25" s="238" t="s">
        <v>398</v>
      </c>
      <c r="C25" s="152"/>
      <c r="D25" s="152"/>
      <c r="E25" s="152"/>
      <c r="F25" s="152"/>
      <c r="G25" s="152"/>
      <c r="H25" s="152"/>
      <c r="I25" s="152"/>
      <c r="J25" s="152"/>
      <c r="K25" s="152"/>
      <c r="L25" s="153">
        <f>SUM(C25:K25)</f>
        <v>0</v>
      </c>
      <c r="M25" s="152"/>
      <c r="N25" s="152"/>
      <c r="O25" s="152"/>
      <c r="P25" s="153">
        <f t="shared" si="12"/>
        <v>0</v>
      </c>
      <c r="Q25" s="152"/>
      <c r="R25" s="152"/>
      <c r="S25" s="152"/>
      <c r="T25" s="152"/>
      <c r="U25" s="152"/>
      <c r="V25" s="152"/>
      <c r="W25" s="152"/>
      <c r="X25" s="153">
        <f>SUM(Q25:W25)</f>
        <v>0</v>
      </c>
      <c r="Y25" s="153">
        <f>L25+P25+X25</f>
        <v>0</v>
      </c>
    </row>
    <row r="26" spans="1:25">
      <c r="A26" s="275"/>
      <c r="B26" s="239" t="s">
        <v>401</v>
      </c>
      <c r="C26" s="155">
        <v>18010</v>
      </c>
      <c r="D26" s="155"/>
      <c r="E26" s="155"/>
      <c r="F26" s="155"/>
      <c r="G26" s="155"/>
      <c r="H26" s="155"/>
      <c r="I26" s="155"/>
      <c r="J26" s="155"/>
      <c r="K26" s="155"/>
      <c r="L26" s="156">
        <f>SUM(C26:K26)</f>
        <v>18010</v>
      </c>
      <c r="M26" s="155"/>
      <c r="N26" s="155"/>
      <c r="O26" s="155"/>
      <c r="P26" s="156">
        <f t="shared" si="12"/>
        <v>0</v>
      </c>
      <c r="Q26" s="155"/>
      <c r="R26" s="155"/>
      <c r="S26" s="155"/>
      <c r="T26" s="155"/>
      <c r="U26" s="155"/>
      <c r="V26" s="155"/>
      <c r="W26" s="155"/>
      <c r="X26" s="156">
        <f t="shared" ref="X26" si="14">SUM(Q26:W26)</f>
        <v>0</v>
      </c>
      <c r="Y26" s="156">
        <f t="shared" ref="Y26" si="15">L26+P26+X26</f>
        <v>18010</v>
      </c>
    </row>
    <row r="28" spans="1:25">
      <c r="A28" s="272" t="s">
        <v>244</v>
      </c>
      <c r="B28" s="272"/>
      <c r="C28" s="149" t="s">
        <v>0</v>
      </c>
      <c r="D28" s="149" t="s">
        <v>69</v>
      </c>
      <c r="E28" s="149" t="s">
        <v>19</v>
      </c>
      <c r="F28" s="149" t="s">
        <v>3</v>
      </c>
      <c r="G28" s="149" t="s">
        <v>5</v>
      </c>
      <c r="H28" s="149" t="s">
        <v>20</v>
      </c>
      <c r="I28" s="149" t="s">
        <v>7</v>
      </c>
      <c r="J28" s="149" t="s">
        <v>22</v>
      </c>
      <c r="K28" s="149" t="s">
        <v>23</v>
      </c>
      <c r="L28" s="150" t="s">
        <v>85</v>
      </c>
      <c r="M28" s="149" t="s">
        <v>21</v>
      </c>
      <c r="N28" s="149" t="s">
        <v>24</v>
      </c>
      <c r="O28" s="149" t="s">
        <v>25</v>
      </c>
      <c r="P28" s="150" t="s">
        <v>85</v>
      </c>
      <c r="Q28" s="149" t="s">
        <v>26</v>
      </c>
      <c r="R28" s="149" t="s">
        <v>27</v>
      </c>
      <c r="S28" s="149" t="s">
        <v>28</v>
      </c>
      <c r="T28" s="149" t="s">
        <v>29</v>
      </c>
      <c r="U28" s="149" t="s">
        <v>30</v>
      </c>
      <c r="V28" s="149" t="s">
        <v>31</v>
      </c>
      <c r="W28" s="149" t="s">
        <v>32</v>
      </c>
      <c r="X28" s="150" t="s">
        <v>85</v>
      </c>
      <c r="Y28" s="150" t="s">
        <v>129</v>
      </c>
    </row>
    <row r="29" spans="1:25">
      <c r="A29" s="273" t="s">
        <v>282</v>
      </c>
      <c r="B29" s="238" t="s">
        <v>399</v>
      </c>
      <c r="C29" s="152">
        <f>50443+31487</f>
        <v>81930</v>
      </c>
      <c r="D29" s="152">
        <v>1447695</v>
      </c>
      <c r="E29" s="152">
        <v>1136101</v>
      </c>
      <c r="F29" s="152"/>
      <c r="G29" s="152"/>
      <c r="H29" s="152">
        <v>2127156</v>
      </c>
      <c r="I29" s="152"/>
      <c r="J29" s="152"/>
      <c r="K29" s="152"/>
      <c r="L29" s="153">
        <f>SUM(C29:K29)</f>
        <v>4792882</v>
      </c>
      <c r="M29" s="152"/>
      <c r="N29" s="152">
        <v>1099762</v>
      </c>
      <c r="O29" s="152">
        <v>133225</v>
      </c>
      <c r="P29" s="153">
        <f t="shared" ref="P29:P32" si="16">SUM(M29:O29)</f>
        <v>1232987</v>
      </c>
      <c r="Q29" s="152">
        <v>37216</v>
      </c>
      <c r="R29" s="152">
        <v>1358175</v>
      </c>
      <c r="S29" s="152"/>
      <c r="T29" s="152"/>
      <c r="U29" s="152"/>
      <c r="V29" s="152">
        <v>539675</v>
      </c>
      <c r="W29" s="152"/>
      <c r="X29" s="153">
        <f>SUM(Q29:W29)</f>
        <v>1935066</v>
      </c>
      <c r="Y29" s="153">
        <f t="shared" ref="Y29:Y30" si="17">L29+P29+X29</f>
        <v>7960935</v>
      </c>
    </row>
    <row r="30" spans="1:25">
      <c r="A30" s="273"/>
      <c r="B30" s="238" t="s">
        <v>400</v>
      </c>
      <c r="C30" s="152"/>
      <c r="D30" s="152"/>
      <c r="E30" s="152"/>
      <c r="F30" s="152"/>
      <c r="G30" s="152"/>
      <c r="H30" s="152"/>
      <c r="I30" s="152"/>
      <c r="J30" s="152"/>
      <c r="K30" s="152"/>
      <c r="L30" s="153">
        <f>SUM(C30:K30)</f>
        <v>0</v>
      </c>
      <c r="M30" s="152"/>
      <c r="N30" s="152"/>
      <c r="O30" s="152"/>
      <c r="P30" s="153">
        <f t="shared" si="16"/>
        <v>0</v>
      </c>
      <c r="Q30" s="152"/>
      <c r="R30" s="152">
        <v>113370</v>
      </c>
      <c r="S30" s="152"/>
      <c r="T30" s="152"/>
      <c r="U30" s="152"/>
      <c r="V30" s="152">
        <v>15070</v>
      </c>
      <c r="W30" s="152"/>
      <c r="X30" s="153">
        <f>SUM(Q30:W30)</f>
        <v>128440</v>
      </c>
      <c r="Y30" s="153">
        <f t="shared" si="17"/>
        <v>128440</v>
      </c>
    </row>
    <row r="31" spans="1:25">
      <c r="A31" s="273"/>
      <c r="B31" s="238" t="s">
        <v>398</v>
      </c>
      <c r="C31" s="152"/>
      <c r="D31" s="152"/>
      <c r="E31" s="152"/>
      <c r="F31" s="152"/>
      <c r="G31" s="152"/>
      <c r="H31" s="152"/>
      <c r="I31" s="152">
        <v>5809</v>
      </c>
      <c r="J31" s="152"/>
      <c r="K31" s="152">
        <v>7095748</v>
      </c>
      <c r="L31" s="153">
        <f>SUM(C31:K31)</f>
        <v>7101557</v>
      </c>
      <c r="M31" s="152"/>
      <c r="N31" s="152"/>
      <c r="O31" s="152">
        <v>12510</v>
      </c>
      <c r="P31" s="153">
        <f t="shared" si="16"/>
        <v>12510</v>
      </c>
      <c r="Q31" s="152"/>
      <c r="R31" s="152">
        <v>74873</v>
      </c>
      <c r="S31" s="152"/>
      <c r="T31" s="152"/>
      <c r="U31" s="152"/>
      <c r="V31" s="152">
        <v>5572</v>
      </c>
      <c r="W31" s="152"/>
      <c r="X31" s="153">
        <f>SUM(Q31:W31)</f>
        <v>80445</v>
      </c>
      <c r="Y31" s="153">
        <f>L31+P31+X31</f>
        <v>7194512</v>
      </c>
    </row>
    <row r="32" spans="1:25">
      <c r="A32" s="275"/>
      <c r="B32" s="239" t="s">
        <v>401</v>
      </c>
      <c r="C32" s="155"/>
      <c r="D32" s="155"/>
      <c r="E32" s="155"/>
      <c r="F32" s="155"/>
      <c r="G32" s="155"/>
      <c r="H32" s="155"/>
      <c r="I32" s="155"/>
      <c r="J32" s="155"/>
      <c r="K32" s="155"/>
      <c r="L32" s="156">
        <f>SUM(C32:K32)</f>
        <v>0</v>
      </c>
      <c r="M32" s="155"/>
      <c r="N32" s="155"/>
      <c r="O32" s="155"/>
      <c r="P32" s="156">
        <f t="shared" si="16"/>
        <v>0</v>
      </c>
      <c r="Q32" s="155"/>
      <c r="R32" s="155"/>
      <c r="S32" s="155"/>
      <c r="T32" s="155"/>
      <c r="U32" s="155"/>
      <c r="V32" s="155"/>
      <c r="W32" s="155"/>
      <c r="X32" s="156">
        <f t="shared" ref="X32" si="18">SUM(Q32:W32)</f>
        <v>0</v>
      </c>
      <c r="Y32" s="156">
        <f t="shared" ref="Y32" si="19">L32+P32+X32</f>
        <v>0</v>
      </c>
    </row>
    <row r="34" spans="1:25">
      <c r="A34" s="272" t="s">
        <v>40</v>
      </c>
      <c r="B34" s="272"/>
      <c r="C34" s="149" t="s">
        <v>0</v>
      </c>
      <c r="D34" s="149" t="s">
        <v>69</v>
      </c>
      <c r="E34" s="149" t="s">
        <v>19</v>
      </c>
      <c r="F34" s="149" t="s">
        <v>3</v>
      </c>
      <c r="G34" s="149" t="s">
        <v>5</v>
      </c>
      <c r="H34" s="149" t="s">
        <v>20</v>
      </c>
      <c r="I34" s="149" t="s">
        <v>7</v>
      </c>
      <c r="J34" s="149" t="s">
        <v>22</v>
      </c>
      <c r="K34" s="149" t="s">
        <v>23</v>
      </c>
      <c r="L34" s="150" t="s">
        <v>85</v>
      </c>
      <c r="M34" s="149" t="s">
        <v>21</v>
      </c>
      <c r="N34" s="149" t="s">
        <v>24</v>
      </c>
      <c r="O34" s="149" t="s">
        <v>25</v>
      </c>
      <c r="P34" s="150" t="s">
        <v>85</v>
      </c>
      <c r="Q34" s="149" t="s">
        <v>26</v>
      </c>
      <c r="R34" s="149" t="s">
        <v>27</v>
      </c>
      <c r="S34" s="149" t="s">
        <v>28</v>
      </c>
      <c r="T34" s="149" t="s">
        <v>29</v>
      </c>
      <c r="U34" s="149" t="s">
        <v>30</v>
      </c>
      <c r="V34" s="149" t="s">
        <v>31</v>
      </c>
      <c r="W34" s="149" t="s">
        <v>32</v>
      </c>
      <c r="X34" s="150" t="s">
        <v>85</v>
      </c>
      <c r="Y34" s="150" t="s">
        <v>129</v>
      </c>
    </row>
    <row r="35" spans="1:25">
      <c r="A35" s="273" t="s">
        <v>282</v>
      </c>
      <c r="B35" s="238" t="s">
        <v>399</v>
      </c>
      <c r="C35" s="152">
        <f>C23+C29</f>
        <v>81930</v>
      </c>
      <c r="D35" s="152">
        <f t="shared" ref="D35:K35" si="20">D23+D29</f>
        <v>1447695</v>
      </c>
      <c r="E35" s="152">
        <f t="shared" si="20"/>
        <v>1136101</v>
      </c>
      <c r="F35" s="152">
        <f t="shared" si="20"/>
        <v>0</v>
      </c>
      <c r="G35" s="152">
        <f t="shared" si="20"/>
        <v>0</v>
      </c>
      <c r="H35" s="152">
        <f t="shared" si="20"/>
        <v>2127156</v>
      </c>
      <c r="I35" s="152">
        <f t="shared" si="20"/>
        <v>0</v>
      </c>
      <c r="J35" s="152">
        <f t="shared" si="20"/>
        <v>0</v>
      </c>
      <c r="K35" s="152">
        <f t="shared" si="20"/>
        <v>0</v>
      </c>
      <c r="L35" s="153">
        <f>SUM(C35:K35)</f>
        <v>4792882</v>
      </c>
      <c r="M35" s="152">
        <f>M23+M29</f>
        <v>0</v>
      </c>
      <c r="N35" s="152">
        <f t="shared" ref="N35:O35" si="21">N23+N29</f>
        <v>1099762</v>
      </c>
      <c r="O35" s="152">
        <f t="shared" si="21"/>
        <v>133225</v>
      </c>
      <c r="P35" s="153">
        <f t="shared" ref="P35:P38" si="22">SUM(M35:O35)</f>
        <v>1232987</v>
      </c>
      <c r="Q35" s="152">
        <f t="shared" ref="Q35:W35" si="23">Q23+Q29</f>
        <v>37216</v>
      </c>
      <c r="R35" s="152">
        <f t="shared" si="23"/>
        <v>1358175</v>
      </c>
      <c r="S35" s="152">
        <f t="shared" si="23"/>
        <v>0</v>
      </c>
      <c r="T35" s="152">
        <f t="shared" si="23"/>
        <v>0</v>
      </c>
      <c r="U35" s="152">
        <f t="shared" si="23"/>
        <v>0</v>
      </c>
      <c r="V35" s="152">
        <f t="shared" si="23"/>
        <v>539675</v>
      </c>
      <c r="W35" s="152">
        <f t="shared" si="23"/>
        <v>0</v>
      </c>
      <c r="X35" s="153">
        <f>SUM(Q35:W35)</f>
        <v>1935066</v>
      </c>
      <c r="Y35" s="153">
        <f t="shared" ref="Y35:Y36" si="24">L35+P35+X35</f>
        <v>7960935</v>
      </c>
    </row>
    <row r="36" spans="1:25">
      <c r="A36" s="273"/>
      <c r="B36" s="238" t="s">
        <v>400</v>
      </c>
      <c r="C36" s="152">
        <f>C24+C30</f>
        <v>0</v>
      </c>
      <c r="D36" s="152">
        <f t="shared" ref="D36:K36" si="25">D24+D30</f>
        <v>0</v>
      </c>
      <c r="E36" s="152">
        <f t="shared" si="25"/>
        <v>0</v>
      </c>
      <c r="F36" s="152">
        <f t="shared" si="25"/>
        <v>0</v>
      </c>
      <c r="G36" s="152">
        <f t="shared" si="25"/>
        <v>0</v>
      </c>
      <c r="H36" s="152">
        <f t="shared" si="25"/>
        <v>0</v>
      </c>
      <c r="I36" s="152">
        <f t="shared" si="25"/>
        <v>0</v>
      </c>
      <c r="J36" s="152">
        <f t="shared" si="25"/>
        <v>0</v>
      </c>
      <c r="K36" s="152">
        <f t="shared" si="25"/>
        <v>0</v>
      </c>
      <c r="L36" s="153">
        <f>SUM(C36:K36)</f>
        <v>0</v>
      </c>
      <c r="M36" s="152">
        <f t="shared" ref="M36:O36" si="26">M24+M30</f>
        <v>0</v>
      </c>
      <c r="N36" s="152">
        <f t="shared" si="26"/>
        <v>0</v>
      </c>
      <c r="O36" s="152">
        <f t="shared" si="26"/>
        <v>0</v>
      </c>
      <c r="P36" s="153">
        <f t="shared" si="22"/>
        <v>0</v>
      </c>
      <c r="Q36" s="152">
        <f t="shared" ref="Q36:W36" si="27">Q24+Q30</f>
        <v>0</v>
      </c>
      <c r="R36" s="152">
        <f t="shared" si="27"/>
        <v>113370</v>
      </c>
      <c r="S36" s="152">
        <f t="shared" si="27"/>
        <v>0</v>
      </c>
      <c r="T36" s="152">
        <f t="shared" si="27"/>
        <v>0</v>
      </c>
      <c r="U36" s="152">
        <f t="shared" si="27"/>
        <v>0</v>
      </c>
      <c r="V36" s="152">
        <f t="shared" si="27"/>
        <v>15070</v>
      </c>
      <c r="W36" s="152">
        <f t="shared" si="27"/>
        <v>0</v>
      </c>
      <c r="X36" s="153">
        <f>SUM(Q36:W36)</f>
        <v>128440</v>
      </c>
      <c r="Y36" s="153">
        <f t="shared" si="24"/>
        <v>128440</v>
      </c>
    </row>
    <row r="37" spans="1:25">
      <c r="A37" s="273"/>
      <c r="B37" s="238" t="s">
        <v>398</v>
      </c>
      <c r="C37" s="152">
        <f>C25+C31</f>
        <v>0</v>
      </c>
      <c r="D37" s="152">
        <f t="shared" ref="D37:K37" si="28">D25+D31</f>
        <v>0</v>
      </c>
      <c r="E37" s="152">
        <f t="shared" si="28"/>
        <v>0</v>
      </c>
      <c r="F37" s="152">
        <f t="shared" si="28"/>
        <v>0</v>
      </c>
      <c r="G37" s="152">
        <f t="shared" si="28"/>
        <v>0</v>
      </c>
      <c r="H37" s="152">
        <f t="shared" si="28"/>
        <v>0</v>
      </c>
      <c r="I37" s="152">
        <f t="shared" si="28"/>
        <v>5809</v>
      </c>
      <c r="J37" s="152">
        <f t="shared" si="28"/>
        <v>0</v>
      </c>
      <c r="K37" s="152">
        <f t="shared" si="28"/>
        <v>7095748</v>
      </c>
      <c r="L37" s="153">
        <f>SUM(C37:K37)</f>
        <v>7101557</v>
      </c>
      <c r="M37" s="152">
        <f t="shared" ref="M37:O37" si="29">M25+M31</f>
        <v>0</v>
      </c>
      <c r="N37" s="152">
        <f t="shared" si="29"/>
        <v>0</v>
      </c>
      <c r="O37" s="152">
        <f t="shared" si="29"/>
        <v>12510</v>
      </c>
      <c r="P37" s="153">
        <f t="shared" si="22"/>
        <v>12510</v>
      </c>
      <c r="Q37" s="152">
        <f t="shared" ref="Q37:W37" si="30">Q25+Q31</f>
        <v>0</v>
      </c>
      <c r="R37" s="152">
        <f t="shared" si="30"/>
        <v>74873</v>
      </c>
      <c r="S37" s="152">
        <f t="shared" si="30"/>
        <v>0</v>
      </c>
      <c r="T37" s="152">
        <f t="shared" si="30"/>
        <v>0</v>
      </c>
      <c r="U37" s="152">
        <f t="shared" si="30"/>
        <v>0</v>
      </c>
      <c r="V37" s="152">
        <f t="shared" si="30"/>
        <v>5572</v>
      </c>
      <c r="W37" s="152">
        <f t="shared" si="30"/>
        <v>0</v>
      </c>
      <c r="X37" s="153">
        <f>SUM(Q37:W37)</f>
        <v>80445</v>
      </c>
      <c r="Y37" s="153">
        <f>L37+P37+X37</f>
        <v>7194512</v>
      </c>
    </row>
    <row r="38" spans="1:25">
      <c r="A38" s="275"/>
      <c r="B38" s="239" t="s">
        <v>401</v>
      </c>
      <c r="C38" s="155">
        <f>C26+C32</f>
        <v>18010</v>
      </c>
      <c r="D38" s="155">
        <f t="shared" ref="D38:K38" si="31">D26+D32</f>
        <v>0</v>
      </c>
      <c r="E38" s="155">
        <f t="shared" si="31"/>
        <v>0</v>
      </c>
      <c r="F38" s="155">
        <f t="shared" si="31"/>
        <v>0</v>
      </c>
      <c r="G38" s="155">
        <f t="shared" si="31"/>
        <v>0</v>
      </c>
      <c r="H38" s="155">
        <f t="shared" si="31"/>
        <v>0</v>
      </c>
      <c r="I38" s="155">
        <f t="shared" si="31"/>
        <v>0</v>
      </c>
      <c r="J38" s="155">
        <f t="shared" si="31"/>
        <v>0</v>
      </c>
      <c r="K38" s="155">
        <f t="shared" si="31"/>
        <v>0</v>
      </c>
      <c r="L38" s="156">
        <f>SUM(C38:K38)</f>
        <v>18010</v>
      </c>
      <c r="M38" s="155">
        <f t="shared" ref="M38:O38" si="32">M26+M32</f>
        <v>0</v>
      </c>
      <c r="N38" s="155">
        <f t="shared" si="32"/>
        <v>0</v>
      </c>
      <c r="O38" s="155">
        <f t="shared" si="32"/>
        <v>0</v>
      </c>
      <c r="P38" s="156">
        <f t="shared" si="22"/>
        <v>0</v>
      </c>
      <c r="Q38" s="155">
        <f t="shared" ref="Q38:W38" si="33">Q26+Q32</f>
        <v>0</v>
      </c>
      <c r="R38" s="155">
        <f t="shared" si="33"/>
        <v>0</v>
      </c>
      <c r="S38" s="155">
        <f t="shared" si="33"/>
        <v>0</v>
      </c>
      <c r="T38" s="155">
        <f t="shared" si="33"/>
        <v>0</v>
      </c>
      <c r="U38" s="155">
        <f t="shared" si="33"/>
        <v>0</v>
      </c>
      <c r="V38" s="155">
        <f t="shared" si="33"/>
        <v>0</v>
      </c>
      <c r="W38" s="155">
        <f t="shared" si="33"/>
        <v>0</v>
      </c>
      <c r="X38" s="156">
        <f t="shared" ref="X38" si="34">SUM(Q38:W38)</f>
        <v>0</v>
      </c>
      <c r="Y38" s="156">
        <f t="shared" ref="Y38" si="35">L38+P38+X38</f>
        <v>18010</v>
      </c>
    </row>
    <row r="40" spans="1:25">
      <c r="A40" s="240" t="s">
        <v>396</v>
      </c>
    </row>
    <row r="41" spans="1:25">
      <c r="A41" s="272" t="s">
        <v>245</v>
      </c>
      <c r="B41" s="272"/>
      <c r="C41" s="149" t="s">
        <v>0</v>
      </c>
      <c r="D41" s="149" t="s">
        <v>69</v>
      </c>
      <c r="E41" s="149" t="s">
        <v>19</v>
      </c>
      <c r="F41" s="149" t="s">
        <v>3</v>
      </c>
      <c r="G41" s="149" t="s">
        <v>5</v>
      </c>
      <c r="H41" s="149" t="s">
        <v>20</v>
      </c>
      <c r="I41" s="149" t="s">
        <v>7</v>
      </c>
      <c r="J41" s="149" t="s">
        <v>22</v>
      </c>
      <c r="K41" s="149" t="s">
        <v>23</v>
      </c>
      <c r="L41" s="150" t="s">
        <v>85</v>
      </c>
      <c r="M41" s="149" t="s">
        <v>21</v>
      </c>
      <c r="N41" s="149" t="s">
        <v>24</v>
      </c>
      <c r="O41" s="149" t="s">
        <v>25</v>
      </c>
      <c r="P41" s="150" t="s">
        <v>85</v>
      </c>
      <c r="Q41" s="149" t="s">
        <v>26</v>
      </c>
      <c r="R41" s="149" t="s">
        <v>27</v>
      </c>
      <c r="S41" s="149" t="s">
        <v>28</v>
      </c>
      <c r="T41" s="149" t="s">
        <v>29</v>
      </c>
      <c r="U41" s="149" t="s">
        <v>30</v>
      </c>
      <c r="V41" s="149" t="s">
        <v>31</v>
      </c>
      <c r="W41" s="149" t="s">
        <v>32</v>
      </c>
      <c r="X41" s="150" t="s">
        <v>85</v>
      </c>
      <c r="Y41" s="150" t="s">
        <v>129</v>
      </c>
    </row>
    <row r="42" spans="1:25">
      <c r="A42" s="273" t="s">
        <v>282</v>
      </c>
      <c r="B42" s="238" t="s">
        <v>399</v>
      </c>
      <c r="C42" s="152">
        <v>80378</v>
      </c>
      <c r="D42" s="152"/>
      <c r="E42" s="152"/>
      <c r="F42" s="152"/>
      <c r="G42" s="152"/>
      <c r="H42" s="152"/>
      <c r="I42" s="152"/>
      <c r="J42" s="152"/>
      <c r="K42" s="152"/>
      <c r="L42" s="153">
        <f>SUM(C42:K42)</f>
        <v>80378</v>
      </c>
      <c r="M42" s="152"/>
      <c r="N42" s="152"/>
      <c r="O42" s="152"/>
      <c r="P42" s="153">
        <f t="shared" ref="P42:P44" si="36">SUM(M42:O42)</f>
        <v>0</v>
      </c>
      <c r="Q42" s="152"/>
      <c r="R42" s="152"/>
      <c r="S42" s="152"/>
      <c r="T42" s="152"/>
      <c r="U42" s="152"/>
      <c r="V42" s="152"/>
      <c r="W42" s="152"/>
      <c r="X42" s="153">
        <f t="shared" ref="X42:X44" si="37">SUM(Q42:W42)</f>
        <v>0</v>
      </c>
      <c r="Y42" s="153">
        <f>L42+P42+X42</f>
        <v>80378</v>
      </c>
    </row>
    <row r="43" spans="1:25">
      <c r="A43" s="273"/>
      <c r="B43" s="238" t="s">
        <v>400</v>
      </c>
      <c r="C43" s="152"/>
      <c r="D43" s="152"/>
      <c r="E43" s="152"/>
      <c r="F43" s="152"/>
      <c r="G43" s="152"/>
      <c r="H43" s="152"/>
      <c r="I43" s="152"/>
      <c r="J43" s="152">
        <v>111930</v>
      </c>
      <c r="K43" s="152">
        <v>111930</v>
      </c>
      <c r="L43" s="153">
        <f>SUM(C43:K43)</f>
        <v>223860</v>
      </c>
      <c r="M43" s="152"/>
      <c r="N43" s="152"/>
      <c r="O43" s="152"/>
      <c r="P43" s="153">
        <f t="shared" si="36"/>
        <v>0</v>
      </c>
      <c r="Q43" s="152"/>
      <c r="R43" s="152"/>
      <c r="S43" s="152"/>
      <c r="T43" s="152"/>
      <c r="U43" s="152"/>
      <c r="V43" s="152"/>
      <c r="W43" s="152"/>
      <c r="X43" s="153">
        <f t="shared" si="37"/>
        <v>0</v>
      </c>
      <c r="Y43" s="153">
        <f t="shared" ref="Y43:Y44" si="38">L43+P43+X43</f>
        <v>223860</v>
      </c>
    </row>
    <row r="44" spans="1:25">
      <c r="A44" s="273"/>
      <c r="B44" s="238" t="s">
        <v>398</v>
      </c>
      <c r="C44" s="152"/>
      <c r="D44" s="152"/>
      <c r="E44" s="152"/>
      <c r="F44" s="152"/>
      <c r="G44" s="152"/>
      <c r="H44" s="152"/>
      <c r="I44" s="152"/>
      <c r="J44" s="152"/>
      <c r="K44" s="152"/>
      <c r="L44" s="153">
        <f>SUM(C44:K44)</f>
        <v>0</v>
      </c>
      <c r="M44" s="152"/>
      <c r="N44" s="152"/>
      <c r="O44" s="152"/>
      <c r="P44" s="153">
        <f t="shared" si="36"/>
        <v>0</v>
      </c>
      <c r="Q44" s="152"/>
      <c r="R44" s="152"/>
      <c r="S44" s="152"/>
      <c r="T44" s="152"/>
      <c r="U44" s="152"/>
      <c r="V44" s="152"/>
      <c r="W44" s="152"/>
      <c r="X44" s="153">
        <f t="shared" si="37"/>
        <v>0</v>
      </c>
      <c r="Y44" s="153">
        <f t="shared" si="38"/>
        <v>0</v>
      </c>
    </row>
    <row r="45" spans="1:25">
      <c r="A45" s="275"/>
      <c r="B45" s="239" t="s">
        <v>401</v>
      </c>
      <c r="C45" s="155"/>
      <c r="D45" s="155"/>
      <c r="E45" s="155"/>
      <c r="F45" s="155"/>
      <c r="G45" s="155"/>
      <c r="H45" s="155"/>
      <c r="I45" s="155"/>
      <c r="J45" s="155"/>
      <c r="K45" s="155"/>
      <c r="L45" s="156">
        <f>SUM(C45:K45)</f>
        <v>0</v>
      </c>
      <c r="M45" s="155"/>
      <c r="N45" s="155"/>
      <c r="O45" s="155"/>
      <c r="P45" s="156">
        <f t="shared" ref="P45" si="39">SUM(M45:O45)</f>
        <v>0</v>
      </c>
      <c r="Q45" s="155"/>
      <c r="R45" s="155"/>
      <c r="S45" s="155"/>
      <c r="T45" s="155"/>
      <c r="U45" s="155"/>
      <c r="V45" s="155"/>
      <c r="W45" s="155"/>
      <c r="X45" s="156">
        <f t="shared" ref="X45" si="40">SUM(Q45:W45)</f>
        <v>0</v>
      </c>
      <c r="Y45" s="156">
        <f t="shared" ref="Y45" si="41">L45+P45+X45</f>
        <v>0</v>
      </c>
    </row>
    <row r="47" spans="1:25">
      <c r="A47" s="272" t="s">
        <v>244</v>
      </c>
      <c r="B47" s="272"/>
      <c r="C47" s="149" t="s">
        <v>0</v>
      </c>
      <c r="D47" s="149" t="s">
        <v>69</v>
      </c>
      <c r="E47" s="149" t="s">
        <v>19</v>
      </c>
      <c r="F47" s="149" t="s">
        <v>3</v>
      </c>
      <c r="G47" s="149" t="s">
        <v>5</v>
      </c>
      <c r="H47" s="149" t="s">
        <v>20</v>
      </c>
      <c r="I47" s="149" t="s">
        <v>7</v>
      </c>
      <c r="J47" s="149" t="s">
        <v>22</v>
      </c>
      <c r="K47" s="149" t="s">
        <v>23</v>
      </c>
      <c r="L47" s="150" t="s">
        <v>85</v>
      </c>
      <c r="M47" s="149" t="s">
        <v>21</v>
      </c>
      <c r="N47" s="149" t="s">
        <v>24</v>
      </c>
      <c r="O47" s="149" t="s">
        <v>25</v>
      </c>
      <c r="P47" s="150" t="s">
        <v>85</v>
      </c>
      <c r="Q47" s="149" t="s">
        <v>26</v>
      </c>
      <c r="R47" s="149" t="s">
        <v>27</v>
      </c>
      <c r="S47" s="149" t="s">
        <v>28</v>
      </c>
      <c r="T47" s="149" t="s">
        <v>29</v>
      </c>
      <c r="U47" s="149" t="s">
        <v>30</v>
      </c>
      <c r="V47" s="149" t="s">
        <v>31</v>
      </c>
      <c r="W47" s="149" t="s">
        <v>32</v>
      </c>
      <c r="X47" s="150" t="s">
        <v>85</v>
      </c>
      <c r="Y47" s="150" t="s">
        <v>129</v>
      </c>
    </row>
    <row r="48" spans="1:25">
      <c r="A48" s="273" t="s">
        <v>282</v>
      </c>
      <c r="B48" s="238" t="s">
        <v>399</v>
      </c>
      <c r="C48" s="152">
        <f>451800+949225</f>
        <v>1401025</v>
      </c>
      <c r="D48" s="152"/>
      <c r="E48" s="152">
        <v>703185</v>
      </c>
      <c r="F48" s="152">
        <v>392856</v>
      </c>
      <c r="G48" s="152"/>
      <c r="H48" s="152"/>
      <c r="I48" s="152"/>
      <c r="J48" s="152">
        <v>1806950</v>
      </c>
      <c r="K48" s="152"/>
      <c r="L48" s="153">
        <f>SUM(C48:K48)</f>
        <v>4304016</v>
      </c>
      <c r="M48" s="152"/>
      <c r="N48" s="152">
        <v>328817</v>
      </c>
      <c r="O48" s="152">
        <v>402714</v>
      </c>
      <c r="P48" s="153">
        <f t="shared" ref="P48:P51" si="42">SUM(M48:O48)</f>
        <v>731531</v>
      </c>
      <c r="Q48" s="152">
        <f>1448901+172000+1188656+328108</f>
        <v>3137665</v>
      </c>
      <c r="R48" s="152">
        <v>559240</v>
      </c>
      <c r="S48" s="152">
        <v>1640000</v>
      </c>
      <c r="T48" s="152"/>
      <c r="U48" s="152"/>
      <c r="V48" s="152">
        <v>224545</v>
      </c>
      <c r="W48" s="152"/>
      <c r="X48" s="153">
        <f t="shared" ref="X48:X51" si="43">SUM(Q48:W48)</f>
        <v>5561450</v>
      </c>
      <c r="Y48" s="153">
        <f>L48+P48+X48</f>
        <v>10596997</v>
      </c>
    </row>
    <row r="49" spans="1:25">
      <c r="A49" s="273"/>
      <c r="B49" s="238" t="s">
        <v>400</v>
      </c>
      <c r="C49" s="152"/>
      <c r="D49" s="152"/>
      <c r="E49" s="152"/>
      <c r="F49" s="152">
        <v>20000</v>
      </c>
      <c r="G49" s="152"/>
      <c r="H49" s="152"/>
      <c r="I49" s="152"/>
      <c r="J49" s="152"/>
      <c r="K49" s="152"/>
      <c r="L49" s="153">
        <f>SUM(C49:K49)</f>
        <v>20000</v>
      </c>
      <c r="M49" s="152"/>
      <c r="N49" s="152"/>
      <c r="O49" s="152"/>
      <c r="P49" s="153">
        <f t="shared" si="42"/>
        <v>0</v>
      </c>
      <c r="Q49" s="152"/>
      <c r="R49" s="152"/>
      <c r="S49" s="152"/>
      <c r="T49" s="152"/>
      <c r="U49" s="152"/>
      <c r="V49" s="152"/>
      <c r="W49" s="152"/>
      <c r="X49" s="153">
        <f t="shared" si="43"/>
        <v>0</v>
      </c>
      <c r="Y49" s="153">
        <f t="shared" ref="Y49:Y51" si="44">L49+P49+X49</f>
        <v>20000</v>
      </c>
    </row>
    <row r="50" spans="1:25">
      <c r="A50" s="273"/>
      <c r="B50" s="238" t="s">
        <v>398</v>
      </c>
      <c r="C50" s="152"/>
      <c r="D50" s="152"/>
      <c r="E50" s="152"/>
      <c r="F50" s="152"/>
      <c r="G50" s="152"/>
      <c r="H50" s="152"/>
      <c r="I50" s="152"/>
      <c r="J50" s="152"/>
      <c r="K50" s="152"/>
      <c r="L50" s="153">
        <f>SUM(C50:K50)</f>
        <v>0</v>
      </c>
      <c r="M50" s="152"/>
      <c r="N50" s="152">
        <v>164984</v>
      </c>
      <c r="O50" s="152"/>
      <c r="P50" s="153">
        <f t="shared" si="42"/>
        <v>164984</v>
      </c>
      <c r="Q50" s="152"/>
      <c r="R50" s="152"/>
      <c r="S50" s="152"/>
      <c r="T50" s="152"/>
      <c r="U50" s="152"/>
      <c r="V50" s="152"/>
      <c r="W50" s="152"/>
      <c r="X50" s="153">
        <f t="shared" si="43"/>
        <v>0</v>
      </c>
      <c r="Y50" s="153">
        <f t="shared" si="44"/>
        <v>164984</v>
      </c>
    </row>
    <row r="51" spans="1:25">
      <c r="A51" s="275"/>
      <c r="B51" s="239" t="s">
        <v>401</v>
      </c>
      <c r="C51" s="155"/>
      <c r="D51" s="155"/>
      <c r="E51" s="155"/>
      <c r="F51" s="155"/>
      <c r="G51" s="155"/>
      <c r="H51" s="155"/>
      <c r="I51" s="155"/>
      <c r="J51" s="155"/>
      <c r="K51" s="155"/>
      <c r="L51" s="156">
        <f>SUM(C51:K51)</f>
        <v>0</v>
      </c>
      <c r="M51" s="155"/>
      <c r="N51" s="155"/>
      <c r="O51" s="155"/>
      <c r="P51" s="156">
        <f t="shared" si="42"/>
        <v>0</v>
      </c>
      <c r="Q51" s="155"/>
      <c r="R51" s="155"/>
      <c r="S51" s="155"/>
      <c r="T51" s="155"/>
      <c r="U51" s="155"/>
      <c r="V51" s="155"/>
      <c r="W51" s="155"/>
      <c r="X51" s="156">
        <f t="shared" si="43"/>
        <v>0</v>
      </c>
      <c r="Y51" s="156">
        <f t="shared" si="44"/>
        <v>0</v>
      </c>
    </row>
    <row r="53" spans="1:25">
      <c r="A53" s="272" t="s">
        <v>40</v>
      </c>
      <c r="B53" s="272"/>
      <c r="C53" s="149" t="s">
        <v>0</v>
      </c>
      <c r="D53" s="149" t="s">
        <v>69</v>
      </c>
      <c r="E53" s="149" t="s">
        <v>19</v>
      </c>
      <c r="F53" s="149" t="s">
        <v>3</v>
      </c>
      <c r="G53" s="149" t="s">
        <v>5</v>
      </c>
      <c r="H53" s="149" t="s">
        <v>20</v>
      </c>
      <c r="I53" s="149" t="s">
        <v>7</v>
      </c>
      <c r="J53" s="149" t="s">
        <v>22</v>
      </c>
      <c r="K53" s="149" t="s">
        <v>23</v>
      </c>
      <c r="L53" s="150" t="s">
        <v>85</v>
      </c>
      <c r="M53" s="149" t="s">
        <v>21</v>
      </c>
      <c r="N53" s="149" t="s">
        <v>24</v>
      </c>
      <c r="O53" s="149" t="s">
        <v>25</v>
      </c>
      <c r="P53" s="150" t="s">
        <v>85</v>
      </c>
      <c r="Q53" s="149" t="s">
        <v>26</v>
      </c>
      <c r="R53" s="149" t="s">
        <v>27</v>
      </c>
      <c r="S53" s="149" t="s">
        <v>28</v>
      </c>
      <c r="T53" s="149" t="s">
        <v>29</v>
      </c>
      <c r="U53" s="149" t="s">
        <v>30</v>
      </c>
      <c r="V53" s="149" t="s">
        <v>31</v>
      </c>
      <c r="W53" s="149" t="s">
        <v>32</v>
      </c>
      <c r="X53" s="150" t="s">
        <v>85</v>
      </c>
      <c r="Y53" s="150" t="s">
        <v>129</v>
      </c>
    </row>
    <row r="54" spans="1:25">
      <c r="A54" s="273" t="s">
        <v>282</v>
      </c>
      <c r="B54" s="238" t="s">
        <v>399</v>
      </c>
      <c r="C54" s="152">
        <f>C42+C48</f>
        <v>1481403</v>
      </c>
      <c r="D54" s="152">
        <f t="shared" ref="D54:K54" si="45">D42+D48</f>
        <v>0</v>
      </c>
      <c r="E54" s="152">
        <f t="shared" si="45"/>
        <v>703185</v>
      </c>
      <c r="F54" s="152">
        <f t="shared" si="45"/>
        <v>392856</v>
      </c>
      <c r="G54" s="152">
        <f t="shared" si="45"/>
        <v>0</v>
      </c>
      <c r="H54" s="152">
        <f t="shared" si="45"/>
        <v>0</v>
      </c>
      <c r="I54" s="152">
        <f t="shared" si="45"/>
        <v>0</v>
      </c>
      <c r="J54" s="152">
        <f t="shared" si="45"/>
        <v>1806950</v>
      </c>
      <c r="K54" s="152">
        <f t="shared" si="45"/>
        <v>0</v>
      </c>
      <c r="L54" s="153">
        <f>SUM(C54:K54)</f>
        <v>4384394</v>
      </c>
      <c r="M54" s="152">
        <f>M42+M48</f>
        <v>0</v>
      </c>
      <c r="N54" s="152">
        <f t="shared" ref="N54:O54" si="46">N42+N48</f>
        <v>328817</v>
      </c>
      <c r="O54" s="152">
        <f t="shared" si="46"/>
        <v>402714</v>
      </c>
      <c r="P54" s="153">
        <f t="shared" ref="P54:P57" si="47">SUM(M54:O54)</f>
        <v>731531</v>
      </c>
      <c r="Q54" s="152">
        <f t="shared" ref="Q54:W54" si="48">Q42+Q48</f>
        <v>3137665</v>
      </c>
      <c r="R54" s="152">
        <f t="shared" si="48"/>
        <v>559240</v>
      </c>
      <c r="S54" s="152">
        <f t="shared" si="48"/>
        <v>1640000</v>
      </c>
      <c r="T54" s="152">
        <f t="shared" si="48"/>
        <v>0</v>
      </c>
      <c r="U54" s="152">
        <f t="shared" si="48"/>
        <v>0</v>
      </c>
      <c r="V54" s="152">
        <f t="shared" si="48"/>
        <v>224545</v>
      </c>
      <c r="W54" s="152">
        <f t="shared" si="48"/>
        <v>0</v>
      </c>
      <c r="X54" s="153">
        <f>SUM(Q54:W54)</f>
        <v>5561450</v>
      </c>
      <c r="Y54" s="153">
        <f t="shared" ref="Y54:Y55" si="49">L54+P54+X54</f>
        <v>10677375</v>
      </c>
    </row>
    <row r="55" spans="1:25">
      <c r="A55" s="273"/>
      <c r="B55" s="238" t="s">
        <v>400</v>
      </c>
      <c r="C55" s="152">
        <f>C43+C49</f>
        <v>0</v>
      </c>
      <c r="D55" s="152">
        <f t="shared" ref="D55:K55" si="50">D43+D49</f>
        <v>0</v>
      </c>
      <c r="E55" s="152">
        <f t="shared" si="50"/>
        <v>0</v>
      </c>
      <c r="F55" s="152">
        <f t="shared" si="50"/>
        <v>20000</v>
      </c>
      <c r="G55" s="152">
        <f t="shared" si="50"/>
        <v>0</v>
      </c>
      <c r="H55" s="152">
        <f t="shared" si="50"/>
        <v>0</v>
      </c>
      <c r="I55" s="152">
        <f t="shared" si="50"/>
        <v>0</v>
      </c>
      <c r="J55" s="152">
        <f t="shared" si="50"/>
        <v>111930</v>
      </c>
      <c r="K55" s="152">
        <f t="shared" si="50"/>
        <v>111930</v>
      </c>
      <c r="L55" s="153">
        <f>SUM(C55:K55)</f>
        <v>243860</v>
      </c>
      <c r="M55" s="152">
        <f t="shared" ref="M55:O55" si="51">M43+M49</f>
        <v>0</v>
      </c>
      <c r="N55" s="152">
        <f t="shared" si="51"/>
        <v>0</v>
      </c>
      <c r="O55" s="152">
        <f t="shared" si="51"/>
        <v>0</v>
      </c>
      <c r="P55" s="153">
        <f t="shared" si="47"/>
        <v>0</v>
      </c>
      <c r="Q55" s="152">
        <f t="shared" ref="Q55:W55" si="52">Q43+Q49</f>
        <v>0</v>
      </c>
      <c r="R55" s="152">
        <f t="shared" si="52"/>
        <v>0</v>
      </c>
      <c r="S55" s="152">
        <f t="shared" si="52"/>
        <v>0</v>
      </c>
      <c r="T55" s="152">
        <f t="shared" si="52"/>
        <v>0</v>
      </c>
      <c r="U55" s="152">
        <f t="shared" si="52"/>
        <v>0</v>
      </c>
      <c r="V55" s="152">
        <f t="shared" si="52"/>
        <v>0</v>
      </c>
      <c r="W55" s="152">
        <f t="shared" si="52"/>
        <v>0</v>
      </c>
      <c r="X55" s="153">
        <f>SUM(Q55:W55)</f>
        <v>0</v>
      </c>
      <c r="Y55" s="153">
        <f t="shared" si="49"/>
        <v>243860</v>
      </c>
    </row>
    <row r="56" spans="1:25">
      <c r="A56" s="273"/>
      <c r="B56" s="238" t="s">
        <v>398</v>
      </c>
      <c r="C56" s="152">
        <f>C44+C50</f>
        <v>0</v>
      </c>
      <c r="D56" s="152">
        <f t="shared" ref="D56:K56" si="53">D44+D50</f>
        <v>0</v>
      </c>
      <c r="E56" s="152">
        <f t="shared" si="53"/>
        <v>0</v>
      </c>
      <c r="F56" s="152">
        <f t="shared" si="53"/>
        <v>0</v>
      </c>
      <c r="G56" s="152">
        <f t="shared" si="53"/>
        <v>0</v>
      </c>
      <c r="H56" s="152">
        <f t="shared" si="53"/>
        <v>0</v>
      </c>
      <c r="I56" s="152">
        <f t="shared" si="53"/>
        <v>0</v>
      </c>
      <c r="J56" s="152">
        <f t="shared" si="53"/>
        <v>0</v>
      </c>
      <c r="K56" s="152">
        <f t="shared" si="53"/>
        <v>0</v>
      </c>
      <c r="L56" s="153">
        <f>SUM(C56:K56)</f>
        <v>0</v>
      </c>
      <c r="M56" s="152">
        <f t="shared" ref="M56:O56" si="54">M44+M50</f>
        <v>0</v>
      </c>
      <c r="N56" s="152">
        <f t="shared" si="54"/>
        <v>164984</v>
      </c>
      <c r="O56" s="152">
        <f t="shared" si="54"/>
        <v>0</v>
      </c>
      <c r="P56" s="153">
        <f t="shared" si="47"/>
        <v>164984</v>
      </c>
      <c r="Q56" s="152">
        <f t="shared" ref="Q56:W56" si="55">Q44+Q50</f>
        <v>0</v>
      </c>
      <c r="R56" s="152">
        <f t="shared" si="55"/>
        <v>0</v>
      </c>
      <c r="S56" s="152">
        <f t="shared" si="55"/>
        <v>0</v>
      </c>
      <c r="T56" s="152">
        <f t="shared" si="55"/>
        <v>0</v>
      </c>
      <c r="U56" s="152">
        <f t="shared" si="55"/>
        <v>0</v>
      </c>
      <c r="V56" s="152">
        <f t="shared" si="55"/>
        <v>0</v>
      </c>
      <c r="W56" s="152">
        <f t="shared" si="55"/>
        <v>0</v>
      </c>
      <c r="X56" s="153">
        <f>SUM(Q56:W56)</f>
        <v>0</v>
      </c>
      <c r="Y56" s="153">
        <f>L56+P56+X56</f>
        <v>164984</v>
      </c>
    </row>
    <row r="57" spans="1:25">
      <c r="A57" s="275"/>
      <c r="B57" s="239" t="s">
        <v>401</v>
      </c>
      <c r="C57" s="155">
        <f>C45+C51</f>
        <v>0</v>
      </c>
      <c r="D57" s="155">
        <f t="shared" ref="D57:K57" si="56">D45+D51</f>
        <v>0</v>
      </c>
      <c r="E57" s="155">
        <f t="shared" si="56"/>
        <v>0</v>
      </c>
      <c r="F57" s="155">
        <f t="shared" si="56"/>
        <v>0</v>
      </c>
      <c r="G57" s="155">
        <f t="shared" si="56"/>
        <v>0</v>
      </c>
      <c r="H57" s="155">
        <f t="shared" si="56"/>
        <v>0</v>
      </c>
      <c r="I57" s="155">
        <f t="shared" si="56"/>
        <v>0</v>
      </c>
      <c r="J57" s="155">
        <f t="shared" si="56"/>
        <v>0</v>
      </c>
      <c r="K57" s="155">
        <f t="shared" si="56"/>
        <v>0</v>
      </c>
      <c r="L57" s="156">
        <f>SUM(C57:K57)</f>
        <v>0</v>
      </c>
      <c r="M57" s="155">
        <f t="shared" ref="M57:O57" si="57">M45+M51</f>
        <v>0</v>
      </c>
      <c r="N57" s="155">
        <f t="shared" si="57"/>
        <v>0</v>
      </c>
      <c r="O57" s="155">
        <f t="shared" si="57"/>
        <v>0</v>
      </c>
      <c r="P57" s="156">
        <f t="shared" si="47"/>
        <v>0</v>
      </c>
      <c r="Q57" s="155">
        <f t="shared" ref="Q57:W57" si="58">Q45+Q51</f>
        <v>0</v>
      </c>
      <c r="R57" s="155">
        <f t="shared" si="58"/>
        <v>0</v>
      </c>
      <c r="S57" s="155">
        <f t="shared" si="58"/>
        <v>0</v>
      </c>
      <c r="T57" s="155">
        <f t="shared" si="58"/>
        <v>0</v>
      </c>
      <c r="U57" s="155">
        <f t="shared" si="58"/>
        <v>0</v>
      </c>
      <c r="V57" s="155">
        <f t="shared" si="58"/>
        <v>0</v>
      </c>
      <c r="W57" s="155">
        <f t="shared" si="58"/>
        <v>0</v>
      </c>
      <c r="X57" s="156">
        <f t="shared" ref="X57" si="59">SUM(Q57:W57)</f>
        <v>0</v>
      </c>
      <c r="Y57" s="156">
        <f t="shared" ref="Y57" si="60">L57+P57+X57</f>
        <v>0</v>
      </c>
    </row>
    <row r="59" spans="1:25">
      <c r="A59" s="241" t="s">
        <v>402</v>
      </c>
    </row>
    <row r="60" spans="1:25">
      <c r="A60" s="272" t="s">
        <v>403</v>
      </c>
      <c r="B60" s="272"/>
      <c r="C60" s="149" t="s">
        <v>0</v>
      </c>
      <c r="D60" s="149" t="s">
        <v>69</v>
      </c>
      <c r="E60" s="149" t="s">
        <v>19</v>
      </c>
      <c r="F60" s="149" t="s">
        <v>3</v>
      </c>
      <c r="G60" s="149" t="s">
        <v>5</v>
      </c>
      <c r="H60" s="149" t="s">
        <v>20</v>
      </c>
      <c r="I60" s="149" t="s">
        <v>7</v>
      </c>
      <c r="J60" s="149" t="s">
        <v>22</v>
      </c>
      <c r="K60" s="149" t="s">
        <v>23</v>
      </c>
      <c r="L60" s="150" t="s">
        <v>85</v>
      </c>
      <c r="M60" s="149" t="s">
        <v>21</v>
      </c>
      <c r="N60" s="149" t="s">
        <v>24</v>
      </c>
      <c r="O60" s="149" t="s">
        <v>25</v>
      </c>
      <c r="P60" s="150" t="s">
        <v>85</v>
      </c>
      <c r="Q60" s="149" t="s">
        <v>26</v>
      </c>
      <c r="R60" s="149" t="s">
        <v>27</v>
      </c>
      <c r="S60" s="149" t="s">
        <v>28</v>
      </c>
      <c r="T60" s="149" t="s">
        <v>29</v>
      </c>
      <c r="U60" s="149" t="s">
        <v>30</v>
      </c>
      <c r="V60" s="149" t="s">
        <v>31</v>
      </c>
      <c r="W60" s="149" t="s">
        <v>32</v>
      </c>
      <c r="X60" s="150" t="s">
        <v>85</v>
      </c>
      <c r="Y60" s="150" t="s">
        <v>129</v>
      </c>
    </row>
    <row r="61" spans="1:25">
      <c r="A61" s="274" t="s">
        <v>282</v>
      </c>
      <c r="B61" s="238" t="s">
        <v>399</v>
      </c>
      <c r="C61" s="152">
        <f>ROUND((C16+C35+C54)/3000,0)</f>
        <v>1645</v>
      </c>
      <c r="D61" s="152">
        <f t="shared" ref="D61:K61" si="61">ROUND((D16+D35+D54)/3000,0)</f>
        <v>483</v>
      </c>
      <c r="E61" s="152">
        <f t="shared" si="61"/>
        <v>613</v>
      </c>
      <c r="F61" s="152">
        <f t="shared" si="61"/>
        <v>131</v>
      </c>
      <c r="G61" s="152">
        <f t="shared" si="61"/>
        <v>1398</v>
      </c>
      <c r="H61" s="152">
        <f t="shared" si="61"/>
        <v>709</v>
      </c>
      <c r="I61" s="152">
        <f t="shared" si="61"/>
        <v>0</v>
      </c>
      <c r="J61" s="152">
        <f t="shared" si="61"/>
        <v>602</v>
      </c>
      <c r="K61" s="152">
        <f t="shared" si="61"/>
        <v>565</v>
      </c>
      <c r="L61" s="153">
        <f>SUM(C61:K61)</f>
        <v>6146</v>
      </c>
      <c r="M61" s="152">
        <f t="shared" ref="M61:O61" si="62">ROUND((M16+M35+M54)/3000,0)</f>
        <v>0</v>
      </c>
      <c r="N61" s="152">
        <f t="shared" si="62"/>
        <v>476</v>
      </c>
      <c r="O61" s="152">
        <f t="shared" si="62"/>
        <v>1246</v>
      </c>
      <c r="P61" s="153">
        <f>SUM(M61:O61)</f>
        <v>1722</v>
      </c>
      <c r="Q61" s="152">
        <f t="shared" ref="Q61:W64" si="63">ROUND((Q16+Q35+Q54)/3000,0)</f>
        <v>1058</v>
      </c>
      <c r="R61" s="152">
        <f t="shared" si="63"/>
        <v>639</v>
      </c>
      <c r="S61" s="152">
        <f t="shared" si="63"/>
        <v>547</v>
      </c>
      <c r="T61" s="152">
        <f t="shared" si="63"/>
        <v>0</v>
      </c>
      <c r="U61" s="152">
        <f t="shared" si="63"/>
        <v>0</v>
      </c>
      <c r="V61" s="152">
        <f t="shared" si="63"/>
        <v>255</v>
      </c>
      <c r="W61" s="152">
        <f t="shared" si="63"/>
        <v>0</v>
      </c>
      <c r="X61" s="153">
        <f>SUM(Q61:W61)</f>
        <v>2499</v>
      </c>
      <c r="Y61" s="153">
        <f>L61+P61+X61</f>
        <v>10367</v>
      </c>
    </row>
    <row r="62" spans="1:25">
      <c r="A62" s="291"/>
      <c r="B62" s="238" t="s">
        <v>400</v>
      </c>
      <c r="C62" s="152">
        <f t="shared" ref="C62:R64" si="64">ROUND((C17+C36+C55)/3000,0)</f>
        <v>0</v>
      </c>
      <c r="D62" s="152">
        <f t="shared" si="64"/>
        <v>0</v>
      </c>
      <c r="E62" s="152">
        <f t="shared" si="64"/>
        <v>0</v>
      </c>
      <c r="F62" s="152">
        <f t="shared" si="64"/>
        <v>7</v>
      </c>
      <c r="G62" s="152">
        <f t="shared" si="64"/>
        <v>0</v>
      </c>
      <c r="H62" s="152">
        <f t="shared" si="64"/>
        <v>0</v>
      </c>
      <c r="I62" s="152">
        <f t="shared" si="64"/>
        <v>0</v>
      </c>
      <c r="J62" s="152">
        <f t="shared" si="64"/>
        <v>37</v>
      </c>
      <c r="K62" s="152">
        <f t="shared" si="64"/>
        <v>37</v>
      </c>
      <c r="L62" s="153">
        <f>SUM(C62:K62)</f>
        <v>81</v>
      </c>
      <c r="M62" s="152">
        <f t="shared" si="64"/>
        <v>43</v>
      </c>
      <c r="N62" s="152">
        <f t="shared" si="64"/>
        <v>0</v>
      </c>
      <c r="O62" s="152">
        <f t="shared" si="64"/>
        <v>0</v>
      </c>
      <c r="P62" s="153">
        <f t="shared" ref="P62:P64" si="65">SUM(M62:O62)</f>
        <v>43</v>
      </c>
      <c r="Q62" s="152">
        <f t="shared" si="64"/>
        <v>0</v>
      </c>
      <c r="R62" s="152">
        <f t="shared" si="64"/>
        <v>38</v>
      </c>
      <c r="S62" s="152">
        <f t="shared" si="63"/>
        <v>0</v>
      </c>
      <c r="T62" s="152">
        <f t="shared" si="63"/>
        <v>0</v>
      </c>
      <c r="U62" s="152">
        <f t="shared" si="63"/>
        <v>0</v>
      </c>
      <c r="V62" s="152">
        <f t="shared" si="63"/>
        <v>5</v>
      </c>
      <c r="W62" s="152">
        <f t="shared" si="63"/>
        <v>0</v>
      </c>
      <c r="X62" s="153">
        <f t="shared" ref="X62:X64" si="66">SUM(Q62:W62)</f>
        <v>43</v>
      </c>
      <c r="Y62" s="153">
        <f t="shared" ref="Y62:Y64" si="67">L62+P62+X62</f>
        <v>167</v>
      </c>
    </row>
    <row r="63" spans="1:25">
      <c r="A63" s="291"/>
      <c r="B63" s="238" t="s">
        <v>398</v>
      </c>
      <c r="C63" s="152">
        <f t="shared" si="64"/>
        <v>0</v>
      </c>
      <c r="D63" s="152">
        <f t="shared" si="64"/>
        <v>0</v>
      </c>
      <c r="E63" s="152">
        <f t="shared" si="64"/>
        <v>0</v>
      </c>
      <c r="F63" s="152">
        <f t="shared" si="64"/>
        <v>0</v>
      </c>
      <c r="G63" s="152">
        <f t="shared" si="64"/>
        <v>0</v>
      </c>
      <c r="H63" s="152">
        <f t="shared" si="64"/>
        <v>0</v>
      </c>
      <c r="I63" s="152">
        <f t="shared" si="64"/>
        <v>2</v>
      </c>
      <c r="J63" s="152">
        <f t="shared" si="64"/>
        <v>0</v>
      </c>
      <c r="K63" s="152">
        <f t="shared" si="64"/>
        <v>2365</v>
      </c>
      <c r="L63" s="153">
        <f>SUM(C63:K63)</f>
        <v>2367</v>
      </c>
      <c r="M63" s="152">
        <f t="shared" si="64"/>
        <v>0</v>
      </c>
      <c r="N63" s="152">
        <f t="shared" si="64"/>
        <v>55</v>
      </c>
      <c r="O63" s="152">
        <f t="shared" si="64"/>
        <v>4</v>
      </c>
      <c r="P63" s="153">
        <f t="shared" si="65"/>
        <v>59</v>
      </c>
      <c r="Q63" s="152">
        <f t="shared" si="64"/>
        <v>0</v>
      </c>
      <c r="R63" s="152">
        <f t="shared" si="64"/>
        <v>25</v>
      </c>
      <c r="S63" s="152">
        <f t="shared" si="63"/>
        <v>0</v>
      </c>
      <c r="T63" s="152">
        <f t="shared" si="63"/>
        <v>0</v>
      </c>
      <c r="U63" s="152">
        <f t="shared" si="63"/>
        <v>0</v>
      </c>
      <c r="V63" s="152">
        <f t="shared" si="63"/>
        <v>2</v>
      </c>
      <c r="W63" s="152">
        <f t="shared" si="63"/>
        <v>0</v>
      </c>
      <c r="X63" s="153">
        <f t="shared" si="66"/>
        <v>27</v>
      </c>
      <c r="Y63" s="153">
        <f t="shared" si="67"/>
        <v>2453</v>
      </c>
    </row>
    <row r="64" spans="1:25">
      <c r="A64" s="291"/>
      <c r="B64" s="239" t="s">
        <v>401</v>
      </c>
      <c r="C64" s="155">
        <f t="shared" si="64"/>
        <v>6</v>
      </c>
      <c r="D64" s="155">
        <f t="shared" si="64"/>
        <v>0</v>
      </c>
      <c r="E64" s="155">
        <f t="shared" si="64"/>
        <v>0</v>
      </c>
      <c r="F64" s="155">
        <f t="shared" si="64"/>
        <v>0</v>
      </c>
      <c r="G64" s="155">
        <f t="shared" si="64"/>
        <v>0</v>
      </c>
      <c r="H64" s="155">
        <f t="shared" si="64"/>
        <v>0</v>
      </c>
      <c r="I64" s="155">
        <f t="shared" si="64"/>
        <v>0</v>
      </c>
      <c r="J64" s="155">
        <f t="shared" si="64"/>
        <v>0</v>
      </c>
      <c r="K64" s="155">
        <f t="shared" si="64"/>
        <v>0</v>
      </c>
      <c r="L64" s="156">
        <f>SUM(C64:K64)</f>
        <v>6</v>
      </c>
      <c r="M64" s="155">
        <f t="shared" si="64"/>
        <v>0</v>
      </c>
      <c r="N64" s="155">
        <f t="shared" si="64"/>
        <v>0</v>
      </c>
      <c r="O64" s="155">
        <f t="shared" si="64"/>
        <v>0</v>
      </c>
      <c r="P64" s="156">
        <f t="shared" si="65"/>
        <v>0</v>
      </c>
      <c r="Q64" s="155">
        <f t="shared" si="64"/>
        <v>0</v>
      </c>
      <c r="R64" s="155">
        <f t="shared" si="64"/>
        <v>0</v>
      </c>
      <c r="S64" s="155">
        <f t="shared" si="63"/>
        <v>0</v>
      </c>
      <c r="T64" s="155">
        <f t="shared" si="63"/>
        <v>0</v>
      </c>
      <c r="U64" s="155">
        <f t="shared" si="63"/>
        <v>0</v>
      </c>
      <c r="V64" s="155">
        <f t="shared" si="63"/>
        <v>0</v>
      </c>
      <c r="W64" s="155">
        <f t="shared" si="63"/>
        <v>0</v>
      </c>
      <c r="X64" s="156">
        <f t="shared" si="66"/>
        <v>0</v>
      </c>
      <c r="Y64" s="156">
        <f t="shared" si="67"/>
        <v>6</v>
      </c>
    </row>
    <row r="65" spans="1:25">
      <c r="A65" s="292"/>
      <c r="B65" s="237" t="s">
        <v>35</v>
      </c>
      <c r="C65" s="155">
        <f>SUM(C61:C64)*0.7</f>
        <v>1155.6999999999998</v>
      </c>
      <c r="D65" s="155">
        <f t="shared" ref="D65:E65" si="68">SUM(D61:D64)*0.7</f>
        <v>338.09999999999997</v>
      </c>
      <c r="E65" s="155">
        <f t="shared" si="68"/>
        <v>429.09999999999997</v>
      </c>
      <c r="F65" s="155">
        <f>SUM(F61:F64)</f>
        <v>138</v>
      </c>
      <c r="G65" s="155">
        <f t="shared" ref="G65:M65" si="69">SUM(G61:G64)</f>
        <v>1398</v>
      </c>
      <c r="H65" s="155">
        <f t="shared" si="69"/>
        <v>709</v>
      </c>
      <c r="I65" s="155">
        <f t="shared" si="69"/>
        <v>2</v>
      </c>
      <c r="J65" s="155">
        <f t="shared" si="69"/>
        <v>639</v>
      </c>
      <c r="K65" s="155">
        <f t="shared" si="69"/>
        <v>2967</v>
      </c>
      <c r="L65" s="156">
        <f>SUM(C65:K65)</f>
        <v>7775.9</v>
      </c>
      <c r="M65" s="155">
        <f t="shared" si="69"/>
        <v>43</v>
      </c>
      <c r="N65" s="155">
        <f t="shared" ref="N65" si="70">SUM(N61:N64)</f>
        <v>531</v>
      </c>
      <c r="O65" s="155">
        <f t="shared" ref="O65:Q65" si="71">SUM(O61:O64)</f>
        <v>1250</v>
      </c>
      <c r="P65" s="156">
        <f t="shared" ref="P65" si="72">SUM(M65:O65)</f>
        <v>1824</v>
      </c>
      <c r="Q65" s="155">
        <f t="shared" si="71"/>
        <v>1058</v>
      </c>
      <c r="R65" s="155">
        <f t="shared" ref="R65" si="73">SUM(R61:R64)</f>
        <v>702</v>
      </c>
      <c r="S65" s="155">
        <f t="shared" ref="S65" si="74">SUM(S61:S64)</f>
        <v>547</v>
      </c>
      <c r="T65" s="155">
        <f t="shared" ref="T65" si="75">SUM(T61:T64)</f>
        <v>0</v>
      </c>
      <c r="U65" s="155">
        <f t="shared" ref="U65" si="76">SUM(U61:U64)</f>
        <v>0</v>
      </c>
      <c r="V65" s="155">
        <f t="shared" ref="V65" si="77">SUM(V61:V64)</f>
        <v>262</v>
      </c>
      <c r="W65" s="155">
        <f t="shared" ref="W65" si="78">SUM(W61:W64)</f>
        <v>0</v>
      </c>
      <c r="X65" s="156">
        <f t="shared" ref="X65" si="79">SUM(Q65:W65)</f>
        <v>2569</v>
      </c>
      <c r="Y65" s="156">
        <f t="shared" ref="Y65" si="80">L65+P65+X65</f>
        <v>12168.9</v>
      </c>
    </row>
    <row r="67" spans="1:25" ht="28.5">
      <c r="A67" s="248"/>
    </row>
    <row r="68" spans="1:25" ht="28.5">
      <c r="A68" s="248"/>
    </row>
  </sheetData>
  <mergeCells count="20">
    <mergeCell ref="A3:B3"/>
    <mergeCell ref="A22:B22"/>
    <mergeCell ref="A23:A26"/>
    <mergeCell ref="A4:A7"/>
    <mergeCell ref="A9:B9"/>
    <mergeCell ref="A10:A13"/>
    <mergeCell ref="A28:B28"/>
    <mergeCell ref="A29:A32"/>
    <mergeCell ref="A15:B15"/>
    <mergeCell ref="A16:A19"/>
    <mergeCell ref="A34:B34"/>
    <mergeCell ref="A35:A38"/>
    <mergeCell ref="A53:B53"/>
    <mergeCell ref="A54:A57"/>
    <mergeCell ref="A61:A65"/>
    <mergeCell ref="A47:B47"/>
    <mergeCell ref="A48:A51"/>
    <mergeCell ref="A41:B41"/>
    <mergeCell ref="A60:B60"/>
    <mergeCell ref="A42:A45"/>
  </mergeCells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79998168889431442"/>
    <pageSetUpPr fitToPage="1"/>
  </sheetPr>
  <dimension ref="A2:P45"/>
  <sheetViews>
    <sheetView view="pageBreakPreview" zoomScale="70" zoomScaleNormal="70" zoomScaleSheetLayoutView="70" workbookViewId="0">
      <pane xSplit="1" ySplit="4" topLeftCell="B5" activePane="bottomRight" state="frozen"/>
      <selection activeCell="S53" sqref="S53"/>
      <selection pane="topRight" activeCell="S53" sqref="S53"/>
      <selection pane="bottomLeft" activeCell="S53" sqref="S53"/>
      <selection pane="bottomRight" activeCell="G8" sqref="G8"/>
    </sheetView>
  </sheetViews>
  <sheetFormatPr defaultRowHeight="16.899999999999999"/>
  <cols>
    <col min="1" max="1" width="17.125" customWidth="1"/>
    <col min="2" max="2" width="15.625" bestFit="1" customWidth="1"/>
    <col min="3" max="5" width="25.625" customWidth="1"/>
    <col min="6" max="15" width="15.625" customWidth="1"/>
    <col min="16" max="16" width="18.625" customWidth="1"/>
  </cols>
  <sheetData>
    <row r="2" spans="1:16" ht="22.5">
      <c r="A2" s="4" t="s">
        <v>369</v>
      </c>
    </row>
    <row r="3" spans="1:16">
      <c r="L3" s="295" t="s">
        <v>40</v>
      </c>
      <c r="M3" s="295"/>
      <c r="N3" s="295"/>
      <c r="O3" s="295"/>
      <c r="P3" s="295"/>
    </row>
    <row r="4" spans="1:16" ht="24.95" customHeight="1">
      <c r="A4" s="213" t="s">
        <v>9</v>
      </c>
      <c r="B4" s="213" t="s">
        <v>1</v>
      </c>
      <c r="C4" s="213" t="s">
        <v>2</v>
      </c>
      <c r="D4" s="296" t="s">
        <v>62</v>
      </c>
      <c r="E4" s="297"/>
      <c r="F4" s="213" t="s">
        <v>11</v>
      </c>
      <c r="G4" s="213" t="s">
        <v>12</v>
      </c>
      <c r="H4" s="213" t="s">
        <v>13</v>
      </c>
      <c r="I4" s="213" t="s">
        <v>14</v>
      </c>
      <c r="J4" s="213" t="s">
        <v>15</v>
      </c>
      <c r="K4" s="213" t="s">
        <v>16</v>
      </c>
      <c r="L4" s="213" t="s">
        <v>122</v>
      </c>
      <c r="M4" s="213" t="s">
        <v>370</v>
      </c>
      <c r="N4" s="213" t="s">
        <v>371</v>
      </c>
      <c r="O4" s="213" t="s">
        <v>372</v>
      </c>
      <c r="P4" s="213" t="s">
        <v>129</v>
      </c>
    </row>
    <row r="5" spans="1:16" ht="24.95" customHeight="1">
      <c r="A5" s="266" t="s">
        <v>128</v>
      </c>
      <c r="B5" s="266" t="s">
        <v>373</v>
      </c>
      <c r="C5" s="293" t="s">
        <v>374</v>
      </c>
      <c r="D5" s="211" t="s">
        <v>116</v>
      </c>
      <c r="E5" s="211" t="s">
        <v>383</v>
      </c>
      <c r="F5" s="102">
        <v>13464274</v>
      </c>
      <c r="G5" s="102">
        <v>0</v>
      </c>
      <c r="H5" s="102">
        <v>3711251</v>
      </c>
      <c r="I5" s="102">
        <v>20754969</v>
      </c>
      <c r="J5" s="102">
        <v>3912000</v>
      </c>
      <c r="K5" s="102">
        <v>14191000</v>
      </c>
      <c r="L5" s="102">
        <v>2544486.8858492514</v>
      </c>
      <c r="M5" s="102">
        <v>2580364.1509397263</v>
      </c>
      <c r="N5" s="102">
        <v>0</v>
      </c>
      <c r="O5" s="103">
        <v>2653643.4221930746</v>
      </c>
      <c r="P5" s="22">
        <f>SUM(F5:O5)</f>
        <v>63811988.45898205</v>
      </c>
    </row>
    <row r="6" spans="1:16" ht="24.95" customHeight="1">
      <c r="A6" s="267"/>
      <c r="B6" s="267"/>
      <c r="C6" s="294"/>
      <c r="D6" s="211" t="s">
        <v>384</v>
      </c>
      <c r="E6" s="211" t="s">
        <v>385</v>
      </c>
      <c r="F6" s="102">
        <v>0</v>
      </c>
      <c r="G6" s="102">
        <v>0</v>
      </c>
      <c r="H6" s="102">
        <v>0</v>
      </c>
      <c r="I6" s="102">
        <v>0</v>
      </c>
      <c r="J6" s="102">
        <v>0</v>
      </c>
      <c r="K6" s="102">
        <v>128653171.79912311</v>
      </c>
      <c r="L6" s="102"/>
      <c r="M6" s="102"/>
      <c r="N6" s="102"/>
      <c r="O6" s="103"/>
      <c r="P6" s="22">
        <f t="shared" ref="P6:P26" si="0">SUM(F6:O6)</f>
        <v>128653171.79912311</v>
      </c>
    </row>
    <row r="7" spans="1:16" ht="24.95" customHeight="1">
      <c r="A7" s="266" t="s">
        <v>18</v>
      </c>
      <c r="B7" s="266" t="s">
        <v>375</v>
      </c>
      <c r="C7" s="293" t="s">
        <v>376</v>
      </c>
      <c r="D7" s="211" t="s">
        <v>116</v>
      </c>
      <c r="E7" s="211" t="s">
        <v>383</v>
      </c>
      <c r="F7" s="102">
        <v>2979631.8804465597</v>
      </c>
      <c r="G7" s="102">
        <v>0</v>
      </c>
      <c r="H7" s="102">
        <v>1757638.7599758944</v>
      </c>
      <c r="I7" s="102">
        <v>0</v>
      </c>
      <c r="J7" s="102">
        <v>1366436.3651317146</v>
      </c>
      <c r="K7" s="102">
        <v>0</v>
      </c>
      <c r="L7" s="102">
        <v>2169355.1479792376</v>
      </c>
      <c r="M7" s="102">
        <v>0</v>
      </c>
      <c r="N7" s="102">
        <v>1965921.44337021</v>
      </c>
      <c r="O7" s="103"/>
      <c r="P7" s="22">
        <f t="shared" si="0"/>
        <v>10238983.596903617</v>
      </c>
    </row>
    <row r="8" spans="1:16" ht="24.95" customHeight="1">
      <c r="A8" s="267"/>
      <c r="B8" s="267"/>
      <c r="C8" s="294"/>
      <c r="D8" s="211" t="s">
        <v>384</v>
      </c>
      <c r="E8" s="211" t="s">
        <v>385</v>
      </c>
      <c r="F8" s="102">
        <v>0</v>
      </c>
      <c r="G8" s="102">
        <v>8166058.9349500798</v>
      </c>
      <c r="H8" s="102">
        <v>0</v>
      </c>
      <c r="I8" s="102">
        <v>20511735.143005922</v>
      </c>
      <c r="J8" s="102">
        <v>0</v>
      </c>
      <c r="K8" s="102">
        <v>15548138.140135137</v>
      </c>
      <c r="L8" s="102">
        <v>0</v>
      </c>
      <c r="M8" s="102">
        <v>14618974.280145871</v>
      </c>
      <c r="N8" s="102"/>
      <c r="O8" s="103">
        <v>15475169.540617667</v>
      </c>
      <c r="P8" s="22">
        <f t="shared" si="0"/>
        <v>74320076.038854674</v>
      </c>
    </row>
    <row r="9" spans="1:16" ht="24.95" customHeight="1">
      <c r="A9" s="266" t="s">
        <v>19</v>
      </c>
      <c r="B9" s="266" t="s">
        <v>375</v>
      </c>
      <c r="C9" s="293" t="s">
        <v>376</v>
      </c>
      <c r="D9" s="211" t="s">
        <v>116</v>
      </c>
      <c r="E9" s="211" t="s">
        <v>383</v>
      </c>
      <c r="F9" s="102">
        <v>0</v>
      </c>
      <c r="G9" s="102">
        <v>2344558.79</v>
      </c>
      <c r="H9" s="102">
        <v>0</v>
      </c>
      <c r="I9" s="102">
        <v>2221335.98</v>
      </c>
      <c r="J9" s="102">
        <v>0</v>
      </c>
      <c r="K9" s="102">
        <v>2131639.19</v>
      </c>
      <c r="L9" s="102">
        <v>0</v>
      </c>
      <c r="M9" s="102">
        <v>2877388.46</v>
      </c>
      <c r="N9" s="102"/>
      <c r="O9" s="103">
        <v>2629104.4500000002</v>
      </c>
      <c r="P9" s="22">
        <f t="shared" si="0"/>
        <v>12204026.869999997</v>
      </c>
    </row>
    <row r="10" spans="1:16" ht="24.95" customHeight="1">
      <c r="A10" s="267"/>
      <c r="B10" s="267"/>
      <c r="C10" s="294"/>
      <c r="D10" s="211" t="s">
        <v>384</v>
      </c>
      <c r="E10" s="211" t="s">
        <v>385</v>
      </c>
      <c r="F10" s="102">
        <v>8831306.4000000004</v>
      </c>
      <c r="G10" s="102">
        <v>0</v>
      </c>
      <c r="H10" s="102">
        <v>20192025.619999997</v>
      </c>
      <c r="I10" s="102">
        <v>0</v>
      </c>
      <c r="J10" s="102">
        <v>14351328.440000001</v>
      </c>
      <c r="K10" s="102">
        <v>0</v>
      </c>
      <c r="L10" s="102">
        <v>17583681.170000002</v>
      </c>
      <c r="M10" s="102">
        <v>0</v>
      </c>
      <c r="N10" s="102">
        <v>10815126.379999999</v>
      </c>
      <c r="O10" s="103"/>
      <c r="P10" s="22">
        <f t="shared" si="0"/>
        <v>71773468.00999999</v>
      </c>
    </row>
    <row r="11" spans="1:16" ht="24.95" customHeight="1">
      <c r="A11" s="266" t="s">
        <v>20</v>
      </c>
      <c r="B11" s="266" t="s">
        <v>375</v>
      </c>
      <c r="C11" s="293" t="s">
        <v>377</v>
      </c>
      <c r="D11" s="211" t="s">
        <v>116</v>
      </c>
      <c r="E11" s="211" t="s">
        <v>383</v>
      </c>
      <c r="F11" s="102">
        <v>0</v>
      </c>
      <c r="G11" s="102">
        <v>713808</v>
      </c>
      <c r="H11" s="102">
        <v>0</v>
      </c>
      <c r="I11" s="102">
        <v>0</v>
      </c>
      <c r="J11" s="102">
        <v>0</v>
      </c>
      <c r="K11" s="102">
        <v>0</v>
      </c>
      <c r="L11" s="102">
        <v>788102</v>
      </c>
      <c r="M11" s="102">
        <v>0</v>
      </c>
      <c r="N11" s="102">
        <v>0</v>
      </c>
      <c r="O11" s="103">
        <v>0</v>
      </c>
      <c r="P11" s="22">
        <f t="shared" si="0"/>
        <v>1501910</v>
      </c>
    </row>
    <row r="12" spans="1:16" ht="24.95" customHeight="1">
      <c r="A12" s="267"/>
      <c r="B12" s="267"/>
      <c r="C12" s="294"/>
      <c r="D12" s="211" t="s">
        <v>384</v>
      </c>
      <c r="E12" s="211" t="s">
        <v>385</v>
      </c>
      <c r="F12" s="102">
        <v>465841</v>
      </c>
      <c r="G12" s="102">
        <v>0</v>
      </c>
      <c r="H12" s="102">
        <v>0</v>
      </c>
      <c r="I12" s="102">
        <v>0</v>
      </c>
      <c r="J12" s="102">
        <v>0</v>
      </c>
      <c r="K12" s="102">
        <v>0</v>
      </c>
      <c r="L12" s="102">
        <v>0</v>
      </c>
      <c r="M12" s="102">
        <v>0</v>
      </c>
      <c r="N12" s="102">
        <v>0</v>
      </c>
      <c r="O12" s="103">
        <v>0</v>
      </c>
      <c r="P12" s="22">
        <f t="shared" si="0"/>
        <v>465841</v>
      </c>
    </row>
    <row r="13" spans="1:16" ht="24.95" customHeight="1">
      <c r="A13" s="266" t="s">
        <v>25</v>
      </c>
      <c r="B13" s="266" t="s">
        <v>375</v>
      </c>
      <c r="C13" s="293" t="s">
        <v>377</v>
      </c>
      <c r="D13" s="211" t="s">
        <v>116</v>
      </c>
      <c r="E13" s="211" t="s">
        <v>383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1006718</v>
      </c>
      <c r="N13" s="102">
        <v>0</v>
      </c>
      <c r="O13" s="103">
        <v>0</v>
      </c>
      <c r="P13" s="22">
        <f t="shared" si="0"/>
        <v>1006718</v>
      </c>
    </row>
    <row r="14" spans="1:16" ht="24.95" customHeight="1">
      <c r="A14" s="267"/>
      <c r="B14" s="267"/>
      <c r="C14" s="294"/>
      <c r="D14" s="211" t="s">
        <v>384</v>
      </c>
      <c r="E14" s="211" t="s">
        <v>385</v>
      </c>
      <c r="F14" s="102"/>
      <c r="G14" s="102">
        <v>0</v>
      </c>
      <c r="H14" s="102">
        <v>714810.6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3">
        <v>0</v>
      </c>
      <c r="P14" s="22">
        <f t="shared" si="0"/>
        <v>714810.6</v>
      </c>
    </row>
    <row r="15" spans="1:16" ht="24.95" customHeight="1">
      <c r="A15" s="266" t="s">
        <v>3</v>
      </c>
      <c r="B15" s="266" t="s">
        <v>375</v>
      </c>
      <c r="C15" s="293" t="s">
        <v>378</v>
      </c>
      <c r="D15" s="211" t="s">
        <v>116</v>
      </c>
      <c r="E15" s="211" t="s">
        <v>383</v>
      </c>
      <c r="F15" s="245">
        <v>1240346</v>
      </c>
      <c r="G15" s="245">
        <v>63728</v>
      </c>
      <c r="H15" s="102">
        <v>0</v>
      </c>
      <c r="I15" s="245">
        <v>1547585.0914885576</v>
      </c>
      <c r="J15" s="102">
        <v>0</v>
      </c>
      <c r="K15" s="245">
        <v>812908.90973388194</v>
      </c>
      <c r="L15" s="245">
        <v>0</v>
      </c>
      <c r="M15" s="102">
        <v>0</v>
      </c>
      <c r="N15" s="102">
        <v>0</v>
      </c>
      <c r="O15" s="103">
        <v>0</v>
      </c>
      <c r="P15" s="22">
        <f t="shared" si="0"/>
        <v>3664568.00122244</v>
      </c>
    </row>
    <row r="16" spans="1:16" ht="24.95" customHeight="1">
      <c r="A16" s="267"/>
      <c r="B16" s="267"/>
      <c r="C16" s="294"/>
      <c r="D16" s="211" t="s">
        <v>384</v>
      </c>
      <c r="E16" s="211" t="s">
        <v>385</v>
      </c>
      <c r="F16" s="102">
        <v>0</v>
      </c>
      <c r="G16" s="245">
        <v>8182782.947771118</v>
      </c>
      <c r="H16" s="245">
        <v>175098.99647942054</v>
      </c>
      <c r="I16" s="102">
        <v>0</v>
      </c>
      <c r="J16" s="245">
        <v>13568719.345344547</v>
      </c>
      <c r="K16" s="245">
        <v>0</v>
      </c>
      <c r="L16" s="102">
        <v>0</v>
      </c>
      <c r="M16" s="245">
        <v>5221976.5182991689</v>
      </c>
      <c r="N16" s="102">
        <v>0</v>
      </c>
      <c r="O16" s="245">
        <v>3412830.1154595655</v>
      </c>
      <c r="P16" s="22">
        <f t="shared" si="0"/>
        <v>30561407.923353821</v>
      </c>
    </row>
    <row r="17" spans="1:16" ht="24.95" customHeight="1">
      <c r="A17" s="266" t="s">
        <v>5</v>
      </c>
      <c r="B17" s="266" t="s">
        <v>379</v>
      </c>
      <c r="C17" s="293" t="s">
        <v>380</v>
      </c>
      <c r="D17" s="211" t="s">
        <v>116</v>
      </c>
      <c r="E17" s="211" t="s">
        <v>383</v>
      </c>
      <c r="F17" s="102">
        <v>1576444.9585229298</v>
      </c>
      <c r="G17" s="102">
        <v>0</v>
      </c>
      <c r="H17" s="102">
        <v>0</v>
      </c>
      <c r="I17" s="102">
        <v>0</v>
      </c>
      <c r="J17" s="102">
        <v>0</v>
      </c>
      <c r="K17" s="102">
        <v>2011987.6348588923</v>
      </c>
      <c r="L17" s="102">
        <v>0</v>
      </c>
      <c r="M17" s="102">
        <v>0</v>
      </c>
      <c r="N17" s="102">
        <v>0</v>
      </c>
      <c r="O17" s="103">
        <v>0</v>
      </c>
      <c r="P17" s="22">
        <f t="shared" si="0"/>
        <v>3588432.5933818221</v>
      </c>
    </row>
    <row r="18" spans="1:16" ht="24.95" customHeight="1">
      <c r="A18" s="267"/>
      <c r="B18" s="267"/>
      <c r="C18" s="294"/>
      <c r="D18" s="211" t="s">
        <v>384</v>
      </c>
      <c r="E18" s="211" t="s">
        <v>385</v>
      </c>
      <c r="F18" s="102">
        <v>0</v>
      </c>
      <c r="G18" s="102">
        <v>591826</v>
      </c>
      <c r="H18" s="102">
        <v>0</v>
      </c>
      <c r="I18" s="102">
        <v>0</v>
      </c>
      <c r="J18" s="102">
        <v>0</v>
      </c>
      <c r="K18" s="102">
        <v>0</v>
      </c>
      <c r="L18" s="102">
        <v>0</v>
      </c>
      <c r="M18" s="102">
        <v>0</v>
      </c>
      <c r="N18" s="102">
        <v>0</v>
      </c>
      <c r="O18" s="103">
        <v>0</v>
      </c>
      <c r="P18" s="22">
        <f t="shared" si="0"/>
        <v>591826</v>
      </c>
    </row>
    <row r="19" spans="1:16" ht="24.95" customHeight="1">
      <c r="A19" s="298" t="s">
        <v>22</v>
      </c>
      <c r="B19" s="266" t="s">
        <v>375</v>
      </c>
      <c r="C19" s="293" t="s">
        <v>381</v>
      </c>
      <c r="D19" s="211" t="s">
        <v>116</v>
      </c>
      <c r="E19" s="211" t="s">
        <v>383</v>
      </c>
      <c r="F19" s="102">
        <v>0</v>
      </c>
      <c r="G19" s="102">
        <v>0</v>
      </c>
      <c r="H19" s="245">
        <v>6636168.6848421404</v>
      </c>
      <c r="I19" s="102"/>
      <c r="J19" s="102">
        <v>0</v>
      </c>
      <c r="K19" s="102">
        <v>0</v>
      </c>
      <c r="L19" s="102">
        <v>7042355.2977039581</v>
      </c>
      <c r="M19" s="102">
        <v>0</v>
      </c>
      <c r="N19" s="102">
        <v>0</v>
      </c>
      <c r="O19" s="103">
        <v>0</v>
      </c>
      <c r="P19" s="22">
        <f t="shared" si="0"/>
        <v>13678523.982546099</v>
      </c>
    </row>
    <row r="20" spans="1:16" ht="24.95" customHeight="1">
      <c r="A20" s="299"/>
      <c r="B20" s="267"/>
      <c r="C20" s="294"/>
      <c r="D20" s="211" t="s">
        <v>384</v>
      </c>
      <c r="E20" s="211" t="s">
        <v>385</v>
      </c>
      <c r="F20" s="102">
        <v>0</v>
      </c>
      <c r="G20" s="102">
        <v>0</v>
      </c>
      <c r="H20" s="102">
        <v>0</v>
      </c>
      <c r="I20" s="102">
        <v>0</v>
      </c>
      <c r="J20" s="102">
        <v>0</v>
      </c>
      <c r="K20" s="102">
        <v>0</v>
      </c>
      <c r="L20" s="102"/>
      <c r="M20" s="102">
        <v>0</v>
      </c>
      <c r="N20" s="102">
        <v>20343961.233685534</v>
      </c>
      <c r="O20" s="103">
        <v>0</v>
      </c>
      <c r="P20" s="22">
        <f t="shared" si="0"/>
        <v>20343961.233685534</v>
      </c>
    </row>
    <row r="21" spans="1:16" ht="24.95" customHeight="1">
      <c r="A21" s="298" t="s">
        <v>23</v>
      </c>
      <c r="B21" s="266" t="s">
        <v>375</v>
      </c>
      <c r="C21" s="293" t="s">
        <v>381</v>
      </c>
      <c r="D21" s="211" t="s">
        <v>116</v>
      </c>
      <c r="E21" s="211" t="s">
        <v>383</v>
      </c>
      <c r="F21" s="102">
        <v>0</v>
      </c>
      <c r="G21" s="102">
        <v>0</v>
      </c>
      <c r="H21" s="102">
        <v>0</v>
      </c>
      <c r="I21" s="102">
        <v>0</v>
      </c>
      <c r="J21" s="102">
        <v>6575495</v>
      </c>
      <c r="K21" s="102">
        <v>0</v>
      </c>
      <c r="L21" s="102">
        <v>0</v>
      </c>
      <c r="M21" s="102">
        <v>6977968</v>
      </c>
      <c r="N21" s="102">
        <v>0</v>
      </c>
      <c r="O21" s="103">
        <v>0</v>
      </c>
      <c r="P21" s="22">
        <f t="shared" si="0"/>
        <v>13553463</v>
      </c>
    </row>
    <row r="22" spans="1:16" ht="24.95" customHeight="1">
      <c r="A22" s="299"/>
      <c r="B22" s="267"/>
      <c r="C22" s="294"/>
      <c r="D22" s="211" t="s">
        <v>384</v>
      </c>
      <c r="E22" s="211" t="s">
        <v>385</v>
      </c>
      <c r="F22" s="102">
        <v>0</v>
      </c>
      <c r="G22" s="102"/>
      <c r="H22" s="102">
        <v>0</v>
      </c>
      <c r="I22" s="102">
        <v>17899691</v>
      </c>
      <c r="J22" s="102">
        <v>0</v>
      </c>
      <c r="K22" s="102">
        <v>0</v>
      </c>
      <c r="L22" s="102">
        <v>0</v>
      </c>
      <c r="M22" s="102">
        <v>0</v>
      </c>
      <c r="N22" s="102">
        <v>0</v>
      </c>
      <c r="O22" s="103">
        <v>0</v>
      </c>
      <c r="P22" s="22">
        <f t="shared" si="0"/>
        <v>17899691</v>
      </c>
    </row>
    <row r="23" spans="1:16" ht="24.95" customHeight="1">
      <c r="A23" s="298" t="s">
        <v>7</v>
      </c>
      <c r="B23" s="266" t="s">
        <v>375</v>
      </c>
      <c r="C23" s="293" t="s">
        <v>382</v>
      </c>
      <c r="D23" s="211" t="s">
        <v>116</v>
      </c>
      <c r="E23" s="211" t="s">
        <v>383</v>
      </c>
      <c r="F23" s="102">
        <v>0</v>
      </c>
      <c r="G23" s="102">
        <v>0</v>
      </c>
      <c r="H23" s="102">
        <v>4336621.7192379562</v>
      </c>
      <c r="I23" s="102">
        <v>0</v>
      </c>
      <c r="J23" s="102">
        <v>0</v>
      </c>
      <c r="K23" s="102">
        <v>0</v>
      </c>
      <c r="L23" s="102">
        <v>0</v>
      </c>
      <c r="M23" s="102">
        <v>0</v>
      </c>
      <c r="N23" s="102">
        <v>0</v>
      </c>
      <c r="O23" s="103">
        <v>0</v>
      </c>
      <c r="P23" s="22">
        <f t="shared" si="0"/>
        <v>4336621.7192379562</v>
      </c>
    </row>
    <row r="24" spans="1:16" ht="24.95" customHeight="1">
      <c r="A24" s="299"/>
      <c r="B24" s="267"/>
      <c r="C24" s="294"/>
      <c r="D24" s="211" t="s">
        <v>384</v>
      </c>
      <c r="E24" s="211" t="s">
        <v>385</v>
      </c>
      <c r="F24" s="102">
        <v>0</v>
      </c>
      <c r="G24" s="102">
        <v>0</v>
      </c>
      <c r="H24" s="102">
        <v>0</v>
      </c>
      <c r="I24" s="102">
        <v>0</v>
      </c>
      <c r="J24" s="102">
        <v>0</v>
      </c>
      <c r="K24" s="102">
        <v>0</v>
      </c>
      <c r="L24" s="102">
        <v>0</v>
      </c>
      <c r="M24" s="102">
        <v>12273153.2971802</v>
      </c>
      <c r="N24" s="102">
        <v>0</v>
      </c>
      <c r="O24" s="103">
        <v>0</v>
      </c>
      <c r="P24" s="22">
        <f t="shared" si="0"/>
        <v>12273153.2971802</v>
      </c>
    </row>
    <row r="25" spans="1:16" ht="24.95" customHeight="1">
      <c r="A25" s="298" t="s">
        <v>21</v>
      </c>
      <c r="B25" s="266" t="s">
        <v>375</v>
      </c>
      <c r="C25" s="293" t="s">
        <v>382</v>
      </c>
      <c r="D25" s="211" t="s">
        <v>116</v>
      </c>
      <c r="E25" s="211" t="s">
        <v>383</v>
      </c>
      <c r="F25" s="102">
        <v>0</v>
      </c>
      <c r="G25" s="102">
        <v>0</v>
      </c>
      <c r="H25" s="102">
        <v>0</v>
      </c>
      <c r="I25" s="102">
        <v>0</v>
      </c>
      <c r="J25" s="102">
        <v>0</v>
      </c>
      <c r="K25" s="102">
        <v>0</v>
      </c>
      <c r="L25" s="102">
        <v>0</v>
      </c>
      <c r="M25" s="102">
        <v>0</v>
      </c>
      <c r="N25" s="102">
        <v>1524682.5396</v>
      </c>
      <c r="O25" s="103">
        <v>0</v>
      </c>
      <c r="P25" s="22">
        <f t="shared" si="0"/>
        <v>1524682.5396</v>
      </c>
    </row>
    <row r="26" spans="1:16" ht="24.95" customHeight="1">
      <c r="A26" s="299"/>
      <c r="B26" s="267"/>
      <c r="C26" s="294"/>
      <c r="D26" s="211" t="s">
        <v>384</v>
      </c>
      <c r="E26" s="211" t="s">
        <v>385</v>
      </c>
      <c r="F26" s="102">
        <v>0</v>
      </c>
      <c r="G26" s="102">
        <v>0</v>
      </c>
      <c r="H26" s="102">
        <v>15663481.5678</v>
      </c>
      <c r="I26" s="102">
        <v>0</v>
      </c>
      <c r="J26" s="102">
        <v>0</v>
      </c>
      <c r="K26" s="102">
        <v>0</v>
      </c>
      <c r="L26" s="102">
        <v>0</v>
      </c>
      <c r="M26" s="102">
        <v>0</v>
      </c>
      <c r="N26" s="102">
        <v>0</v>
      </c>
      <c r="O26" s="103">
        <v>0</v>
      </c>
      <c r="P26" s="22">
        <f t="shared" si="0"/>
        <v>15663481.5678</v>
      </c>
    </row>
    <row r="28" spans="1:16" ht="21" thickBot="1">
      <c r="A28" s="24" t="s">
        <v>386</v>
      </c>
      <c r="B28" s="23"/>
      <c r="C28" s="23"/>
      <c r="D28" s="23"/>
    </row>
    <row r="29" spans="1:16" ht="21" thickBot="1">
      <c r="A29" s="24" t="s">
        <v>387</v>
      </c>
      <c r="B29" s="25"/>
      <c r="C29" s="23"/>
      <c r="D29" s="23"/>
      <c r="F29" s="104" t="s">
        <v>388</v>
      </c>
      <c r="G29" s="105">
        <v>1.05</v>
      </c>
    </row>
    <row r="30" spans="1:16" ht="20.65">
      <c r="A30" s="24" t="s">
        <v>389</v>
      </c>
      <c r="B30" s="26"/>
      <c r="C30" s="23"/>
      <c r="D30" s="23"/>
    </row>
    <row r="31" spans="1:16" ht="20.65">
      <c r="A31" s="24" t="s">
        <v>390</v>
      </c>
      <c r="B31" s="27"/>
      <c r="C31" s="27"/>
      <c r="D31" s="27"/>
      <c r="E31" s="28"/>
      <c r="F31" s="28"/>
      <c r="G31" s="28"/>
      <c r="H31" s="28"/>
    </row>
    <row r="32" spans="1:16" ht="20.65">
      <c r="A32" s="24" t="s">
        <v>391</v>
      </c>
      <c r="B32" s="29"/>
      <c r="C32" s="29"/>
      <c r="D32" s="29"/>
      <c r="E32" s="30"/>
      <c r="F32" s="30"/>
      <c r="G32" s="30"/>
      <c r="H32" s="30"/>
    </row>
    <row r="33" spans="1:8" ht="20.65">
      <c r="A33" s="24" t="s">
        <v>392</v>
      </c>
      <c r="B33" s="46"/>
      <c r="C33" s="46"/>
      <c r="D33" s="46"/>
      <c r="E33" s="47"/>
      <c r="F33" s="47"/>
      <c r="G33" s="47"/>
      <c r="H33" s="47"/>
    </row>
    <row r="34" spans="1:8" ht="20.65">
      <c r="A34" s="24"/>
      <c r="B34" s="48"/>
      <c r="C34" s="48"/>
      <c r="D34" s="48"/>
      <c r="E34" s="49"/>
    </row>
    <row r="35" spans="1:8" ht="20.65">
      <c r="A35" s="24"/>
      <c r="B35" s="23"/>
      <c r="C35" s="23"/>
      <c r="D35" s="23"/>
    </row>
    <row r="36" spans="1:8" ht="20.65">
      <c r="A36" s="24"/>
      <c r="B36" s="23"/>
      <c r="C36" s="23"/>
      <c r="D36" s="23"/>
    </row>
    <row r="37" spans="1:8" ht="20.65">
      <c r="A37" s="24"/>
      <c r="B37" s="23"/>
      <c r="C37" s="23"/>
      <c r="D37" s="23"/>
    </row>
    <row r="38" spans="1:8" ht="20.65">
      <c r="A38" s="24"/>
      <c r="B38" s="23"/>
      <c r="C38" s="23"/>
      <c r="D38" s="23"/>
    </row>
    <row r="39" spans="1:8" ht="20.65">
      <c r="A39" s="23"/>
      <c r="B39" s="23"/>
      <c r="C39" s="23"/>
      <c r="D39" s="23"/>
    </row>
    <row r="40" spans="1:8" ht="20.65">
      <c r="A40" s="23"/>
      <c r="B40" s="23"/>
      <c r="C40" s="23"/>
      <c r="D40" s="23"/>
    </row>
    <row r="41" spans="1:8" ht="20.65">
      <c r="A41" s="23"/>
      <c r="B41" s="23"/>
      <c r="C41" s="23"/>
      <c r="D41" s="23"/>
    </row>
    <row r="42" spans="1:8" ht="20.65">
      <c r="A42" s="23"/>
      <c r="B42" s="23"/>
      <c r="C42" s="23"/>
      <c r="D42" s="23"/>
    </row>
    <row r="43" spans="1:8" ht="20.65">
      <c r="A43" s="23"/>
      <c r="B43" s="23"/>
      <c r="C43" s="23"/>
      <c r="D43" s="23"/>
    </row>
    <row r="44" spans="1:8" ht="20.65">
      <c r="A44" s="23"/>
      <c r="B44" s="23"/>
      <c r="C44" s="23"/>
      <c r="D44" s="23"/>
    </row>
    <row r="45" spans="1:8" ht="20.65">
      <c r="A45" s="23"/>
      <c r="B45" s="23"/>
      <c r="C45" s="23"/>
      <c r="D45" s="23"/>
    </row>
  </sheetData>
  <autoFilter ref="A4:P24">
    <filterColumn colId="3" showButton="0"/>
  </autoFilter>
  <mergeCells count="35">
    <mergeCell ref="A25:A26"/>
    <mergeCell ref="B25:B26"/>
    <mergeCell ref="C25:C26"/>
    <mergeCell ref="A21:A22"/>
    <mergeCell ref="B21:B22"/>
    <mergeCell ref="C21:C22"/>
    <mergeCell ref="A23:A24"/>
    <mergeCell ref="B23:B24"/>
    <mergeCell ref="C23:C24"/>
    <mergeCell ref="A17:A18"/>
    <mergeCell ref="B17:B18"/>
    <mergeCell ref="C17:C18"/>
    <mergeCell ref="A19:A20"/>
    <mergeCell ref="B19:B20"/>
    <mergeCell ref="C19:C20"/>
    <mergeCell ref="A13:A14"/>
    <mergeCell ref="B13:B14"/>
    <mergeCell ref="C13:C14"/>
    <mergeCell ref="A15:A16"/>
    <mergeCell ref="B15:B16"/>
    <mergeCell ref="C15:C16"/>
    <mergeCell ref="A9:A10"/>
    <mergeCell ref="B9:B10"/>
    <mergeCell ref="C9:C10"/>
    <mergeCell ref="A11:A12"/>
    <mergeCell ref="B11:B12"/>
    <mergeCell ref="C11:C12"/>
    <mergeCell ref="A7:A8"/>
    <mergeCell ref="B7:B8"/>
    <mergeCell ref="C7:C8"/>
    <mergeCell ref="L3:P3"/>
    <mergeCell ref="D4:E4"/>
    <mergeCell ref="A5:A6"/>
    <mergeCell ref="B5:B6"/>
    <mergeCell ref="C5:C6"/>
  </mergeCells>
  <phoneticPr fontId="1" type="noConversion"/>
  <pageMargins left="0.7" right="0.7" top="0.75" bottom="0.75" header="0.3" footer="0.3"/>
  <pageSetup paperSize="8" scale="62" fitToHeight="0" orientation="landscape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79998168889431442"/>
  </sheetPr>
  <dimension ref="A1:AF52"/>
  <sheetViews>
    <sheetView zoomScaleNormal="100" workbookViewId="0">
      <pane xSplit="2" ySplit="3" topLeftCell="C4" activePane="bottomRight" state="frozen"/>
      <selection activeCell="S53" sqref="S53"/>
      <selection pane="topRight" activeCell="S53" sqref="S53"/>
      <selection pane="bottomLeft" activeCell="S53" sqref="S53"/>
      <selection pane="bottomRight" activeCell="O4" sqref="O4"/>
    </sheetView>
  </sheetViews>
  <sheetFormatPr defaultColWidth="9" defaultRowHeight="16.899999999999999"/>
  <cols>
    <col min="1" max="1" width="18.375" style="85" customWidth="1"/>
    <col min="2" max="2" width="15" style="85" customWidth="1"/>
    <col min="3" max="3" width="10.75" style="85" customWidth="1"/>
    <col min="4" max="4" width="9.75" style="85" hidden="1" customWidth="1"/>
    <col min="5" max="5" width="12.875" style="85" hidden="1" customWidth="1"/>
    <col min="6" max="6" width="9" style="85"/>
    <col min="7" max="7" width="9" style="85" hidden="1" customWidth="1"/>
    <col min="8" max="8" width="14" style="85" hidden="1" customWidth="1"/>
    <col min="9" max="9" width="9" style="85"/>
    <col min="10" max="10" width="9" style="85" hidden="1" customWidth="1"/>
    <col min="11" max="11" width="12.625" style="85" hidden="1" customWidth="1"/>
    <col min="12" max="12" width="9" style="85"/>
    <col min="13" max="13" width="9" style="85" hidden="1" customWidth="1"/>
    <col min="14" max="14" width="12.875" style="85" hidden="1" customWidth="1"/>
    <col min="15" max="15" width="9" style="85"/>
    <col min="16" max="16" width="9.75" style="85" hidden="1" customWidth="1"/>
    <col min="17" max="17" width="12.625" style="85" hidden="1" customWidth="1"/>
    <col min="18" max="18" width="9" style="85"/>
    <col min="19" max="19" width="9" style="85" hidden="1" customWidth="1"/>
    <col min="20" max="20" width="12.625" style="85" hidden="1" customWidth="1"/>
    <col min="21" max="21" width="9" style="85"/>
    <col min="22" max="22" width="9.75" style="85" hidden="1" customWidth="1"/>
    <col min="23" max="23" width="12.625" style="85" hidden="1" customWidth="1"/>
    <col min="24" max="24" width="9" style="85"/>
    <col min="25" max="25" width="9" style="85" hidden="1" customWidth="1"/>
    <col min="26" max="26" width="12.625" style="85" hidden="1" customWidth="1"/>
    <col min="27" max="27" width="9" style="85"/>
    <col min="28" max="28" width="9.75" style="85" hidden="1" customWidth="1"/>
    <col min="29" max="29" width="12.625" style="85" hidden="1" customWidth="1"/>
    <col min="30" max="30" width="9" style="85"/>
    <col min="31" max="31" width="9.75" style="85" hidden="1" customWidth="1"/>
    <col min="32" max="32" width="12.625" style="85" hidden="1" customWidth="1"/>
    <col min="33" max="16384" width="9" style="85"/>
  </cols>
  <sheetData>
    <row r="1" spans="1:32" ht="17.25" customHeight="1">
      <c r="A1" s="302" t="s">
        <v>198</v>
      </c>
      <c r="B1" s="302"/>
      <c r="C1" s="300">
        <v>2026</v>
      </c>
      <c r="D1" s="300"/>
      <c r="E1" s="300"/>
      <c r="F1" s="300">
        <v>2027</v>
      </c>
      <c r="G1" s="300"/>
      <c r="H1" s="300"/>
      <c r="I1" s="300">
        <v>2028</v>
      </c>
      <c r="J1" s="300"/>
      <c r="K1" s="300"/>
      <c r="L1" s="300">
        <v>2029</v>
      </c>
      <c r="M1" s="300"/>
      <c r="N1" s="300"/>
      <c r="O1" s="300">
        <v>2030</v>
      </c>
      <c r="P1" s="300"/>
      <c r="Q1" s="300"/>
      <c r="R1" s="300">
        <v>2031</v>
      </c>
      <c r="S1" s="300"/>
      <c r="T1" s="300"/>
      <c r="U1" s="300">
        <v>2032</v>
      </c>
      <c r="V1" s="300"/>
      <c r="W1" s="300"/>
      <c r="X1" s="300">
        <v>2033</v>
      </c>
      <c r="Y1" s="300"/>
      <c r="Z1" s="300"/>
      <c r="AA1" s="300">
        <v>2034</v>
      </c>
      <c r="AB1" s="300"/>
      <c r="AC1" s="300"/>
      <c r="AD1" s="300">
        <v>2035</v>
      </c>
      <c r="AE1" s="300"/>
      <c r="AF1" s="300"/>
    </row>
    <row r="2" spans="1:32" ht="19.149999999999999">
      <c r="A2" s="303"/>
      <c r="B2" s="303"/>
      <c r="C2" s="300" t="s">
        <v>42</v>
      </c>
      <c r="D2" s="300"/>
      <c r="E2" s="300"/>
      <c r="F2" s="300" t="s">
        <v>42</v>
      </c>
      <c r="G2" s="300"/>
      <c r="H2" s="300"/>
      <c r="I2" s="300" t="s">
        <v>42</v>
      </c>
      <c r="J2" s="300"/>
      <c r="K2" s="300"/>
      <c r="L2" s="300" t="s">
        <v>42</v>
      </c>
      <c r="M2" s="300"/>
      <c r="N2" s="300"/>
      <c r="O2" s="300" t="s">
        <v>42</v>
      </c>
      <c r="P2" s="300"/>
      <c r="Q2" s="300"/>
      <c r="R2" s="300" t="s">
        <v>42</v>
      </c>
      <c r="S2" s="300"/>
      <c r="T2" s="300"/>
      <c r="U2" s="300" t="s">
        <v>42</v>
      </c>
      <c r="V2" s="300"/>
      <c r="W2" s="300"/>
      <c r="X2" s="300" t="s">
        <v>42</v>
      </c>
      <c r="Y2" s="300"/>
      <c r="Z2" s="300"/>
      <c r="AA2" s="300" t="s">
        <v>42</v>
      </c>
      <c r="AB2" s="300"/>
      <c r="AC2" s="300"/>
      <c r="AD2" s="300" t="s">
        <v>42</v>
      </c>
      <c r="AE2" s="300"/>
      <c r="AF2" s="300"/>
    </row>
    <row r="3" spans="1:32" ht="19.149999999999999">
      <c r="A3" s="303"/>
      <c r="B3" s="303"/>
      <c r="C3" s="198" t="s">
        <v>43</v>
      </c>
      <c r="D3" s="198" t="s">
        <v>44</v>
      </c>
      <c r="E3" s="198" t="s">
        <v>153</v>
      </c>
      <c r="F3" s="198" t="s">
        <v>43</v>
      </c>
      <c r="G3" s="198" t="s">
        <v>44</v>
      </c>
      <c r="H3" s="198" t="s">
        <v>153</v>
      </c>
      <c r="I3" s="198" t="s">
        <v>43</v>
      </c>
      <c r="J3" s="198" t="s">
        <v>44</v>
      </c>
      <c r="K3" s="198" t="s">
        <v>153</v>
      </c>
      <c r="L3" s="198" t="s">
        <v>43</v>
      </c>
      <c r="M3" s="198" t="s">
        <v>44</v>
      </c>
      <c r="N3" s="198" t="s">
        <v>153</v>
      </c>
      <c r="O3" s="198" t="s">
        <v>43</v>
      </c>
      <c r="P3" s="198" t="s">
        <v>44</v>
      </c>
      <c r="Q3" s="198" t="s">
        <v>153</v>
      </c>
      <c r="R3" s="198" t="s">
        <v>43</v>
      </c>
      <c r="S3" s="198" t="s">
        <v>44</v>
      </c>
      <c r="T3" s="198" t="s">
        <v>153</v>
      </c>
      <c r="U3" s="198" t="s">
        <v>43</v>
      </c>
      <c r="V3" s="198" t="s">
        <v>44</v>
      </c>
      <c r="W3" s="198" t="s">
        <v>153</v>
      </c>
      <c r="X3" s="198" t="s">
        <v>43</v>
      </c>
      <c r="Y3" s="198" t="s">
        <v>44</v>
      </c>
      <c r="Z3" s="198" t="s">
        <v>153</v>
      </c>
      <c r="AA3" s="198" t="s">
        <v>43</v>
      </c>
      <c r="AB3" s="198" t="s">
        <v>44</v>
      </c>
      <c r="AC3" s="198" t="s">
        <v>153</v>
      </c>
      <c r="AD3" s="198" t="s">
        <v>43</v>
      </c>
      <c r="AE3" s="198" t="s">
        <v>44</v>
      </c>
      <c r="AF3" s="198" t="s">
        <v>153</v>
      </c>
    </row>
    <row r="4" spans="1:32" ht="19.149999999999999">
      <c r="A4" s="301" t="s">
        <v>45</v>
      </c>
      <c r="B4" s="301"/>
      <c r="C4" s="190" t="s">
        <v>46</v>
      </c>
      <c r="D4" s="190" t="s">
        <v>47</v>
      </c>
      <c r="E4" s="190" t="s">
        <v>283</v>
      </c>
      <c r="F4" s="191" t="s">
        <v>48</v>
      </c>
      <c r="G4" s="190" t="s">
        <v>49</v>
      </c>
      <c r="H4" s="190" t="s">
        <v>156</v>
      </c>
      <c r="I4" s="190" t="s">
        <v>46</v>
      </c>
      <c r="J4" s="190" t="s">
        <v>47</v>
      </c>
      <c r="K4" s="190" t="s">
        <v>154</v>
      </c>
      <c r="L4" s="191" t="s">
        <v>48</v>
      </c>
      <c r="M4" s="190" t="s">
        <v>49</v>
      </c>
      <c r="N4" s="190" t="s">
        <v>157</v>
      </c>
      <c r="O4" s="190" t="s">
        <v>46</v>
      </c>
      <c r="P4" s="190" t="s">
        <v>47</v>
      </c>
      <c r="Q4" s="190" t="s">
        <v>158</v>
      </c>
      <c r="R4" s="192" t="s">
        <v>50</v>
      </c>
      <c r="S4" s="190" t="s">
        <v>51</v>
      </c>
      <c r="T4" s="190" t="s">
        <v>155</v>
      </c>
      <c r="U4" s="190" t="s">
        <v>46</v>
      </c>
      <c r="V4" s="190" t="s">
        <v>47</v>
      </c>
      <c r="W4" s="190" t="s">
        <v>159</v>
      </c>
      <c r="X4" s="193" t="s">
        <v>48</v>
      </c>
      <c r="Y4" s="194" t="s">
        <v>49</v>
      </c>
      <c r="Z4" s="194" t="s">
        <v>156</v>
      </c>
      <c r="AA4" s="194" t="s">
        <v>46</v>
      </c>
      <c r="AB4" s="194" t="s">
        <v>47</v>
      </c>
      <c r="AC4" s="194" t="s">
        <v>154</v>
      </c>
      <c r="AD4" s="193" t="s">
        <v>48</v>
      </c>
      <c r="AE4" s="194" t="s">
        <v>49</v>
      </c>
      <c r="AF4" s="194" t="s">
        <v>284</v>
      </c>
    </row>
    <row r="5" spans="1:32" ht="19.149999999999999">
      <c r="A5" s="301" t="s">
        <v>52</v>
      </c>
      <c r="B5" s="301"/>
      <c r="C5" s="185" t="s">
        <v>46</v>
      </c>
      <c r="D5" s="185" t="s">
        <v>76</v>
      </c>
      <c r="E5" s="185" t="s">
        <v>285</v>
      </c>
      <c r="F5" s="185" t="s">
        <v>46</v>
      </c>
      <c r="G5" s="185" t="s">
        <v>47</v>
      </c>
      <c r="H5" s="185" t="s">
        <v>160</v>
      </c>
      <c r="I5" s="185" t="s">
        <v>46</v>
      </c>
      <c r="J5" s="185" t="s">
        <v>49</v>
      </c>
      <c r="K5" s="185" t="s">
        <v>161</v>
      </c>
      <c r="L5" s="185" t="s">
        <v>46</v>
      </c>
      <c r="M5" s="185" t="s">
        <v>47</v>
      </c>
      <c r="N5" s="185" t="s">
        <v>162</v>
      </c>
      <c r="O5" s="82" t="s">
        <v>53</v>
      </c>
      <c r="P5" s="185" t="s">
        <v>51</v>
      </c>
      <c r="Q5" s="185" t="s">
        <v>163</v>
      </c>
      <c r="R5" s="185" t="s">
        <v>46</v>
      </c>
      <c r="S5" s="185" t="s">
        <v>47</v>
      </c>
      <c r="T5" s="185" t="s">
        <v>164</v>
      </c>
      <c r="U5" s="185" t="s">
        <v>46</v>
      </c>
      <c r="V5" s="185" t="s">
        <v>47</v>
      </c>
      <c r="W5" s="185" t="s">
        <v>165</v>
      </c>
      <c r="X5" s="124" t="s">
        <v>46</v>
      </c>
      <c r="Y5" s="124" t="s">
        <v>49</v>
      </c>
      <c r="Z5" s="124" t="s">
        <v>166</v>
      </c>
      <c r="AA5" s="124" t="s">
        <v>46</v>
      </c>
      <c r="AB5" s="124" t="s">
        <v>47</v>
      </c>
      <c r="AC5" s="124" t="s">
        <v>167</v>
      </c>
      <c r="AD5" s="83" t="s">
        <v>50</v>
      </c>
      <c r="AE5" s="124" t="s">
        <v>51</v>
      </c>
      <c r="AF5" s="124" t="s">
        <v>286</v>
      </c>
    </row>
    <row r="6" spans="1:32" ht="19.149999999999999">
      <c r="A6" s="301" t="s">
        <v>54</v>
      </c>
      <c r="B6" s="301"/>
      <c r="C6" s="82" t="s">
        <v>48</v>
      </c>
      <c r="D6" s="185" t="s">
        <v>49</v>
      </c>
      <c r="E6" s="185" t="s">
        <v>222</v>
      </c>
      <c r="F6" s="185" t="s">
        <v>46</v>
      </c>
      <c r="G6" s="185" t="s">
        <v>47</v>
      </c>
      <c r="H6" s="185" t="s">
        <v>168</v>
      </c>
      <c r="I6" s="81" t="s">
        <v>50</v>
      </c>
      <c r="J6" s="185" t="s">
        <v>51</v>
      </c>
      <c r="K6" s="185" t="s">
        <v>169</v>
      </c>
      <c r="L6" s="185" t="s">
        <v>46</v>
      </c>
      <c r="M6" s="185" t="s">
        <v>47</v>
      </c>
      <c r="N6" s="185" t="s">
        <v>170</v>
      </c>
      <c r="O6" s="82" t="s">
        <v>48</v>
      </c>
      <c r="P6" s="185" t="s">
        <v>49</v>
      </c>
      <c r="Q6" s="185" t="s">
        <v>171</v>
      </c>
      <c r="R6" s="185" t="s">
        <v>46</v>
      </c>
      <c r="S6" s="185" t="s">
        <v>47</v>
      </c>
      <c r="T6" s="185" t="s">
        <v>172</v>
      </c>
      <c r="U6" s="82" t="s">
        <v>48</v>
      </c>
      <c r="V6" s="185" t="s">
        <v>49</v>
      </c>
      <c r="W6" s="185" t="s">
        <v>173</v>
      </c>
      <c r="X6" s="124" t="s">
        <v>46</v>
      </c>
      <c r="Y6" s="124" t="s">
        <v>47</v>
      </c>
      <c r="Z6" s="124" t="s">
        <v>174</v>
      </c>
      <c r="AA6" s="83" t="s">
        <v>50</v>
      </c>
      <c r="AB6" s="124" t="s">
        <v>51</v>
      </c>
      <c r="AC6" s="124" t="s">
        <v>169</v>
      </c>
      <c r="AD6" s="124" t="s">
        <v>46</v>
      </c>
      <c r="AE6" s="124" t="s">
        <v>47</v>
      </c>
      <c r="AF6" s="124" t="s">
        <v>170</v>
      </c>
    </row>
    <row r="7" spans="1:32" ht="19.149999999999999">
      <c r="A7" s="301" t="s">
        <v>199</v>
      </c>
      <c r="B7" s="301"/>
      <c r="C7" s="82" t="s">
        <v>288</v>
      </c>
      <c r="D7" s="185" t="s">
        <v>108</v>
      </c>
      <c r="E7" s="185" t="s">
        <v>289</v>
      </c>
      <c r="F7" s="185" t="s">
        <v>108</v>
      </c>
      <c r="G7" s="185" t="s">
        <v>108</v>
      </c>
      <c r="H7" s="185" t="s">
        <v>290</v>
      </c>
      <c r="I7" s="185" t="s">
        <v>108</v>
      </c>
      <c r="J7" s="185" t="s">
        <v>108</v>
      </c>
      <c r="K7" s="185" t="s">
        <v>291</v>
      </c>
      <c r="L7" s="185" t="s">
        <v>47</v>
      </c>
      <c r="M7" s="185" t="s">
        <v>224</v>
      </c>
      <c r="N7" s="185" t="s">
        <v>292</v>
      </c>
      <c r="O7" s="185" t="s">
        <v>47</v>
      </c>
      <c r="P7" s="185" t="s">
        <v>108</v>
      </c>
      <c r="Q7" s="185" t="s">
        <v>293</v>
      </c>
      <c r="R7" s="82" t="s">
        <v>294</v>
      </c>
      <c r="S7" s="185" t="s">
        <v>108</v>
      </c>
      <c r="T7" s="185" t="s">
        <v>291</v>
      </c>
      <c r="U7" s="185" t="s">
        <v>47</v>
      </c>
      <c r="V7" s="185" t="s">
        <v>108</v>
      </c>
      <c r="W7" s="185" t="s">
        <v>295</v>
      </c>
      <c r="X7" s="124" t="s">
        <v>47</v>
      </c>
      <c r="Y7" s="124" t="s">
        <v>108</v>
      </c>
      <c r="Z7" s="124" t="s">
        <v>296</v>
      </c>
      <c r="AA7" s="124" t="s">
        <v>47</v>
      </c>
      <c r="AB7" s="124" t="s">
        <v>108</v>
      </c>
      <c r="AC7" s="124" t="s">
        <v>297</v>
      </c>
      <c r="AD7" s="124" t="s">
        <v>47</v>
      </c>
      <c r="AE7" s="124" t="s">
        <v>108</v>
      </c>
      <c r="AF7" s="124" t="s">
        <v>298</v>
      </c>
    </row>
    <row r="8" spans="1:32" ht="19.149999999999999">
      <c r="A8" s="301" t="s">
        <v>200</v>
      </c>
      <c r="B8" s="177" t="s">
        <v>201</v>
      </c>
      <c r="C8" s="82" t="s">
        <v>48</v>
      </c>
      <c r="D8" s="185" t="s">
        <v>49</v>
      </c>
      <c r="E8" s="185" t="s">
        <v>299</v>
      </c>
      <c r="F8" s="124" t="s">
        <v>221</v>
      </c>
      <c r="G8" s="124" t="s">
        <v>221</v>
      </c>
      <c r="H8" s="124" t="s">
        <v>175</v>
      </c>
      <c r="I8" s="81" t="s">
        <v>50</v>
      </c>
      <c r="J8" s="185" t="s">
        <v>76</v>
      </c>
      <c r="K8" s="185" t="s">
        <v>223</v>
      </c>
      <c r="L8" s="185" t="s">
        <v>226</v>
      </c>
      <c r="M8" s="185" t="s">
        <v>108</v>
      </c>
      <c r="N8" s="185" t="s">
        <v>300</v>
      </c>
      <c r="O8" s="124" t="s">
        <v>221</v>
      </c>
      <c r="P8" s="124" t="s">
        <v>221</v>
      </c>
      <c r="Q8" s="124" t="s">
        <v>175</v>
      </c>
      <c r="R8" s="82" t="s">
        <v>48</v>
      </c>
      <c r="S8" s="185" t="s">
        <v>224</v>
      </c>
      <c r="T8" s="185" t="s">
        <v>225</v>
      </c>
      <c r="U8" s="185" t="s">
        <v>82</v>
      </c>
      <c r="V8" s="185" t="s">
        <v>82</v>
      </c>
      <c r="W8" s="185" t="s">
        <v>227</v>
      </c>
      <c r="X8" s="124" t="s">
        <v>221</v>
      </c>
      <c r="Y8" s="124" t="s">
        <v>221</v>
      </c>
      <c r="Z8" s="124" t="s">
        <v>175</v>
      </c>
      <c r="AA8" s="81" t="s">
        <v>50</v>
      </c>
      <c r="AB8" s="124" t="s">
        <v>76</v>
      </c>
      <c r="AC8" s="124" t="s">
        <v>223</v>
      </c>
      <c r="AD8" s="124" t="s">
        <v>82</v>
      </c>
      <c r="AE8" s="124" t="s">
        <v>82</v>
      </c>
      <c r="AF8" s="124" t="s">
        <v>301</v>
      </c>
    </row>
    <row r="9" spans="1:32" ht="19.149999999999999">
      <c r="A9" s="301"/>
      <c r="B9" s="177" t="s">
        <v>202</v>
      </c>
      <c r="C9" s="82" t="s">
        <v>48</v>
      </c>
      <c r="D9" s="185" t="s">
        <v>49</v>
      </c>
      <c r="E9" s="185" t="s">
        <v>302</v>
      </c>
      <c r="F9" s="124" t="s">
        <v>221</v>
      </c>
      <c r="G9" s="124" t="s">
        <v>221</v>
      </c>
      <c r="H9" s="124" t="s">
        <v>175</v>
      </c>
      <c r="I9" s="185" t="s">
        <v>226</v>
      </c>
      <c r="J9" s="185" t="s">
        <v>47</v>
      </c>
      <c r="K9" s="185" t="s">
        <v>231</v>
      </c>
      <c r="L9" s="81" t="s">
        <v>50</v>
      </c>
      <c r="M9" s="185" t="s">
        <v>51</v>
      </c>
      <c r="N9" s="185" t="s">
        <v>228</v>
      </c>
      <c r="O9" s="124" t="s">
        <v>221</v>
      </c>
      <c r="P9" s="124" t="s">
        <v>221</v>
      </c>
      <c r="Q9" s="124" t="s">
        <v>175</v>
      </c>
      <c r="R9" s="185" t="s">
        <v>226</v>
      </c>
      <c r="S9" s="185" t="s">
        <v>47</v>
      </c>
      <c r="T9" s="185" t="s">
        <v>229</v>
      </c>
      <c r="U9" s="82" t="s">
        <v>48</v>
      </c>
      <c r="V9" s="185" t="s">
        <v>49</v>
      </c>
      <c r="W9" s="185" t="s">
        <v>230</v>
      </c>
      <c r="X9" s="124" t="s">
        <v>221</v>
      </c>
      <c r="Y9" s="124" t="s">
        <v>221</v>
      </c>
      <c r="Z9" s="124" t="s">
        <v>175</v>
      </c>
      <c r="AA9" s="124" t="s">
        <v>82</v>
      </c>
      <c r="AB9" s="124" t="s">
        <v>82</v>
      </c>
      <c r="AC9" s="124" t="s">
        <v>231</v>
      </c>
      <c r="AD9" s="83" t="s">
        <v>50</v>
      </c>
      <c r="AE9" s="124" t="s">
        <v>51</v>
      </c>
      <c r="AF9" s="124" t="s">
        <v>303</v>
      </c>
    </row>
    <row r="10" spans="1:32" ht="19.149999999999999">
      <c r="A10" s="301" t="s">
        <v>56</v>
      </c>
      <c r="B10" s="301"/>
      <c r="C10" s="82" t="s">
        <v>53</v>
      </c>
      <c r="D10" s="185" t="s">
        <v>47</v>
      </c>
      <c r="E10" s="185" t="s">
        <v>304</v>
      </c>
      <c r="F10" s="185" t="s">
        <v>46</v>
      </c>
      <c r="G10" s="185" t="s">
        <v>51</v>
      </c>
      <c r="H10" s="185" t="s">
        <v>305</v>
      </c>
      <c r="I10" s="185" t="s">
        <v>55</v>
      </c>
      <c r="J10" s="185" t="s">
        <v>47</v>
      </c>
      <c r="K10" s="185" t="s">
        <v>306</v>
      </c>
      <c r="L10" s="185" t="s">
        <v>46</v>
      </c>
      <c r="M10" s="185" t="s">
        <v>49</v>
      </c>
      <c r="N10" s="185" t="s">
        <v>307</v>
      </c>
      <c r="O10" s="81" t="s">
        <v>50</v>
      </c>
      <c r="P10" s="185" t="s">
        <v>47</v>
      </c>
      <c r="Q10" s="185" t="s">
        <v>232</v>
      </c>
      <c r="R10" s="185" t="s">
        <v>46</v>
      </c>
      <c r="S10" s="185" t="s">
        <v>49</v>
      </c>
      <c r="T10" s="185" t="s">
        <v>176</v>
      </c>
      <c r="U10" s="185" t="s">
        <v>46</v>
      </c>
      <c r="V10" s="185" t="s">
        <v>47</v>
      </c>
      <c r="W10" s="185" t="s">
        <v>308</v>
      </c>
      <c r="X10" s="185" t="s">
        <v>55</v>
      </c>
      <c r="Y10" s="124" t="s">
        <v>51</v>
      </c>
      <c r="Z10" s="124" t="s">
        <v>166</v>
      </c>
      <c r="AA10" s="124" t="s">
        <v>46</v>
      </c>
      <c r="AB10" s="124" t="s">
        <v>47</v>
      </c>
      <c r="AC10" s="124" t="s">
        <v>309</v>
      </c>
      <c r="AD10" s="84" t="s">
        <v>84</v>
      </c>
      <c r="AE10" s="124" t="s">
        <v>49</v>
      </c>
      <c r="AF10" s="124" t="s">
        <v>310</v>
      </c>
    </row>
    <row r="11" spans="1:32" ht="19.149999999999999">
      <c r="A11" s="301" t="s">
        <v>113</v>
      </c>
      <c r="B11" s="301"/>
      <c r="C11" s="185" t="s">
        <v>46</v>
      </c>
      <c r="D11" s="185" t="s">
        <v>49</v>
      </c>
      <c r="E11" s="185" t="s">
        <v>311</v>
      </c>
      <c r="F11" s="82" t="s">
        <v>53</v>
      </c>
      <c r="G11" s="185" t="s">
        <v>47</v>
      </c>
      <c r="H11" s="185" t="s">
        <v>312</v>
      </c>
      <c r="I11" s="185" t="s">
        <v>46</v>
      </c>
      <c r="J11" s="185" t="s">
        <v>47</v>
      </c>
      <c r="K11" s="185" t="s">
        <v>313</v>
      </c>
      <c r="L11" s="185" t="s">
        <v>46</v>
      </c>
      <c r="M11" s="185" t="s">
        <v>51</v>
      </c>
      <c r="N11" s="185" t="s">
        <v>314</v>
      </c>
      <c r="O11" s="185" t="s">
        <v>46</v>
      </c>
      <c r="P11" s="185" t="s">
        <v>47</v>
      </c>
      <c r="Q11" s="185" t="s">
        <v>287</v>
      </c>
      <c r="R11" s="185" t="s">
        <v>46</v>
      </c>
      <c r="S11" s="185" t="s">
        <v>47</v>
      </c>
      <c r="T11" s="185" t="s">
        <v>315</v>
      </c>
      <c r="U11" s="83" t="s">
        <v>50</v>
      </c>
      <c r="V11" s="185" t="s">
        <v>49</v>
      </c>
      <c r="W11" s="185" t="s">
        <v>316</v>
      </c>
      <c r="X11" s="124" t="s">
        <v>46</v>
      </c>
      <c r="Y11" s="124" t="s">
        <v>47</v>
      </c>
      <c r="Z11" s="124" t="s">
        <v>317</v>
      </c>
      <c r="AA11" s="124" t="s">
        <v>46</v>
      </c>
      <c r="AB11" s="195" t="s">
        <v>47</v>
      </c>
      <c r="AC11" s="124" t="s">
        <v>318</v>
      </c>
      <c r="AD11" s="124" t="s">
        <v>46</v>
      </c>
      <c r="AE11" s="185" t="s">
        <v>76</v>
      </c>
      <c r="AF11" s="124" t="s">
        <v>319</v>
      </c>
    </row>
    <row r="12" spans="1:32" ht="19.149999999999999">
      <c r="A12" s="301" t="s">
        <v>203</v>
      </c>
      <c r="B12" s="177" t="s">
        <v>404</v>
      </c>
      <c r="C12" s="185" t="s">
        <v>58</v>
      </c>
      <c r="D12" s="185" t="s">
        <v>224</v>
      </c>
      <c r="E12" s="185" t="s">
        <v>320</v>
      </c>
      <c r="F12" s="185" t="s">
        <v>58</v>
      </c>
      <c r="G12" s="185" t="s">
        <v>47</v>
      </c>
      <c r="H12" s="185" t="s">
        <v>178</v>
      </c>
      <c r="I12" s="185" t="s">
        <v>58</v>
      </c>
      <c r="J12" s="185" t="s">
        <v>51</v>
      </c>
      <c r="K12" s="185" t="s">
        <v>179</v>
      </c>
      <c r="L12" s="185" t="s">
        <v>58</v>
      </c>
      <c r="M12" s="185" t="s">
        <v>47</v>
      </c>
      <c r="N12" s="185" t="s">
        <v>180</v>
      </c>
      <c r="O12" s="185" t="s">
        <v>58</v>
      </c>
      <c r="P12" s="185" t="s">
        <v>49</v>
      </c>
      <c r="Q12" s="185" t="s">
        <v>181</v>
      </c>
      <c r="R12" s="185" t="s">
        <v>58</v>
      </c>
      <c r="S12" s="185" t="s">
        <v>47</v>
      </c>
      <c r="T12" s="185" t="s">
        <v>177</v>
      </c>
      <c r="U12" s="185" t="s">
        <v>58</v>
      </c>
      <c r="V12" s="185" t="s">
        <v>51</v>
      </c>
      <c r="W12" s="185" t="s">
        <v>178</v>
      </c>
      <c r="X12" s="124" t="s">
        <v>58</v>
      </c>
      <c r="Y12" s="124" t="s">
        <v>47</v>
      </c>
      <c r="Z12" s="124" t="s">
        <v>182</v>
      </c>
      <c r="AA12" s="124" t="s">
        <v>58</v>
      </c>
      <c r="AB12" s="124" t="s">
        <v>49</v>
      </c>
      <c r="AC12" s="124" t="s">
        <v>179</v>
      </c>
      <c r="AD12" s="124" t="s">
        <v>58</v>
      </c>
      <c r="AE12" s="124" t="s">
        <v>47</v>
      </c>
      <c r="AF12" s="124" t="s">
        <v>180</v>
      </c>
    </row>
    <row r="13" spans="1:32" ht="19.149999999999999">
      <c r="A13" s="301"/>
      <c r="B13" s="177" t="s">
        <v>204</v>
      </c>
      <c r="C13" s="185" t="s">
        <v>46</v>
      </c>
      <c r="D13" s="185" t="s">
        <v>47</v>
      </c>
      <c r="E13" s="185" t="s">
        <v>321</v>
      </c>
      <c r="F13" s="82" t="s">
        <v>101</v>
      </c>
      <c r="G13" s="185" t="s">
        <v>49</v>
      </c>
      <c r="H13" s="185" t="s">
        <v>322</v>
      </c>
      <c r="I13" s="185" t="s">
        <v>46</v>
      </c>
      <c r="J13" s="185" t="s">
        <v>47</v>
      </c>
      <c r="K13" s="185" t="s">
        <v>323</v>
      </c>
      <c r="L13" s="185" t="s">
        <v>46</v>
      </c>
      <c r="M13" s="185" t="s">
        <v>108</v>
      </c>
      <c r="N13" s="185" t="s">
        <v>323</v>
      </c>
      <c r="O13" s="81" t="s">
        <v>50</v>
      </c>
      <c r="P13" s="185" t="s">
        <v>76</v>
      </c>
      <c r="Q13" s="185" t="s">
        <v>321</v>
      </c>
      <c r="R13" s="185" t="s">
        <v>46</v>
      </c>
      <c r="S13" s="185" t="s">
        <v>47</v>
      </c>
      <c r="T13" s="185" t="s">
        <v>323</v>
      </c>
      <c r="U13" s="185" t="s">
        <v>46</v>
      </c>
      <c r="V13" s="185" t="s">
        <v>108</v>
      </c>
      <c r="W13" s="185" t="s">
        <v>323</v>
      </c>
      <c r="X13" s="82" t="s">
        <v>101</v>
      </c>
      <c r="Y13" s="185" t="s">
        <v>224</v>
      </c>
      <c r="Z13" s="185" t="s">
        <v>321</v>
      </c>
      <c r="AA13" s="185" t="s">
        <v>46</v>
      </c>
      <c r="AB13" s="185" t="s">
        <v>47</v>
      </c>
      <c r="AC13" s="185" t="s">
        <v>323</v>
      </c>
      <c r="AD13" s="185" t="s">
        <v>46</v>
      </c>
      <c r="AE13" s="185" t="s">
        <v>108</v>
      </c>
      <c r="AF13" s="185" t="s">
        <v>323</v>
      </c>
    </row>
    <row r="14" spans="1:32" ht="19.149999999999999">
      <c r="A14" s="305" t="s">
        <v>205</v>
      </c>
      <c r="B14" s="306"/>
      <c r="C14" s="186" t="s">
        <v>46</v>
      </c>
      <c r="D14" s="186" t="s">
        <v>47</v>
      </c>
      <c r="E14" s="186" t="s">
        <v>324</v>
      </c>
      <c r="F14" s="186" t="s">
        <v>46</v>
      </c>
      <c r="G14" s="186" t="s">
        <v>47</v>
      </c>
      <c r="H14" s="186" t="s">
        <v>325</v>
      </c>
      <c r="I14" s="196" t="s">
        <v>48</v>
      </c>
      <c r="J14" s="186" t="s">
        <v>51</v>
      </c>
      <c r="K14" s="186" t="s">
        <v>326</v>
      </c>
      <c r="L14" s="186" t="s">
        <v>46</v>
      </c>
      <c r="M14" s="186" t="s">
        <v>47</v>
      </c>
      <c r="N14" s="186" t="s">
        <v>327</v>
      </c>
      <c r="O14" s="186" t="s">
        <v>46</v>
      </c>
      <c r="P14" s="186" t="s">
        <v>47</v>
      </c>
      <c r="Q14" s="186" t="s">
        <v>328</v>
      </c>
      <c r="R14" s="197" t="s">
        <v>50</v>
      </c>
      <c r="S14" s="186" t="s">
        <v>224</v>
      </c>
      <c r="T14" s="186" t="s">
        <v>329</v>
      </c>
      <c r="U14" s="186" t="s">
        <v>46</v>
      </c>
      <c r="V14" s="186" t="s">
        <v>47</v>
      </c>
      <c r="W14" s="186" t="s">
        <v>330</v>
      </c>
      <c r="X14" s="186" t="s">
        <v>46</v>
      </c>
      <c r="Y14" s="186" t="s">
        <v>47</v>
      </c>
      <c r="Z14" s="186" t="s">
        <v>331</v>
      </c>
      <c r="AA14" s="196" t="s">
        <v>48</v>
      </c>
      <c r="AB14" s="186" t="s">
        <v>51</v>
      </c>
      <c r="AC14" s="186" t="s">
        <v>332</v>
      </c>
      <c r="AD14" s="186" t="s">
        <v>46</v>
      </c>
      <c r="AE14" s="186" t="s">
        <v>47</v>
      </c>
      <c r="AF14" s="186" t="s">
        <v>327</v>
      </c>
    </row>
    <row r="15" spans="1:32" ht="19.149999999999999">
      <c r="A15" s="301" t="s">
        <v>59</v>
      </c>
      <c r="B15" s="301"/>
      <c r="C15" s="125" t="s">
        <v>58</v>
      </c>
      <c r="D15" s="125" t="s">
        <v>47</v>
      </c>
      <c r="E15" s="125" t="s">
        <v>333</v>
      </c>
      <c r="F15" s="125" t="s">
        <v>58</v>
      </c>
      <c r="G15" s="125" t="s">
        <v>58</v>
      </c>
      <c r="H15" s="125"/>
      <c r="I15" s="125" t="s">
        <v>57</v>
      </c>
      <c r="J15" s="125" t="s">
        <v>57</v>
      </c>
      <c r="K15" s="125"/>
      <c r="L15" s="125" t="s">
        <v>46</v>
      </c>
      <c r="M15" s="125" t="s">
        <v>47</v>
      </c>
      <c r="N15" s="125" t="s">
        <v>183</v>
      </c>
      <c r="O15" s="125" t="s">
        <v>46</v>
      </c>
      <c r="P15" s="125" t="s">
        <v>47</v>
      </c>
      <c r="Q15" s="125" t="s">
        <v>184</v>
      </c>
      <c r="R15" s="125" t="s">
        <v>46</v>
      </c>
      <c r="S15" s="125" t="s">
        <v>47</v>
      </c>
      <c r="T15" s="125" t="s">
        <v>185</v>
      </c>
      <c r="U15" s="125" t="s">
        <v>46</v>
      </c>
      <c r="V15" s="125" t="s">
        <v>47</v>
      </c>
      <c r="W15" s="125" t="s">
        <v>186</v>
      </c>
      <c r="X15" s="82" t="s">
        <v>53</v>
      </c>
      <c r="Y15" s="125" t="s">
        <v>51</v>
      </c>
      <c r="Z15" s="126" t="s">
        <v>187</v>
      </c>
      <c r="AA15" s="125" t="s">
        <v>46</v>
      </c>
      <c r="AB15" s="125" t="s">
        <v>47</v>
      </c>
      <c r="AC15" s="126" t="s">
        <v>188</v>
      </c>
      <c r="AD15" s="126" t="s">
        <v>46</v>
      </c>
      <c r="AE15" s="126" t="s">
        <v>47</v>
      </c>
      <c r="AF15" s="126" t="s">
        <v>183</v>
      </c>
    </row>
    <row r="16" spans="1:32" ht="19.5" customHeight="1">
      <c r="A16" s="301" t="s">
        <v>206</v>
      </c>
      <c r="B16" s="177" t="s">
        <v>207</v>
      </c>
      <c r="C16" s="185" t="s">
        <v>46</v>
      </c>
      <c r="D16" s="185" t="s">
        <v>58</v>
      </c>
      <c r="E16" s="185" t="s">
        <v>189</v>
      </c>
      <c r="F16" s="185" t="s">
        <v>46</v>
      </c>
      <c r="G16" s="185" t="s">
        <v>58</v>
      </c>
      <c r="H16" s="185" t="s">
        <v>190</v>
      </c>
      <c r="I16" s="185" t="s">
        <v>46</v>
      </c>
      <c r="J16" s="185" t="s">
        <v>58</v>
      </c>
      <c r="K16" s="185" t="s">
        <v>191</v>
      </c>
      <c r="L16" s="185" t="s">
        <v>226</v>
      </c>
      <c r="M16" s="185" t="s">
        <v>58</v>
      </c>
      <c r="N16" s="185" t="s">
        <v>192</v>
      </c>
      <c r="O16" s="185" t="s">
        <v>46</v>
      </c>
      <c r="P16" s="185" t="s">
        <v>58</v>
      </c>
      <c r="Q16" s="185" t="s">
        <v>192</v>
      </c>
      <c r="R16" s="185" t="s">
        <v>46</v>
      </c>
      <c r="S16" s="185" t="s">
        <v>58</v>
      </c>
      <c r="T16" s="185" t="s">
        <v>191</v>
      </c>
      <c r="U16" s="185" t="s">
        <v>46</v>
      </c>
      <c r="V16" s="185" t="s">
        <v>58</v>
      </c>
      <c r="W16" s="185" t="s">
        <v>193</v>
      </c>
      <c r="X16" s="124" t="s">
        <v>46</v>
      </c>
      <c r="Y16" s="124" t="s">
        <v>58</v>
      </c>
      <c r="Z16" s="124" t="s">
        <v>194</v>
      </c>
      <c r="AA16" s="82" t="s">
        <v>53</v>
      </c>
      <c r="AB16" s="124" t="s">
        <v>58</v>
      </c>
      <c r="AC16" s="124" t="s">
        <v>195</v>
      </c>
      <c r="AD16" s="124" t="s">
        <v>46</v>
      </c>
      <c r="AE16" s="124" t="s">
        <v>58</v>
      </c>
      <c r="AF16" s="124" t="s">
        <v>334</v>
      </c>
    </row>
    <row r="17" spans="1:32" ht="38.25">
      <c r="A17" s="301"/>
      <c r="B17" s="177" t="s">
        <v>208</v>
      </c>
      <c r="C17" s="185" t="s">
        <v>58</v>
      </c>
      <c r="D17" s="185" t="s">
        <v>197</v>
      </c>
      <c r="E17" s="185" t="s">
        <v>335</v>
      </c>
      <c r="F17" s="185" t="s">
        <v>58</v>
      </c>
      <c r="G17" s="185" t="s">
        <v>196</v>
      </c>
      <c r="H17" s="185" t="s">
        <v>336</v>
      </c>
      <c r="I17" s="185" t="s">
        <v>58</v>
      </c>
      <c r="J17" s="185" t="s">
        <v>197</v>
      </c>
      <c r="K17" s="185" t="s">
        <v>337</v>
      </c>
      <c r="L17" s="185" t="s">
        <v>58</v>
      </c>
      <c r="M17" s="185" t="s">
        <v>209</v>
      </c>
      <c r="N17" s="185" t="s">
        <v>338</v>
      </c>
      <c r="O17" s="185" t="s">
        <v>58</v>
      </c>
      <c r="P17" s="185" t="s">
        <v>197</v>
      </c>
      <c r="Q17" s="185" t="s">
        <v>339</v>
      </c>
      <c r="R17" s="185" t="s">
        <v>58</v>
      </c>
      <c r="S17" s="185" t="s">
        <v>210</v>
      </c>
      <c r="T17" s="185" t="s">
        <v>340</v>
      </c>
      <c r="U17" s="185" t="s">
        <v>58</v>
      </c>
      <c r="V17" s="185" t="s">
        <v>197</v>
      </c>
      <c r="W17" s="185" t="s">
        <v>336</v>
      </c>
      <c r="X17" s="124" t="s">
        <v>58</v>
      </c>
      <c r="Y17" s="185" t="s">
        <v>211</v>
      </c>
      <c r="Z17" s="185" t="s">
        <v>341</v>
      </c>
      <c r="AA17" s="124" t="s">
        <v>58</v>
      </c>
      <c r="AB17" s="185" t="s">
        <v>212</v>
      </c>
      <c r="AC17" s="185" t="s">
        <v>337</v>
      </c>
      <c r="AD17" s="124" t="s">
        <v>58</v>
      </c>
      <c r="AE17" s="185" t="s">
        <v>342</v>
      </c>
      <c r="AF17" s="185" t="s">
        <v>343</v>
      </c>
    </row>
    <row r="18" spans="1:32" ht="19.5" customHeight="1">
      <c r="A18" s="301"/>
      <c r="B18" s="177" t="s">
        <v>213</v>
      </c>
      <c r="C18" s="185" t="s">
        <v>58</v>
      </c>
      <c r="D18" s="185" t="s">
        <v>58</v>
      </c>
      <c r="E18" s="185" t="s">
        <v>58</v>
      </c>
      <c r="F18" s="185" t="s">
        <v>58</v>
      </c>
      <c r="G18" s="185" t="s">
        <v>58</v>
      </c>
      <c r="H18" s="185" t="s">
        <v>58</v>
      </c>
      <c r="I18" s="185" t="s">
        <v>58</v>
      </c>
      <c r="J18" s="185" t="s">
        <v>58</v>
      </c>
      <c r="K18" s="185" t="s">
        <v>58</v>
      </c>
      <c r="L18" s="185" t="s">
        <v>58</v>
      </c>
      <c r="M18" s="185" t="s">
        <v>58</v>
      </c>
      <c r="N18" s="185" t="s">
        <v>58</v>
      </c>
      <c r="O18" s="185" t="s">
        <v>58</v>
      </c>
      <c r="P18" s="185" t="s">
        <v>58</v>
      </c>
      <c r="Q18" s="185" t="s">
        <v>58</v>
      </c>
      <c r="R18" s="185" t="s">
        <v>58</v>
      </c>
      <c r="S18" s="185" t="s">
        <v>58</v>
      </c>
      <c r="T18" s="185" t="s">
        <v>58</v>
      </c>
      <c r="U18" s="185" t="s">
        <v>58</v>
      </c>
      <c r="V18" s="185" t="s">
        <v>58</v>
      </c>
      <c r="W18" s="185" t="s">
        <v>58</v>
      </c>
      <c r="X18" s="124" t="s">
        <v>58</v>
      </c>
      <c r="Y18" s="124" t="s">
        <v>58</v>
      </c>
      <c r="Z18" s="124" t="s">
        <v>58</v>
      </c>
      <c r="AA18" s="124" t="s">
        <v>58</v>
      </c>
      <c r="AB18" s="124" t="s">
        <v>58</v>
      </c>
      <c r="AC18" s="124" t="s">
        <v>58</v>
      </c>
      <c r="AD18" s="124" t="s">
        <v>58</v>
      </c>
      <c r="AE18" s="124" t="s">
        <v>58</v>
      </c>
      <c r="AF18" s="124" t="s">
        <v>58</v>
      </c>
    </row>
    <row r="19" spans="1:32" ht="19.5" customHeight="1">
      <c r="A19" s="307" t="s">
        <v>75</v>
      </c>
      <c r="B19" s="307"/>
      <c r="C19" s="186" t="s">
        <v>58</v>
      </c>
      <c r="D19" s="186" t="s">
        <v>51</v>
      </c>
      <c r="E19" s="186" t="s">
        <v>344</v>
      </c>
      <c r="F19" s="186" t="s">
        <v>58</v>
      </c>
      <c r="G19" s="186" t="s">
        <v>47</v>
      </c>
      <c r="H19" s="186" t="s">
        <v>345</v>
      </c>
      <c r="I19" s="186" t="s">
        <v>58</v>
      </c>
      <c r="J19" s="186" t="s">
        <v>47</v>
      </c>
      <c r="K19" s="186" t="s">
        <v>346</v>
      </c>
      <c r="L19" s="186" t="s">
        <v>58</v>
      </c>
      <c r="M19" s="186" t="s">
        <v>47</v>
      </c>
      <c r="N19" s="186" t="s">
        <v>347</v>
      </c>
      <c r="O19" s="186" t="s">
        <v>58</v>
      </c>
      <c r="P19" s="186" t="s">
        <v>47</v>
      </c>
      <c r="Q19" s="186" t="s">
        <v>348</v>
      </c>
      <c r="R19" s="186" t="s">
        <v>58</v>
      </c>
      <c r="S19" s="186" t="s">
        <v>47</v>
      </c>
      <c r="T19" s="186" t="s">
        <v>349</v>
      </c>
      <c r="U19" s="186" t="s">
        <v>58</v>
      </c>
      <c r="V19" s="186" t="s">
        <v>51</v>
      </c>
      <c r="W19" s="186" t="s">
        <v>350</v>
      </c>
      <c r="X19" s="127" t="s">
        <v>58</v>
      </c>
      <c r="Y19" s="127" t="s">
        <v>47</v>
      </c>
      <c r="Z19" s="127" t="s">
        <v>346</v>
      </c>
      <c r="AA19" s="127" t="s">
        <v>58</v>
      </c>
      <c r="AB19" s="127" t="s">
        <v>47</v>
      </c>
      <c r="AC19" s="127" t="s">
        <v>346</v>
      </c>
      <c r="AD19" s="127" t="s">
        <v>58</v>
      </c>
      <c r="AE19" s="127" t="s">
        <v>47</v>
      </c>
      <c r="AF19" s="127" t="s">
        <v>347</v>
      </c>
    </row>
    <row r="20" spans="1:32" ht="19.5" customHeight="1">
      <c r="A20" s="304"/>
      <c r="B20" s="304"/>
      <c r="C20" s="304"/>
      <c r="D20" s="304"/>
      <c r="E20" s="304"/>
      <c r="F20" s="304"/>
      <c r="G20" s="304"/>
      <c r="H20" s="304"/>
      <c r="I20" s="128"/>
      <c r="J20" s="128"/>
      <c r="K20" s="128"/>
      <c r="L20" s="128"/>
      <c r="M20" s="128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30"/>
      <c r="AB20" s="130"/>
      <c r="AC20" s="130"/>
      <c r="AD20" s="130"/>
      <c r="AE20" s="130"/>
      <c r="AF20" s="130"/>
    </row>
    <row r="21" spans="1:32" ht="19.5" customHeight="1">
      <c r="A21" s="129"/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30"/>
      <c r="AB21" s="130"/>
      <c r="AC21" s="130"/>
      <c r="AD21" s="130"/>
      <c r="AE21" s="130"/>
      <c r="AF21" s="130"/>
    </row>
    <row r="22" spans="1:32" ht="19.5" customHeight="1">
      <c r="A22" s="129"/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30"/>
      <c r="AB22" s="130"/>
      <c r="AC22" s="130"/>
      <c r="AD22" s="130"/>
      <c r="AE22" s="130"/>
      <c r="AF22" s="130"/>
    </row>
    <row r="23" spans="1:32" ht="19.5" customHeight="1">
      <c r="A23" s="129"/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80"/>
      <c r="O23" s="180"/>
      <c r="P23" s="180"/>
      <c r="Q23" s="180"/>
      <c r="R23" s="180"/>
      <c r="S23" s="180"/>
      <c r="T23" s="180"/>
      <c r="U23" s="129"/>
      <c r="V23" s="129"/>
      <c r="W23" s="129"/>
      <c r="X23" s="129"/>
      <c r="Y23" s="129"/>
      <c r="Z23" s="129"/>
      <c r="AA23" s="130"/>
      <c r="AB23" s="130"/>
      <c r="AC23" s="130"/>
      <c r="AD23" s="130"/>
      <c r="AE23" s="130"/>
      <c r="AF23" s="130"/>
    </row>
    <row r="24" spans="1:32" ht="16.5" customHeight="1">
      <c r="N24" s="180"/>
      <c r="O24" s="180"/>
      <c r="P24" s="180"/>
      <c r="Q24" s="180"/>
      <c r="R24" s="180"/>
      <c r="S24" s="180"/>
      <c r="T24" s="180"/>
    </row>
    <row r="25" spans="1:32" ht="16.5" customHeight="1">
      <c r="N25" s="180"/>
      <c r="O25" s="180"/>
      <c r="P25" s="180"/>
      <c r="Q25" s="180"/>
      <c r="R25" s="180"/>
      <c r="S25" s="180"/>
      <c r="T25" s="180"/>
    </row>
    <row r="26" spans="1:32" ht="19.149999999999999">
      <c r="C26" s="131"/>
      <c r="D26" s="129" t="s">
        <v>233</v>
      </c>
      <c r="N26" s="180"/>
      <c r="O26" s="180"/>
      <c r="P26" s="180"/>
      <c r="Q26" s="180"/>
      <c r="R26" s="180"/>
      <c r="S26" s="180"/>
      <c r="T26" s="180"/>
    </row>
    <row r="27" spans="1:32" ht="19.149999999999999">
      <c r="C27" s="132"/>
      <c r="D27" s="129" t="s">
        <v>234</v>
      </c>
      <c r="N27" s="180"/>
      <c r="O27" s="180"/>
      <c r="P27" s="180"/>
      <c r="Q27" s="180"/>
      <c r="R27" s="180"/>
      <c r="S27" s="180"/>
      <c r="T27" s="180"/>
    </row>
    <row r="28" spans="1:32" ht="16.5" customHeight="1">
      <c r="N28" s="180"/>
      <c r="O28" s="180"/>
      <c r="P28" s="180"/>
      <c r="Q28" s="180"/>
      <c r="R28" s="180"/>
      <c r="S28" s="180"/>
      <c r="T28" s="180"/>
    </row>
    <row r="29" spans="1:32" ht="16.5" customHeight="1">
      <c r="N29" s="180"/>
      <c r="O29" s="180"/>
      <c r="P29" s="180"/>
      <c r="Q29" s="180"/>
      <c r="R29" s="180"/>
      <c r="S29" s="180"/>
      <c r="T29" s="180"/>
    </row>
    <row r="30" spans="1:32" ht="16.5" customHeight="1">
      <c r="N30" s="180"/>
      <c r="O30" s="180"/>
      <c r="P30" s="180"/>
      <c r="Q30" s="180"/>
      <c r="R30" s="180"/>
      <c r="S30" s="180"/>
      <c r="T30" s="180"/>
    </row>
    <row r="31" spans="1:32" ht="16.5" customHeight="1">
      <c r="N31" s="180"/>
      <c r="O31" s="180"/>
      <c r="P31" s="180"/>
      <c r="Q31" s="180"/>
      <c r="R31" s="180"/>
      <c r="S31" s="180"/>
      <c r="T31" s="180"/>
    </row>
    <row r="32" spans="1:32" ht="16.5" customHeight="1">
      <c r="N32" s="180"/>
      <c r="O32" s="180"/>
      <c r="P32" s="180"/>
      <c r="Q32" s="180"/>
      <c r="R32" s="180"/>
      <c r="S32" s="180"/>
      <c r="T32" s="180"/>
    </row>
    <row r="33" spans="14:20" ht="16.5" customHeight="1">
      <c r="N33" s="180"/>
      <c r="O33" s="180"/>
      <c r="P33" s="180"/>
      <c r="Q33" s="180"/>
      <c r="R33" s="180"/>
      <c r="S33" s="180"/>
      <c r="T33" s="180"/>
    </row>
    <row r="34" spans="14:20" ht="16.5" customHeight="1">
      <c r="N34" s="180"/>
      <c r="O34" s="180"/>
      <c r="P34" s="180"/>
      <c r="Q34" s="180"/>
      <c r="R34" s="180"/>
      <c r="S34" s="180"/>
      <c r="T34" s="180"/>
    </row>
    <row r="35" spans="14:20" ht="16.5" customHeight="1">
      <c r="N35" s="180"/>
      <c r="O35" s="180"/>
      <c r="P35" s="180"/>
      <c r="Q35" s="180"/>
      <c r="R35" s="180"/>
      <c r="S35" s="180"/>
      <c r="T35" s="180"/>
    </row>
    <row r="36" spans="14:20" ht="16.5" customHeight="1">
      <c r="N36" s="180"/>
      <c r="O36" s="180"/>
      <c r="P36" s="180"/>
      <c r="Q36" s="180"/>
      <c r="R36" s="180"/>
      <c r="S36" s="180"/>
      <c r="T36" s="180"/>
    </row>
    <row r="37" spans="14:20" ht="16.5" customHeight="1">
      <c r="N37" s="180"/>
      <c r="O37" s="180"/>
      <c r="P37" s="180"/>
      <c r="Q37" s="180"/>
      <c r="R37" s="180"/>
      <c r="S37" s="180"/>
      <c r="T37" s="180"/>
    </row>
    <row r="38" spans="14:20" ht="16.5" customHeight="1">
      <c r="N38" s="180"/>
      <c r="O38" s="180"/>
      <c r="P38" s="180"/>
      <c r="Q38" s="180"/>
      <c r="R38" s="180"/>
      <c r="S38" s="180"/>
      <c r="T38" s="180"/>
    </row>
    <row r="39" spans="14:20" ht="16.5" customHeight="1">
      <c r="N39" s="180"/>
      <c r="O39" s="180"/>
      <c r="P39" s="180"/>
      <c r="Q39" s="180"/>
      <c r="R39" s="180"/>
      <c r="S39" s="180"/>
      <c r="T39" s="180"/>
    </row>
    <row r="40" spans="14:20" ht="16.5" customHeight="1">
      <c r="N40" s="180"/>
      <c r="O40" s="180"/>
      <c r="P40" s="180"/>
      <c r="Q40" s="180"/>
      <c r="R40" s="180"/>
      <c r="S40" s="180"/>
      <c r="T40" s="180"/>
    </row>
    <row r="41" spans="14:20" ht="16.5" customHeight="1">
      <c r="N41" s="180"/>
      <c r="O41" s="180"/>
      <c r="P41" s="180"/>
      <c r="Q41" s="180"/>
      <c r="R41" s="180"/>
      <c r="S41" s="180"/>
      <c r="T41" s="180"/>
    </row>
    <row r="42" spans="14:20" ht="16.5" customHeight="1">
      <c r="N42" s="180"/>
      <c r="O42" s="180"/>
      <c r="P42" s="180"/>
      <c r="Q42" s="180"/>
      <c r="R42" s="180"/>
      <c r="S42" s="180"/>
      <c r="T42" s="180"/>
    </row>
    <row r="43" spans="14:20" ht="16.5" customHeight="1">
      <c r="N43" s="180"/>
      <c r="O43" s="180"/>
      <c r="P43" s="180"/>
      <c r="Q43" s="180"/>
      <c r="R43" s="180"/>
      <c r="S43" s="180"/>
      <c r="T43" s="180"/>
    </row>
    <row r="44" spans="14:20" ht="16.5" customHeight="1">
      <c r="N44" s="180"/>
      <c r="O44" s="180"/>
      <c r="P44" s="180"/>
      <c r="Q44" s="180"/>
      <c r="R44" s="180"/>
      <c r="S44" s="180"/>
      <c r="T44" s="180"/>
    </row>
    <row r="52" spans="19:19">
      <c r="S52" s="133"/>
    </row>
  </sheetData>
  <mergeCells count="34">
    <mergeCell ref="A20:H20"/>
    <mergeCell ref="A5:B5"/>
    <mergeCell ref="A6:B6"/>
    <mergeCell ref="A7:B7"/>
    <mergeCell ref="A8:A9"/>
    <mergeCell ref="A10:B10"/>
    <mergeCell ref="A11:B11"/>
    <mergeCell ref="A12:A13"/>
    <mergeCell ref="A14:B14"/>
    <mergeCell ref="A15:B15"/>
    <mergeCell ref="A16:A18"/>
    <mergeCell ref="A19:B19"/>
    <mergeCell ref="A4:B4"/>
    <mergeCell ref="R2:T2"/>
    <mergeCell ref="U2:W2"/>
    <mergeCell ref="X2:Z2"/>
    <mergeCell ref="AA2:AC2"/>
    <mergeCell ref="A1:B3"/>
    <mergeCell ref="L1:N1"/>
    <mergeCell ref="O1:Q1"/>
    <mergeCell ref="R1:T1"/>
    <mergeCell ref="U1:W1"/>
    <mergeCell ref="X1:Z1"/>
    <mergeCell ref="AA1:AC1"/>
    <mergeCell ref="AD1:AF1"/>
    <mergeCell ref="C1:E1"/>
    <mergeCell ref="F1:H1"/>
    <mergeCell ref="I1:K1"/>
    <mergeCell ref="AD2:AF2"/>
    <mergeCell ref="C2:E2"/>
    <mergeCell ref="F2:H2"/>
    <mergeCell ref="I2:K2"/>
    <mergeCell ref="L2:N2"/>
    <mergeCell ref="O2:Q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35</vt:i4>
      </vt:variant>
      <vt:variant>
        <vt:lpstr>이름이 지정된 범위</vt:lpstr>
      </vt:variant>
      <vt:variant>
        <vt:i4>1</vt:i4>
      </vt:variant>
    </vt:vector>
  </HeadingPairs>
  <TitlesOfParts>
    <vt:vector size="36" baseType="lpstr">
      <vt:lpstr>총괄표</vt:lpstr>
      <vt:lpstr>26년</vt:lpstr>
      <vt:lpstr>27년</vt:lpstr>
      <vt:lpstr>28년</vt:lpstr>
      <vt:lpstr>29년</vt:lpstr>
      <vt:lpstr>30년</vt:lpstr>
      <vt:lpstr>31년</vt:lpstr>
      <vt:lpstr>32년</vt:lpstr>
      <vt:lpstr>33년</vt:lpstr>
      <vt:lpstr>34년</vt:lpstr>
      <vt:lpstr>35년</vt:lpstr>
      <vt:lpstr>동탄</vt:lpstr>
      <vt:lpstr>화성</vt:lpstr>
      <vt:lpstr>파주</vt:lpstr>
      <vt:lpstr>광교</vt:lpstr>
      <vt:lpstr>판교</vt:lpstr>
      <vt:lpstr>삼송</vt:lpstr>
      <vt:lpstr>양산</vt:lpstr>
      <vt:lpstr>대구</vt:lpstr>
      <vt:lpstr>청주</vt:lpstr>
      <vt:lpstr>수원</vt:lpstr>
      <vt:lpstr>광주전남</vt:lpstr>
      <vt:lpstr>강남</vt:lpstr>
      <vt:lpstr>중앙</vt:lpstr>
      <vt:lpstr>고양</vt:lpstr>
      <vt:lpstr>용인</vt:lpstr>
      <vt:lpstr>분당</vt:lpstr>
      <vt:lpstr>세종</vt:lpstr>
      <vt:lpstr>김해</vt:lpstr>
      <vt:lpstr>평택</vt:lpstr>
      <vt:lpstr>26년 총원가 배분</vt:lpstr>
      <vt:lpstr>26년 본사 원가분배</vt:lpstr>
      <vt:lpstr>투자비</vt:lpstr>
      <vt:lpstr>고온부품(26)</vt:lpstr>
      <vt:lpstr>정기점검보수공사 일정(2026~2041)</vt:lpstr>
      <vt:lpstr>'고온부품(26)'!Print_Area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ProfileAdm</dc:creator>
  <cp:lastModifiedBy>User</cp:lastModifiedBy>
  <cp:lastPrinted>2026-04-17T00:39:14Z</cp:lastPrinted>
  <dcterms:created xsi:type="dcterms:W3CDTF">2022-03-14T00:08:24Z</dcterms:created>
  <dcterms:modified xsi:type="dcterms:W3CDTF">2026-08-03T07:50:52Z</dcterms:modified>
</cp:coreProperties>
</file>