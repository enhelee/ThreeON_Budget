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AI\예산예측프로그램\양식\표준화\"/>
    </mc:Choice>
  </mc:AlternateContent>
  <bookViews>
    <workbookView xWindow="-120" yWindow="-120" windowWidth="29040" windowHeight="15840" tabRatio="863" activeTab="4"/>
  </bookViews>
  <sheets>
    <sheet name="표준화방향" sheetId="29" r:id="rId1"/>
    <sheet name="생산자물가지수" sheetId="32" r:id="rId2"/>
    <sheet name="합계" sheetId="34" r:id="rId3"/>
    <sheet name="중대형chp" sheetId="33" r:id="rId4"/>
    <sheet name="동탄" sheetId="5" r:id="rId5"/>
    <sheet name="화성" sheetId="1" r:id="rId6"/>
    <sheet name="파주" sheetId="2" r:id="rId7"/>
    <sheet name="판교" sheetId="3" r:id="rId8"/>
    <sheet name="광교" sheetId="4" r:id="rId9"/>
    <sheet name="삼송" sheetId="6" r:id="rId10"/>
    <sheet name="양산" sheetId="27" r:id="rId11"/>
    <sheet name="대구" sheetId="8" r:id="rId12"/>
    <sheet name="청주" sheetId="12" r:id="rId13"/>
    <sheet name="소형CHP(여기부터)" sheetId="30" r:id="rId14"/>
    <sheet name="강남" sheetId="14" r:id="rId15"/>
    <sheet name="수원" sheetId="10" r:id="rId16"/>
    <sheet name="광주전남" sheetId="13" r:id="rId17"/>
    <sheet name="DH" sheetId="31" r:id="rId18"/>
    <sheet name="중앙" sheetId="15" r:id="rId19"/>
    <sheet name="분당" sheetId="24" r:id="rId20"/>
    <sheet name="고양" sheetId="16" r:id="rId21"/>
    <sheet name="용인" sheetId="23" r:id="rId22"/>
    <sheet name="세종" sheetId="25" r:id="rId23"/>
    <sheet name="김해" sheetId="26" r:id="rId24"/>
    <sheet name="평택" sheetId="28" r:id="rId2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0" l="1"/>
  <c r="B6" i="30"/>
  <c r="B7" i="30"/>
  <c r="B8" i="30"/>
  <c r="B9" i="30"/>
  <c r="B10" i="30"/>
  <c r="B11" i="30"/>
  <c r="B12" i="30"/>
  <c r="B13" i="30"/>
  <c r="B15" i="30"/>
  <c r="B16" i="30"/>
  <c r="B17" i="30"/>
  <c r="B18" i="30"/>
  <c r="B19" i="30"/>
  <c r="B20" i="30"/>
  <c r="B21" i="30"/>
  <c r="B4" i="30"/>
  <c r="B13" i="33"/>
  <c r="B14" i="33"/>
  <c r="B15" i="33"/>
  <c r="B16" i="33"/>
  <c r="B17" i="33"/>
  <c r="B18" i="33"/>
  <c r="B19" i="33"/>
  <c r="B20" i="33"/>
  <c r="B21" i="33"/>
  <c r="B4" i="33"/>
  <c r="B5" i="33"/>
  <c r="B6" i="33"/>
  <c r="B7" i="33"/>
  <c r="B8" i="33"/>
  <c r="B9" i="33"/>
  <c r="B10" i="33"/>
  <c r="B11" i="33"/>
  <c r="B12" i="33"/>
  <c r="C12" i="33"/>
  <c r="D12" i="33"/>
  <c r="E12" i="33"/>
  <c r="F12" i="33"/>
  <c r="G12" i="33"/>
  <c r="H12" i="33"/>
  <c r="I12" i="33"/>
  <c r="B31" i="13" l="1"/>
  <c r="C31" i="13" l="1"/>
  <c r="B20" i="31" l="1"/>
  <c r="B20" i="34" s="1"/>
  <c r="B19" i="31"/>
  <c r="B19" i="34" s="1"/>
  <c r="B18" i="31"/>
  <c r="B18" i="34" s="1"/>
  <c r="B17" i="31"/>
  <c r="B17" i="34" s="1"/>
  <c r="B16" i="31"/>
  <c r="B16" i="34" s="1"/>
  <c r="B15" i="31"/>
  <c r="B15" i="34" s="1"/>
  <c r="B14" i="31"/>
  <c r="B14" i="34" s="1"/>
  <c r="B11" i="31"/>
  <c r="B11" i="34" s="1"/>
  <c r="B10" i="31"/>
  <c r="B10" i="34" s="1"/>
  <c r="B9" i="31"/>
  <c r="B9" i="34" s="1"/>
  <c r="B8" i="31"/>
  <c r="B8" i="34" s="1"/>
  <c r="B7" i="31"/>
  <c r="B7" i="34" s="1"/>
  <c r="B6" i="31"/>
  <c r="B6" i="34" s="1"/>
  <c r="B5" i="31"/>
  <c r="B5" i="34" s="1"/>
  <c r="B4" i="31"/>
  <c r="B4" i="34" s="1"/>
  <c r="C4" i="33"/>
  <c r="C5" i="33"/>
  <c r="C6" i="33"/>
  <c r="C7" i="33"/>
  <c r="C8" i="33"/>
  <c r="C9" i="33"/>
  <c r="C10" i="33"/>
  <c r="C11" i="33"/>
  <c r="C14" i="33"/>
  <c r="C15" i="33"/>
  <c r="C16" i="33"/>
  <c r="C17" i="33"/>
  <c r="C18" i="33"/>
  <c r="C19" i="33"/>
  <c r="C20" i="33"/>
  <c r="C5" i="31"/>
  <c r="C6" i="31"/>
  <c r="C7" i="31"/>
  <c r="C8" i="31"/>
  <c r="C9" i="31"/>
  <c r="C10" i="31"/>
  <c r="C11" i="31"/>
  <c r="C14" i="31"/>
  <c r="C15" i="31"/>
  <c r="C16" i="31"/>
  <c r="C17" i="31"/>
  <c r="C18" i="31"/>
  <c r="C19" i="31"/>
  <c r="C20" i="31"/>
  <c r="C4" i="31"/>
  <c r="C5" i="30"/>
  <c r="C6" i="30"/>
  <c r="C7" i="30"/>
  <c r="C8" i="30"/>
  <c r="C9" i="30"/>
  <c r="C10" i="30"/>
  <c r="C11" i="30"/>
  <c r="C14" i="30"/>
  <c r="C15" i="30"/>
  <c r="C16" i="30"/>
  <c r="C17" i="30"/>
  <c r="C18" i="30"/>
  <c r="C19" i="30"/>
  <c r="C20" i="30"/>
  <c r="C4" i="30"/>
  <c r="D5" i="33"/>
  <c r="D6" i="33"/>
  <c r="D7" i="33"/>
  <c r="D8" i="33"/>
  <c r="D9" i="33"/>
  <c r="D10" i="33"/>
  <c r="D11" i="33"/>
  <c r="D14" i="33"/>
  <c r="D14" i="34" s="1"/>
  <c r="D15" i="33"/>
  <c r="D16" i="33"/>
  <c r="D17" i="33"/>
  <c r="D18" i="33"/>
  <c r="D19" i="33"/>
  <c r="D20" i="33"/>
  <c r="D4" i="33"/>
  <c r="C18" i="34" l="1"/>
  <c r="C8" i="34"/>
  <c r="C17" i="34"/>
  <c r="C7" i="34"/>
  <c r="C15" i="34"/>
  <c r="C5" i="34"/>
  <c r="C16" i="34"/>
  <c r="C14" i="34"/>
  <c r="C4" i="34"/>
  <c r="C11" i="34"/>
  <c r="C6" i="34"/>
  <c r="C10" i="34"/>
  <c r="C9" i="34"/>
  <c r="C20" i="34"/>
  <c r="C19" i="34"/>
  <c r="C12" i="30"/>
  <c r="C12" i="34" s="1"/>
  <c r="B13" i="31"/>
  <c r="B13" i="34" s="1"/>
  <c r="C12" i="31"/>
  <c r="B12" i="31"/>
  <c r="B12" i="34" s="1"/>
  <c r="B21" i="31"/>
  <c r="B21" i="34" s="1"/>
  <c r="C21" i="30"/>
  <c r="C13" i="33"/>
  <c r="C13" i="34" s="1"/>
  <c r="D21" i="33"/>
  <c r="C21" i="31"/>
  <c r="C21" i="33"/>
  <c r="C13" i="31"/>
  <c r="C13" i="30"/>
  <c r="C21" i="34" l="1"/>
  <c r="D4" i="30"/>
  <c r="D31" i="13" l="1"/>
  <c r="D15" i="30"/>
  <c r="J11" i="32"/>
  <c r="G4" i="31"/>
  <c r="H4" i="31"/>
  <c r="I4" i="31"/>
  <c r="D4" i="31"/>
  <c r="D4" i="34" s="1"/>
  <c r="D5" i="31"/>
  <c r="D6" i="31"/>
  <c r="D7" i="31"/>
  <c r="D8" i="31"/>
  <c r="D9" i="31"/>
  <c r="D10" i="31"/>
  <c r="D11" i="31"/>
  <c r="D11" i="30"/>
  <c r="G16" i="33"/>
  <c r="H16" i="33"/>
  <c r="I16" i="33"/>
  <c r="G17" i="33"/>
  <c r="H17" i="33"/>
  <c r="I17" i="33"/>
  <c r="G18" i="33"/>
  <c r="H18" i="33"/>
  <c r="I18" i="33"/>
  <c r="G19" i="33"/>
  <c r="H19" i="33"/>
  <c r="I19" i="33"/>
  <c r="G20" i="33"/>
  <c r="H20" i="33"/>
  <c r="I20" i="33"/>
  <c r="G15" i="33"/>
  <c r="H15" i="33"/>
  <c r="I15" i="33"/>
  <c r="E5" i="33"/>
  <c r="G5" i="33"/>
  <c r="H5" i="33"/>
  <c r="I5" i="33"/>
  <c r="G6" i="33"/>
  <c r="H6" i="33"/>
  <c r="I6" i="33"/>
  <c r="G7" i="33"/>
  <c r="I7" i="33"/>
  <c r="G8" i="33"/>
  <c r="H8" i="33"/>
  <c r="I8" i="33"/>
  <c r="E9" i="33"/>
  <c r="F9" i="33"/>
  <c r="G9" i="33"/>
  <c r="H9" i="33"/>
  <c r="I9" i="33"/>
  <c r="G10" i="33"/>
  <c r="H10" i="33"/>
  <c r="I10" i="33"/>
  <c r="G11" i="33"/>
  <c r="H11" i="33"/>
  <c r="I11" i="33"/>
  <c r="G4" i="33"/>
  <c r="H4" i="33"/>
  <c r="I4" i="33"/>
  <c r="D16" i="31"/>
  <c r="D17" i="31"/>
  <c r="D18" i="31"/>
  <c r="D19" i="31"/>
  <c r="D20" i="31"/>
  <c r="D21" i="31"/>
  <c r="D15" i="31"/>
  <c r="D16" i="30"/>
  <c r="D17" i="30"/>
  <c r="D18" i="30"/>
  <c r="D19" i="30"/>
  <c r="D20" i="30"/>
  <c r="D21" i="30"/>
  <c r="D6" i="30"/>
  <c r="D7" i="30"/>
  <c r="D8" i="30"/>
  <c r="D9" i="30"/>
  <c r="D10" i="30"/>
  <c r="D5" i="30"/>
  <c r="Q18" i="28"/>
  <c r="J12" i="32"/>
  <c r="Q24" i="12"/>
  <c r="E5" i="31"/>
  <c r="G5" i="31"/>
  <c r="H5" i="31"/>
  <c r="I5" i="31"/>
  <c r="G6" i="31"/>
  <c r="H6" i="31"/>
  <c r="I6" i="31"/>
  <c r="G7" i="31"/>
  <c r="H7" i="31"/>
  <c r="I7" i="31"/>
  <c r="G8" i="31"/>
  <c r="H8" i="31"/>
  <c r="I8" i="31"/>
  <c r="E9" i="31"/>
  <c r="F9" i="31"/>
  <c r="G9" i="31"/>
  <c r="H9" i="31"/>
  <c r="I9" i="31"/>
  <c r="G10" i="31"/>
  <c r="H10" i="31"/>
  <c r="I10" i="31"/>
  <c r="G11" i="31"/>
  <c r="H11" i="31"/>
  <c r="I11" i="31"/>
  <c r="E14" i="31"/>
  <c r="E14" i="34" s="1"/>
  <c r="F14" i="31"/>
  <c r="F14" i="34" s="1"/>
  <c r="G14" i="31"/>
  <c r="G14" i="34" s="1"/>
  <c r="H14" i="31"/>
  <c r="H14" i="34" s="1"/>
  <c r="I14" i="31"/>
  <c r="I14" i="34" s="1"/>
  <c r="G15" i="31"/>
  <c r="H15" i="31"/>
  <c r="I15" i="31"/>
  <c r="G16" i="31"/>
  <c r="H16" i="31"/>
  <c r="I16" i="31"/>
  <c r="G17" i="31"/>
  <c r="H17" i="31"/>
  <c r="I17" i="31"/>
  <c r="G18" i="31"/>
  <c r="H18" i="31"/>
  <c r="I18" i="31"/>
  <c r="G19" i="31"/>
  <c r="H19" i="31"/>
  <c r="I19" i="31"/>
  <c r="G20" i="31"/>
  <c r="H20" i="31"/>
  <c r="I20" i="31"/>
  <c r="F20" i="30"/>
  <c r="G20" i="30"/>
  <c r="H20" i="30"/>
  <c r="I20" i="30"/>
  <c r="F16" i="30"/>
  <c r="G16" i="30"/>
  <c r="H16" i="30"/>
  <c r="I16" i="30"/>
  <c r="F17" i="30"/>
  <c r="G17" i="30"/>
  <c r="H17" i="30"/>
  <c r="I17" i="30"/>
  <c r="F18" i="30"/>
  <c r="G18" i="30"/>
  <c r="H18" i="30"/>
  <c r="I18" i="30"/>
  <c r="F19" i="30"/>
  <c r="G19" i="30"/>
  <c r="H19" i="30"/>
  <c r="I19" i="30"/>
  <c r="F15" i="30"/>
  <c r="G15" i="30"/>
  <c r="H15" i="30"/>
  <c r="I15" i="30"/>
  <c r="E5" i="30"/>
  <c r="F5" i="30"/>
  <c r="G5" i="30"/>
  <c r="H5" i="30"/>
  <c r="I5" i="30"/>
  <c r="F6" i="30"/>
  <c r="G6" i="30"/>
  <c r="H6" i="30"/>
  <c r="I6" i="30"/>
  <c r="F7" i="30"/>
  <c r="G7" i="30"/>
  <c r="H7" i="30"/>
  <c r="I7" i="30"/>
  <c r="F8" i="30"/>
  <c r="G8" i="30"/>
  <c r="H8" i="30"/>
  <c r="I8" i="30"/>
  <c r="E9" i="30"/>
  <c r="F9" i="30"/>
  <c r="G9" i="30"/>
  <c r="H9" i="30"/>
  <c r="I9" i="30"/>
  <c r="F10" i="30"/>
  <c r="G10" i="30"/>
  <c r="H10" i="30"/>
  <c r="I10" i="30"/>
  <c r="F11" i="30"/>
  <c r="G11" i="30"/>
  <c r="H11" i="30"/>
  <c r="I11" i="30"/>
  <c r="F4" i="30"/>
  <c r="G4" i="30"/>
  <c r="H4" i="30"/>
  <c r="I4" i="30"/>
  <c r="P36" i="13"/>
  <c r="Q36" i="13"/>
  <c r="R36" i="13"/>
  <c r="S36" i="13"/>
  <c r="O36" i="13"/>
  <c r="H7" i="33"/>
  <c r="E31" i="13"/>
  <c r="G31" i="13"/>
  <c r="F31" i="13"/>
  <c r="K31" i="13"/>
  <c r="J31" i="13"/>
  <c r="I31" i="13"/>
  <c r="H31" i="13"/>
  <c r="L9" i="5"/>
  <c r="L13" i="5" s="1"/>
  <c r="E18" i="30"/>
  <c r="E17" i="30"/>
  <c r="E10" i="30"/>
  <c r="E7" i="30"/>
  <c r="E6" i="30"/>
  <c r="F20" i="33"/>
  <c r="F19" i="33"/>
  <c r="F18" i="33"/>
  <c r="F17" i="33"/>
  <c r="F16" i="33"/>
  <c r="F15" i="33"/>
  <c r="F11" i="33"/>
  <c r="F10" i="33"/>
  <c r="F8" i="33"/>
  <c r="F6" i="33"/>
  <c r="F5" i="33"/>
  <c r="F4" i="33"/>
  <c r="E20" i="33"/>
  <c r="E19" i="33"/>
  <c r="E18" i="33"/>
  <c r="E16" i="33"/>
  <c r="E11" i="33"/>
  <c r="E10" i="33"/>
  <c r="E8" i="33"/>
  <c r="E6" i="33"/>
  <c r="E4" i="33"/>
  <c r="D5" i="34" l="1"/>
  <c r="D7" i="34"/>
  <c r="D6" i="34"/>
  <c r="D17" i="34"/>
  <c r="D11" i="34"/>
  <c r="D10" i="34"/>
  <c r="D18" i="34"/>
  <c r="D15" i="34"/>
  <c r="D9" i="34"/>
  <c r="D8" i="34"/>
  <c r="D16" i="34"/>
  <c r="G4" i="34"/>
  <c r="I15" i="34"/>
  <c r="H9" i="34"/>
  <c r="G9" i="34"/>
  <c r="I4" i="34"/>
  <c r="G5" i="34"/>
  <c r="I6" i="34"/>
  <c r="G7" i="34"/>
  <c r="H15" i="34"/>
  <c r="D21" i="34"/>
  <c r="F9" i="34"/>
  <c r="H7" i="34"/>
  <c r="I10" i="34"/>
  <c r="I8" i="34"/>
  <c r="I5" i="34"/>
  <c r="H11" i="34"/>
  <c r="H10" i="34"/>
  <c r="H8" i="34"/>
  <c r="H5" i="34"/>
  <c r="G10" i="34"/>
  <c r="G8" i="34"/>
  <c r="I19" i="34"/>
  <c r="G17" i="34"/>
  <c r="H4" i="34"/>
  <c r="I9" i="34"/>
  <c r="I7" i="34"/>
  <c r="E5" i="34"/>
  <c r="I11" i="34"/>
  <c r="D20" i="34"/>
  <c r="H6" i="34"/>
  <c r="G15" i="34"/>
  <c r="D19" i="34"/>
  <c r="G11" i="34"/>
  <c r="E9" i="34"/>
  <c r="G6" i="34"/>
  <c r="G20" i="34"/>
  <c r="H17" i="34"/>
  <c r="H19" i="34"/>
  <c r="I16" i="34"/>
  <c r="G19" i="34"/>
  <c r="H16" i="34"/>
  <c r="I18" i="34"/>
  <c r="G16" i="34"/>
  <c r="H18" i="34"/>
  <c r="I20" i="34"/>
  <c r="G18" i="34"/>
  <c r="H20" i="34"/>
  <c r="I17" i="34"/>
  <c r="E15" i="33"/>
  <c r="E15" i="30"/>
  <c r="L19" i="16"/>
  <c r="H12" i="30"/>
  <c r="G12" i="31"/>
  <c r="I12" i="30"/>
  <c r="H12" i="31"/>
  <c r="I12" i="31"/>
  <c r="F12" i="30"/>
  <c r="D12" i="31"/>
  <c r="G12" i="30"/>
  <c r="D12" i="30"/>
  <c r="L16" i="23"/>
  <c r="L18" i="23"/>
  <c r="L17" i="23"/>
  <c r="L20" i="16"/>
  <c r="L18" i="16"/>
  <c r="L17" i="16"/>
  <c r="G13" i="30"/>
  <c r="I21" i="30"/>
  <c r="E19" i="30"/>
  <c r="E11" i="30"/>
  <c r="L17" i="25"/>
  <c r="E16" i="30"/>
  <c r="E7" i="33"/>
  <c r="F7" i="33"/>
  <c r="H13" i="33"/>
  <c r="D13" i="33"/>
  <c r="F7" i="31"/>
  <c r="E4" i="30"/>
  <c r="E20" i="30"/>
  <c r="E8" i="30"/>
  <c r="E11" i="31"/>
  <c r="F8" i="31"/>
  <c r="F8" i="34" s="1"/>
  <c r="I13" i="31"/>
  <c r="E8" i="31"/>
  <c r="F18" i="31"/>
  <c r="F18" i="34" s="1"/>
  <c r="F10" i="31"/>
  <c r="F10" i="34" s="1"/>
  <c r="F17" i="31"/>
  <c r="F17" i="34" s="1"/>
  <c r="L15" i="25"/>
  <c r="L19" i="25"/>
  <c r="L18" i="25"/>
  <c r="F16" i="31"/>
  <c r="F16" i="34" s="1"/>
  <c r="F19" i="31"/>
  <c r="F19" i="34" s="1"/>
  <c r="L20" i="25"/>
  <c r="L16" i="25"/>
  <c r="H13" i="31"/>
  <c r="H21" i="31"/>
  <c r="F5" i="31"/>
  <c r="F5" i="34" s="1"/>
  <c r="L19" i="23"/>
  <c r="L20" i="23"/>
  <c r="E18" i="31"/>
  <c r="E18" i="34" s="1"/>
  <c r="E7" i="31"/>
  <c r="F11" i="31"/>
  <c r="F11" i="34" s="1"/>
  <c r="L15" i="23"/>
  <c r="L16" i="16"/>
  <c r="I21" i="31"/>
  <c r="E20" i="31"/>
  <c r="E16" i="31"/>
  <c r="E10" i="31"/>
  <c r="E10" i="34" s="1"/>
  <c r="F20" i="31"/>
  <c r="F20" i="34" s="1"/>
  <c r="E17" i="31"/>
  <c r="G21" i="31"/>
  <c r="E4" i="31"/>
  <c r="D13" i="31"/>
  <c r="G13" i="31"/>
  <c r="F21" i="30"/>
  <c r="H21" i="30"/>
  <c r="I13" i="30"/>
  <c r="F13" i="30"/>
  <c r="D13" i="30"/>
  <c r="G21" i="30"/>
  <c r="H13" i="30"/>
  <c r="G21" i="33"/>
  <c r="I21" i="33"/>
  <c r="I13" i="33"/>
  <c r="G13" i="33"/>
  <c r="F15" i="31"/>
  <c r="F15" i="34" s="1"/>
  <c r="F6" i="31"/>
  <c r="F6" i="34" s="1"/>
  <c r="F13" i="33"/>
  <c r="E19" i="31"/>
  <c r="E6" i="31"/>
  <c r="E6" i="34" s="1"/>
  <c r="E15" i="31"/>
  <c r="F4" i="31"/>
  <c r="F4" i="34" s="1"/>
  <c r="L15" i="27"/>
  <c r="E17" i="33"/>
  <c r="E13" i="33"/>
  <c r="H21" i="33"/>
  <c r="H12" i="34" l="1"/>
  <c r="D12" i="34"/>
  <c r="G12" i="34"/>
  <c r="D13" i="34"/>
  <c r="I12" i="34"/>
  <c r="E20" i="34"/>
  <c r="G13" i="34"/>
  <c r="I13" i="34"/>
  <c r="I21" i="34"/>
  <c r="H13" i="34"/>
  <c r="G21" i="34"/>
  <c r="H21" i="34"/>
  <c r="E19" i="34"/>
  <c r="E8" i="34"/>
  <c r="E4" i="34"/>
  <c r="E16" i="34"/>
  <c r="E11" i="34"/>
  <c r="E15" i="34"/>
  <c r="E17" i="34"/>
  <c r="F7" i="34"/>
  <c r="E7" i="34"/>
  <c r="E12" i="31"/>
  <c r="F12" i="31"/>
  <c r="F12" i="34" s="1"/>
  <c r="E13" i="30"/>
  <c r="E12" i="30"/>
  <c r="F21" i="33"/>
  <c r="E21" i="30"/>
  <c r="E13" i="31"/>
  <c r="F21" i="31"/>
  <c r="E21" i="31"/>
  <c r="L21" i="16"/>
  <c r="F13" i="31"/>
  <c r="F13" i="34" s="1"/>
  <c r="E21" i="33"/>
  <c r="E21" i="34" l="1"/>
  <c r="F21" i="34"/>
  <c r="E12" i="34"/>
  <c r="E13" i="34"/>
</calcChain>
</file>

<file path=xl/comments1.xml><?xml version="1.0" encoding="utf-8"?>
<comments xmlns="http://schemas.openxmlformats.org/spreadsheetml/2006/main">
  <authors>
    <author>ProfileAdm</author>
  </authors>
  <commentList>
    <comment ref="L9" authorId="0" shapeId="0">
      <text>
        <r>
          <rPr>
            <b/>
            <sz val="9"/>
            <color indexed="81"/>
            <rFont val="돋움"/>
            <family val="3"/>
            <charset val="129"/>
          </rPr>
          <t>예산배정</t>
        </r>
        <r>
          <rPr>
            <b/>
            <sz val="9"/>
            <color indexed="81"/>
            <rFont val="Tahoma"/>
            <family val="2"/>
          </rPr>
          <t>+10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LTSA
</t>
        </r>
      </text>
    </comment>
    <comment ref="L16" authorId="0" shapeId="0">
      <text>
        <r>
          <rPr>
            <b/>
            <sz val="9"/>
            <color indexed="81"/>
            <rFont val="돋움"/>
            <family val="3"/>
            <charset val="129"/>
          </rPr>
          <t>예산배정</t>
        </r>
        <r>
          <rPr>
            <b/>
            <sz val="9"/>
            <color indexed="81"/>
            <rFont val="Tahoma"/>
            <family val="2"/>
          </rPr>
          <t>+10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0" shapeId="0">
      <text>
        <r>
          <rPr>
            <sz val="9"/>
            <color indexed="81"/>
            <rFont val="Tahoma"/>
            <family val="2"/>
          </rPr>
          <t>'19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열원</t>
        </r>
        <r>
          <rPr>
            <sz val="9"/>
            <color indexed="81"/>
            <rFont val="Tahoma"/>
            <family val="2"/>
          </rPr>
          <t xml:space="preserve"> 14.6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>, INTAKE Filter 3.0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약</t>
        </r>
        <r>
          <rPr>
            <sz val="9"/>
            <color indexed="81"/>
            <rFont val="Tahoma"/>
            <family val="2"/>
          </rPr>
          <t xml:space="preserve"> 13</t>
        </r>
        <r>
          <rPr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규모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" authorId="0" shapeId="0">
      <text>
        <r>
          <rPr>
            <b/>
            <sz val="9"/>
            <color indexed="81"/>
            <rFont val="돋움"/>
            <family val="3"/>
            <charset val="129"/>
          </rPr>
          <t>동탄</t>
        </r>
        <r>
          <rPr>
            <b/>
            <sz val="9"/>
            <color indexed="81"/>
            <rFont val="Tahoma"/>
            <family val="2"/>
          </rPr>
          <t xml:space="preserve"> LTSA </t>
        </r>
        <r>
          <rPr>
            <b/>
            <sz val="9"/>
            <color indexed="81"/>
            <rFont val="돋움"/>
            <family val="3"/>
            <charset val="129"/>
          </rPr>
          <t>변동비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 xml:space="preserve">ST </t>
        </r>
        <r>
          <rPr>
            <sz val="9"/>
            <color indexed="81"/>
            <rFont val="돋움"/>
            <family val="3"/>
            <charset val="129"/>
          </rPr>
          <t>고압부싱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공사비용</t>
        </r>
        <r>
          <rPr>
            <sz val="9"/>
            <color indexed="81"/>
            <rFont val="Tahoma"/>
            <family val="2"/>
          </rPr>
          <t>(10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F31" authorId="0" shapeId="0">
      <text>
        <r>
          <rPr>
            <b/>
            <sz val="9"/>
            <color indexed="81"/>
            <rFont val="돋움"/>
            <family val="3"/>
            <charset val="129"/>
          </rPr>
          <t>열수송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자산취득</t>
        </r>
        <r>
          <rPr>
            <b/>
            <sz val="9"/>
            <color indexed="81"/>
            <rFont val="Tahoma"/>
            <family val="2"/>
          </rPr>
          <t xml:space="preserve"> 3.5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ProfileAdm</author>
  </authors>
  <commentList>
    <comment ref="F31" authorId="0" shapeId="0">
      <text>
        <r>
          <rPr>
            <b/>
            <sz val="9"/>
            <color indexed="81"/>
            <rFont val="Tahoma"/>
            <family val="2"/>
          </rPr>
          <t>'21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제어분야</t>
        </r>
        <r>
          <rPr>
            <b/>
            <sz val="9"/>
            <color indexed="81"/>
            <rFont val="Tahoma"/>
            <family val="2"/>
          </rPr>
          <t xml:space="preserve"> GTC, STC </t>
        </r>
        <r>
          <rPr>
            <b/>
            <sz val="9"/>
            <color indexed="81"/>
            <rFont val="돋움"/>
            <family val="3"/>
            <charset val="129"/>
          </rPr>
          <t>교체공사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약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ProfileAdm</author>
  </authors>
  <commentList>
    <comment ref="B30" authorId="0" shapeId="0">
      <text>
        <r>
          <rPr>
            <sz val="9"/>
            <color indexed="81"/>
            <rFont val="Tahoma"/>
            <family val="2"/>
          </rPr>
          <t>GT#1 CRI</t>
        </r>
      </text>
    </comment>
    <comment ref="B31" authorId="0" shapeId="0">
      <text>
        <r>
          <rPr>
            <sz val="9"/>
            <color indexed="81"/>
            <rFont val="Tahoma"/>
            <family val="2"/>
          </rPr>
          <t xml:space="preserve">GT #1,2 Expansing Joint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Expansion Casing Flange </t>
        </r>
        <r>
          <rPr>
            <sz val="9"/>
            <color indexed="81"/>
            <rFont val="돋움"/>
            <family val="3"/>
            <charset val="129"/>
          </rPr>
          <t>구매</t>
        </r>
        <r>
          <rPr>
            <sz val="9"/>
            <color indexed="81"/>
            <rFont val="Tahoma"/>
            <family val="2"/>
          </rPr>
          <t>(10.6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D35" authorId="0" shapeId="0">
      <text>
        <r>
          <rPr>
            <b/>
            <sz val="9"/>
            <color indexed="81"/>
            <rFont val="돋움"/>
            <family val="3"/>
            <charset val="129"/>
          </rPr>
          <t>화성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저용
</t>
        </r>
      </text>
    </comment>
  </commentList>
</comments>
</file>

<file path=xl/comments4.xml><?xml version="1.0" encoding="utf-8"?>
<comments xmlns="http://schemas.openxmlformats.org/spreadsheetml/2006/main">
  <authors>
    <author>ProfileAdm</author>
  </authors>
  <commentList>
    <comment ref="C31" authorId="0" shapeId="0">
      <text>
        <r>
          <rPr>
            <sz val="9"/>
            <color indexed="81"/>
            <rFont val="돋움"/>
            <family val="3"/>
            <charset val="129"/>
          </rPr>
          <t>증기터빈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제어이스템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공사</t>
        </r>
        <r>
          <rPr>
            <sz val="9"/>
            <color indexed="81"/>
            <rFont val="Tahoma"/>
            <family val="2"/>
          </rPr>
          <t>(8.8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5.xml><?xml version="1.0" encoding="utf-8"?>
<comments xmlns="http://schemas.openxmlformats.org/spreadsheetml/2006/main">
  <authors>
    <author>ProfileAdm</author>
  </authors>
  <commentList>
    <comment ref="D35" authorId="0" shapeId="0">
      <text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저용</t>
        </r>
      </text>
    </comment>
    <comment ref="E35" authorId="0" shapeId="0">
      <text>
        <r>
          <rPr>
            <sz val="9"/>
            <color indexed="81"/>
            <rFont val="돋움"/>
            <family val="3"/>
            <charset val="129"/>
          </rPr>
          <t>판교</t>
        </r>
        <r>
          <rPr>
            <sz val="9"/>
            <color indexed="81"/>
            <rFont val="Tahoma"/>
            <family val="2"/>
          </rPr>
          <t xml:space="preserve"> TI
</t>
        </r>
      </text>
    </comment>
    <comment ref="E38" authorId="0" shapeId="0">
      <text>
        <r>
          <rPr>
            <b/>
            <sz val="9"/>
            <color indexed="81"/>
            <rFont val="돋움"/>
            <family val="3"/>
            <charset val="129"/>
          </rPr>
          <t>판교</t>
        </r>
        <r>
          <rPr>
            <b/>
            <sz val="9"/>
            <color indexed="81"/>
            <rFont val="Tahoma"/>
            <family val="2"/>
          </rPr>
          <t xml:space="preserve"> TI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ProfileAdm</author>
  </authors>
  <commentList>
    <comment ref="G31" authorId="0" shapeId="0">
      <text>
        <r>
          <rPr>
            <b/>
            <sz val="9"/>
            <color indexed="81"/>
            <rFont val="Tahoma"/>
            <family val="2"/>
          </rPr>
          <t xml:space="preserve">ECMS DSC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2.7</t>
        </r>
        <r>
          <rPr>
            <b/>
            <sz val="9"/>
            <color indexed="81"/>
            <rFont val="돋움"/>
            <family val="3"/>
            <charset val="129"/>
          </rPr>
          <t xml:space="preserve">억임
</t>
        </r>
      </text>
    </comment>
  </commentList>
</comments>
</file>

<file path=xl/comments7.xml><?xml version="1.0" encoding="utf-8"?>
<comments xmlns="http://schemas.openxmlformats.org/spreadsheetml/2006/main">
  <authors>
    <author>ProfileAdm</author>
  </authors>
  <commentList>
    <comment ref="D10" authorId="0" shapeId="0">
      <text>
        <r>
          <rPr>
            <b/>
            <sz val="9"/>
            <color indexed="81"/>
            <rFont val="돋움"/>
            <family val="3"/>
            <charset val="129"/>
          </rPr>
          <t>준공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고온부품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ProfileAdm</author>
  </authors>
  <commentList>
    <comment ref="B31" authorId="0" shapeId="0">
      <text>
        <r>
          <rPr>
            <sz val="9"/>
            <color indexed="81"/>
            <rFont val="돋움"/>
            <family val="3"/>
            <charset val="129"/>
          </rPr>
          <t>축열조</t>
        </r>
        <r>
          <rPr>
            <sz val="9"/>
            <color indexed="81"/>
            <rFont val="Tahoma"/>
            <family val="2"/>
          </rPr>
          <t xml:space="preserve">#2 </t>
        </r>
        <r>
          <rPr>
            <sz val="9"/>
            <color indexed="81"/>
            <rFont val="돋움"/>
            <family val="3"/>
            <charset val="129"/>
          </rPr>
          <t>상부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보수공사</t>
        </r>
        <r>
          <rPr>
            <sz val="9"/>
            <color indexed="81"/>
            <rFont val="Tahoma"/>
            <family val="2"/>
          </rPr>
          <t>(7.6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), PLBw#2 </t>
        </r>
        <r>
          <rPr>
            <sz val="9"/>
            <color indexed="81"/>
            <rFont val="돋움"/>
            <family val="3"/>
            <charset val="129"/>
          </rPr>
          <t>대류전열부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>(6.9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>
  <authors>
    <author>ProfileAdm</author>
  </authors>
  <commentList>
    <comment ref="B30" authorId="0" shapeId="0">
      <text>
        <r>
          <rPr>
            <sz val="9"/>
            <color indexed="81"/>
            <rFont val="돋움"/>
            <family val="3"/>
            <charset val="129"/>
          </rPr>
          <t>청주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고온부품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준공대가</t>
        </r>
      </text>
    </comment>
  </commentList>
</comments>
</file>

<file path=xl/comments10.xml><?xml version="1.0" encoding="utf-8"?>
<comments xmlns="http://schemas.openxmlformats.org/spreadsheetml/2006/main">
  <authors>
    <author>ProfileAdm</author>
  </authors>
  <commentList>
    <comment ref="G31" authorId="0" shapeId="0">
      <text>
        <r>
          <rPr>
            <sz val="9"/>
            <color indexed="81"/>
            <rFont val="돋움"/>
            <family val="3"/>
            <charset val="129"/>
          </rPr>
          <t>통합법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PLB </t>
        </r>
        <r>
          <rPr>
            <sz val="9"/>
            <color indexed="81"/>
            <rFont val="돋움"/>
            <family val="3"/>
            <charset val="129"/>
          </rPr>
          <t>버너교체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유지보수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제외시</t>
        </r>
        <r>
          <rPr>
            <sz val="9"/>
            <color indexed="81"/>
            <rFont val="Tahoma"/>
            <family val="2"/>
          </rPr>
          <t xml:space="preserve"> 4.2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ProfileAdm</author>
  </authors>
  <commentList>
    <comment ref="B31" authorId="0" shapeId="0">
      <text>
        <r>
          <rPr>
            <sz val="9"/>
            <color indexed="81"/>
            <rFont val="돋움"/>
            <family val="3"/>
            <charset val="129"/>
          </rPr>
          <t>축열조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긴급보수공사</t>
        </r>
        <r>
          <rPr>
            <sz val="9"/>
            <color indexed="81"/>
            <rFont val="Tahoma"/>
            <family val="2"/>
          </rPr>
          <t>(11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'21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열교환기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튜브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전량교체</t>
        </r>
        <r>
          <rPr>
            <b/>
            <sz val="9"/>
            <color indexed="81"/>
            <rFont val="Tahoma"/>
            <family val="2"/>
          </rPr>
          <t xml:space="preserve"> 12.6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억원</t>
        </r>
      </text>
    </comment>
    <comment ref="D44" authorId="0" shapeId="0">
      <text>
        <r>
          <rPr>
            <b/>
            <sz val="9"/>
            <color indexed="81"/>
            <rFont val="돋움"/>
            <family val="3"/>
            <charset val="129"/>
          </rPr>
          <t>당초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계획되었던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소요되었던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예산</t>
        </r>
      </text>
    </comment>
  </commentList>
</comments>
</file>

<file path=xl/comments12.xml><?xml version="1.0" encoding="utf-8"?>
<comments xmlns="http://schemas.openxmlformats.org/spreadsheetml/2006/main">
  <authors>
    <author>ProfileAdm</author>
  </authors>
  <commentList>
    <comment ref="G31" authorId="0" shapeId="0">
      <text>
        <r>
          <rPr>
            <b/>
            <sz val="9"/>
            <color indexed="81"/>
            <rFont val="Tahoma"/>
            <family val="2"/>
          </rPr>
          <t xml:space="preserve">NSPV </t>
        </r>
        <r>
          <rPr>
            <b/>
            <sz val="9"/>
            <color indexed="81"/>
            <rFont val="돋움"/>
            <family val="3"/>
            <charset val="129"/>
          </rPr>
          <t>개체공사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억원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약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억원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분산제어설비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개선공사</t>
        </r>
        <r>
          <rPr>
            <sz val="9"/>
            <color indexed="81"/>
            <rFont val="Tahoma"/>
            <family val="2"/>
          </rPr>
          <t>(31.5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34.2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계획되어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comments13.xml><?xml version="1.0" encoding="utf-8"?>
<comments xmlns="http://schemas.openxmlformats.org/spreadsheetml/2006/main">
  <authors>
    <author>ProfileAdm</author>
  </authors>
  <commentList>
    <comment ref="C31" authorId="0" shapeId="0">
      <text>
        <r>
          <rPr>
            <sz val="9"/>
            <color indexed="81"/>
            <rFont val="돋움"/>
            <family val="3"/>
            <charset val="129"/>
          </rPr>
          <t>도촌가압장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판형열교환기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구매설치</t>
        </r>
        <r>
          <rPr>
            <sz val="9"/>
            <color indexed="81"/>
            <rFont val="Tahoma"/>
            <family val="2"/>
          </rPr>
          <t>(4.1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도촌가압장</t>
        </r>
        <r>
          <rPr>
            <sz val="9"/>
            <color indexed="81"/>
            <rFont val="Tahoma"/>
            <family val="2"/>
          </rPr>
          <t xml:space="preserve"> 4.1</t>
        </r>
        <r>
          <rPr>
            <sz val="9"/>
            <color indexed="81"/>
            <rFont val="돋움"/>
            <family val="3"/>
            <charset val="129"/>
          </rPr>
          <t>억이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포함돼있으나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대장동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전력감시시스템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설치공사</t>
        </r>
        <r>
          <rPr>
            <sz val="9"/>
            <color indexed="81"/>
            <rFont val="Tahoma"/>
            <family val="2"/>
          </rPr>
          <t>(3.6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있어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개년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comments14.xml><?xml version="1.0" encoding="utf-8"?>
<comments xmlns="http://schemas.openxmlformats.org/spreadsheetml/2006/main">
  <authors>
    <author>ProfileAdm</author>
  </authors>
  <commentList>
    <comment ref="B30" authorId="0" shapeId="0">
      <text>
        <r>
          <rPr>
            <sz val="9"/>
            <color indexed="81"/>
            <rFont val="돋움"/>
            <family val="3"/>
            <charset val="129"/>
          </rPr>
          <t>일산복합화력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수열배관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보수공사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'22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빙축열조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개선공사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제외시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b/>
            <sz val="9"/>
            <color indexed="81"/>
            <rFont val="돋움"/>
            <family val="3"/>
            <charset val="129"/>
          </rPr>
          <t>억원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26</t>
        </r>
        <r>
          <rPr>
            <sz val="9"/>
            <color indexed="81"/>
            <rFont val="돋움"/>
            <family val="3"/>
            <charset val="129"/>
          </rPr>
          <t>년도에도</t>
        </r>
        <r>
          <rPr>
            <sz val="9"/>
            <color indexed="81"/>
            <rFont val="Tahoma"/>
            <family val="2"/>
          </rPr>
          <t xml:space="preserve"> 16.2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산정돼있어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개년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comments15.xml><?xml version="1.0" encoding="utf-8"?>
<comments xmlns="http://schemas.openxmlformats.org/spreadsheetml/2006/main">
  <authors>
    <author>ProfileAdm</author>
  </authors>
  <commentList>
    <comment ref="C31" authorId="0" shapeId="0">
      <text>
        <r>
          <rPr>
            <sz val="9"/>
            <color indexed="81"/>
            <rFont val="돋움"/>
            <family val="3"/>
            <charset val="129"/>
          </rPr>
          <t>분산제어설비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통합보안시스템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구매설치</t>
        </r>
        <r>
          <rPr>
            <sz val="9"/>
            <color indexed="81"/>
            <rFont val="Tahoma"/>
            <family val="2"/>
          </rPr>
          <t>(3.7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E31" authorId="0" shapeId="0">
      <text>
        <r>
          <rPr>
            <b/>
            <sz val="9"/>
            <color indexed="81"/>
            <rFont val="돋움"/>
            <family val="3"/>
            <charset val="129"/>
          </rPr>
          <t>분당연계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열교환기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분산제어설비</t>
        </r>
        <r>
          <rPr>
            <b/>
            <sz val="9"/>
            <color indexed="81"/>
            <rFont val="Tahoma"/>
            <family val="2"/>
          </rPr>
          <t xml:space="preserve"> 9.3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저녹스버너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7.8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제외시</t>
        </r>
        <r>
          <rPr>
            <b/>
            <sz val="9"/>
            <color indexed="81"/>
            <rFont val="Tahoma"/>
            <family val="2"/>
          </rPr>
          <t xml:space="preserve"> 1.8</t>
        </r>
        <r>
          <rPr>
            <b/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>
      <text>
        <r>
          <rPr>
            <sz val="9"/>
            <color indexed="81"/>
            <rFont val="Tahoma"/>
            <family val="2"/>
          </rPr>
          <t>24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비정기</t>
        </r>
        <r>
          <rPr>
            <sz val="9"/>
            <color indexed="81"/>
            <rFont val="Tahoma"/>
            <family val="2"/>
          </rPr>
          <t xml:space="preserve"> 3.7</t>
        </r>
        <r>
          <rPr>
            <sz val="9"/>
            <color indexed="81"/>
            <rFont val="돋움"/>
            <family val="3"/>
            <charset val="129"/>
          </rPr>
          <t>억이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포함돼있으나</t>
        </r>
        <r>
          <rPr>
            <sz val="9"/>
            <color indexed="81"/>
            <rFont val="Tahoma"/>
            <family val="2"/>
          </rPr>
          <t xml:space="preserve"> 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분산제어설비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성능개선</t>
        </r>
        <r>
          <rPr>
            <sz val="9"/>
            <color indexed="81"/>
            <rFont val="Tahoma"/>
            <family val="2"/>
          </rPr>
          <t>(7.6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), </t>
        </r>
        <r>
          <rPr>
            <sz val="9"/>
            <color indexed="81"/>
            <rFont val="돋움"/>
            <family val="3"/>
            <charset val="129"/>
          </rPr>
          <t>특고압배전반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구매설치</t>
        </r>
        <r>
          <rPr>
            <sz val="9"/>
            <color indexed="81"/>
            <rFont val="Tahoma"/>
            <family val="2"/>
          </rPr>
          <t>(6.8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있어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개년으로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comments16.xml><?xml version="1.0" encoding="utf-8"?>
<comments xmlns="http://schemas.openxmlformats.org/spreadsheetml/2006/main">
  <authors>
    <author>ProfileAdm</author>
  </authors>
  <commentList>
    <comment ref="E17" authorId="0" shapeId="0">
      <text>
        <r>
          <rPr>
            <b/>
            <sz val="9"/>
            <color indexed="81"/>
            <rFont val="돋움"/>
            <family val="3"/>
            <charset val="129"/>
          </rPr>
          <t>플랜트제어시스템</t>
        </r>
      </text>
    </comment>
    <comment ref="B31" authorId="0" shapeId="0">
      <text>
        <r>
          <rPr>
            <sz val="9"/>
            <color indexed="81"/>
            <rFont val="돋움"/>
            <family val="3"/>
            <charset val="129"/>
          </rPr>
          <t>분산제어설비</t>
        </r>
        <r>
          <rPr>
            <sz val="9"/>
            <color indexed="81"/>
            <rFont val="Tahoma"/>
            <family val="2"/>
          </rPr>
          <t xml:space="preserve"> HMI </t>
        </r>
        <r>
          <rPr>
            <sz val="9"/>
            <color indexed="81"/>
            <rFont val="돋움"/>
            <family val="3"/>
            <charset val="129"/>
          </rPr>
          <t>개체</t>
        </r>
        <r>
          <rPr>
            <sz val="9"/>
            <color indexed="81"/>
            <rFont val="Tahoma"/>
            <family val="2"/>
          </rPr>
          <t>(8.6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comments17.xml><?xml version="1.0" encoding="utf-8"?>
<comments xmlns="http://schemas.openxmlformats.org/spreadsheetml/2006/main">
  <authors>
    <author>ProfileAdm</author>
  </authors>
  <commentList>
    <comment ref="B30" authorId="0" shapeId="0">
      <text>
        <r>
          <rPr>
            <sz val="9"/>
            <color indexed="81"/>
            <rFont val="돋움"/>
            <family val="3"/>
            <charset val="129"/>
          </rPr>
          <t>김해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자원순환시설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수열배관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교체공사</t>
        </r>
      </text>
    </comment>
    <comment ref="F31" authorId="0" shapeId="0">
      <text>
        <r>
          <rPr>
            <sz val="9"/>
            <color indexed="81"/>
            <rFont val="Tahoma"/>
            <family val="2"/>
          </rPr>
          <t xml:space="preserve">TMS </t>
        </r>
        <r>
          <rPr>
            <sz val="9"/>
            <color indexed="81"/>
            <rFont val="돋움"/>
            <family val="3"/>
            <charset val="129"/>
          </rPr>
          <t>개체</t>
        </r>
        <r>
          <rPr>
            <sz val="9"/>
            <color indexed="81"/>
            <rFont val="Tahoma"/>
            <family val="2"/>
          </rPr>
          <t xml:space="preserve"> 2.5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제외시</t>
        </r>
        <r>
          <rPr>
            <sz val="9"/>
            <color indexed="81"/>
            <rFont val="Tahoma"/>
            <family val="2"/>
          </rPr>
          <t xml:space="preserve"> 2.4</t>
        </r>
        <r>
          <rPr>
            <sz val="9"/>
            <color indexed="81"/>
            <rFont val="돋움"/>
            <family val="3"/>
            <charset val="129"/>
          </rPr>
          <t>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0" shapeId="0">
      <text>
        <r>
          <rPr>
            <b/>
            <sz val="9"/>
            <color indexed="81"/>
            <rFont val="Tahoma"/>
            <family val="2"/>
          </rPr>
          <t xml:space="preserve">VCB </t>
        </r>
        <r>
          <rPr>
            <b/>
            <sz val="9"/>
            <color indexed="81"/>
            <rFont val="돋움"/>
            <family val="3"/>
            <charset val="129"/>
          </rPr>
          <t>교체공사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<sst xmlns="http://schemas.openxmlformats.org/spreadsheetml/2006/main" count="869" uniqueCount="78">
  <si>
    <t>저장품-열원(보수)</t>
  </si>
  <si>
    <t>건 물</t>
  </si>
  <si>
    <t>구축물</t>
  </si>
  <si>
    <t>기계장치</t>
  </si>
  <si>
    <t>건설중인자산-자산화예비품</t>
  </si>
  <si>
    <t>자본소계</t>
  </si>
  <si>
    <t>수선유지비-건물/구축물</t>
  </si>
  <si>
    <t>수선유지비-열원정기점검</t>
  </si>
  <si>
    <t>수선유지비-열원경상정비</t>
  </si>
  <si>
    <t>수선유지비-열원정기유지보수</t>
  </si>
  <si>
    <t>수선유지비-열원보완개선및기타</t>
  </si>
  <si>
    <t>지급수수료-열원점검수수료</t>
  </si>
  <si>
    <t>손익소계</t>
  </si>
  <si>
    <t>단위 : 천원</t>
    <phoneticPr fontId="2" type="noConversion"/>
  </si>
  <si>
    <t>#1 GT</t>
    <phoneticPr fontId="2" type="noConversion"/>
  </si>
  <si>
    <t>#2 GT</t>
    <phoneticPr fontId="2" type="noConversion"/>
  </si>
  <si>
    <t>ST</t>
    <phoneticPr fontId="2" type="noConversion"/>
  </si>
  <si>
    <t>건설중인자산-재생고온부품</t>
    <phoneticPr fontId="2" type="noConversion"/>
  </si>
  <si>
    <t>공구와기구-열원시설공기구</t>
    <phoneticPr fontId="2" type="noConversion"/>
  </si>
  <si>
    <t>건가-외주비-열원정기점검</t>
    <phoneticPr fontId="2" type="noConversion"/>
  </si>
  <si>
    <t>등급</t>
    <phoneticPr fontId="2" type="noConversion"/>
  </si>
  <si>
    <t>ST 기준</t>
    <phoneticPr fontId="2" type="noConversion"/>
  </si>
  <si>
    <t>SRF &amp; PLB</t>
    <phoneticPr fontId="2" type="noConversion"/>
  </si>
  <si>
    <t>일원(ST)</t>
    <phoneticPr fontId="2" type="noConversion"/>
  </si>
  <si>
    <t>동남권(GT)</t>
    <phoneticPr fontId="2" type="noConversion"/>
  </si>
  <si>
    <t>등급</t>
    <phoneticPr fontId="2" type="noConversion"/>
  </si>
  <si>
    <t>기계장치</t>
    <phoneticPr fontId="2" type="noConversion"/>
  </si>
  <si>
    <t xml:space="preserve"> - (정기) 고온부품재생, LTSA</t>
    <phoneticPr fontId="2" type="noConversion"/>
  </si>
  <si>
    <t xml:space="preserve"> - (비정기, 표준화) 기타기계장치</t>
    <phoneticPr fontId="2" type="noConversion"/>
  </si>
  <si>
    <t>참고(2023) 배정</t>
    <phoneticPr fontId="2" type="noConversion"/>
  </si>
  <si>
    <t xml:space="preserve"> - (정기) CRI</t>
    <phoneticPr fontId="2" type="noConversion"/>
  </si>
  <si>
    <t xml:space="preserve"> - (정기?) CRI</t>
    <phoneticPr fontId="2" type="noConversion"/>
  </si>
  <si>
    <t>* 광주전남은 '22년 이후 본격 가동으로 인한 유지보수 비용 발생 중</t>
    <phoneticPr fontId="2" type="noConversion"/>
  </si>
  <si>
    <t>손익예산 Standization</t>
    <phoneticPr fontId="2" type="noConversion"/>
  </si>
  <si>
    <t>비고</t>
    <phoneticPr fontId="2" type="noConversion"/>
  </si>
  <si>
    <t>자본예산 Standization</t>
    <phoneticPr fontId="2" type="noConversion"/>
  </si>
  <si>
    <t>기계장치</t>
    <phoneticPr fontId="2" type="noConversion"/>
  </si>
  <si>
    <t>공구와기구</t>
    <phoneticPr fontId="2" type="noConversion"/>
  </si>
  <si>
    <t>건설중인자산-자산화예비품</t>
    <phoneticPr fontId="2" type="noConversion"/>
  </si>
  <si>
    <t>저장품-열원(보수)</t>
    <phoneticPr fontId="2" type="noConversion"/>
  </si>
  <si>
    <t>건가-외주비-열원정기점검</t>
    <phoneticPr fontId="2" type="noConversion"/>
  </si>
  <si>
    <t>ST #1,2</t>
    <phoneticPr fontId="2" type="noConversion"/>
  </si>
  <si>
    <t>GT</t>
    <phoneticPr fontId="2" type="noConversion"/>
  </si>
  <si>
    <t>동탄 정기유지보수 관련</t>
    <phoneticPr fontId="2" type="noConversion"/>
  </si>
  <si>
    <t xml:space="preserve"> - (정기) GT LTSA</t>
    <phoneticPr fontId="2" type="noConversion"/>
  </si>
  <si>
    <t xml:space="preserve"> - (정기) 연료전지 LTSA</t>
    <phoneticPr fontId="2" type="noConversion"/>
  </si>
  <si>
    <t xml:space="preserve"> - (나머지) 유지보수 용역</t>
    <phoneticPr fontId="2" type="noConversion"/>
  </si>
  <si>
    <t>수선유지비-열원정기유지보수(LTSA 제외)</t>
    <phoneticPr fontId="2" type="noConversion"/>
  </si>
  <si>
    <t>*강남지사는 최근 설비노후화로 인해 설비개선 소요가 점점 증가중에 있음, 특히 자본적 지출예산을 추가로 계상하여 표준화 완료</t>
    <phoneticPr fontId="2" type="noConversion"/>
  </si>
  <si>
    <t>A급</t>
    <phoneticPr fontId="2" type="noConversion"/>
  </si>
  <si>
    <t>B급</t>
    <phoneticPr fontId="2" type="noConversion"/>
  </si>
  <si>
    <t>C급</t>
    <phoneticPr fontId="2" type="noConversion"/>
  </si>
  <si>
    <t>* 냉동기 개체등의 비용은 건가/외주비로 집행예정이라 기타기계장치 보정 추가X</t>
    <phoneticPr fontId="2" type="noConversion"/>
  </si>
  <si>
    <t>*** 통합발주대비 중앙, 고양, 용인, 분당 경상정비도 보정률 반영</t>
    <phoneticPr fontId="2" type="noConversion"/>
  </si>
  <si>
    <t>2022년</t>
    <phoneticPr fontId="2" type="noConversion"/>
  </si>
  <si>
    <t>2021년</t>
    <phoneticPr fontId="2" type="noConversion"/>
  </si>
  <si>
    <t>2020년</t>
    <phoneticPr fontId="2" type="noConversion"/>
  </si>
  <si>
    <t>2019년</t>
    <phoneticPr fontId="2" type="noConversion"/>
  </si>
  <si>
    <t>2018년</t>
    <phoneticPr fontId="2" type="noConversion"/>
  </si>
  <si>
    <t>생산자물가지수</t>
    <phoneticPr fontId="2" type="noConversion"/>
  </si>
  <si>
    <t>건설공사비지수</t>
    <phoneticPr fontId="2" type="noConversion"/>
  </si>
  <si>
    <t>2023년</t>
    <phoneticPr fontId="2" type="noConversion"/>
  </si>
  <si>
    <t>* 양산지사는 중대형CHP 보수예산이 '25년부터 본격적으로 발생하여 25년 예산을 예외적으로 표준화에 사용함</t>
    <phoneticPr fontId="2" type="noConversion"/>
  </si>
  <si>
    <t>* 수원 a급정비실적은 당초 22년에 계획단 작업 일부 시행못한것이라 배정예산으로 기입</t>
    <phoneticPr fontId="2" type="noConversion"/>
  </si>
  <si>
    <t>** 중앙, 고양 냉방지사는 노후화 보정률 1.2 시행</t>
    <phoneticPr fontId="2" type="noConversion"/>
  </si>
  <si>
    <t>* 고양사업소 기타기계장치 연간 표준화 금액은 8억원 정도로 보임</t>
    <phoneticPr fontId="2" type="noConversion"/>
  </si>
  <si>
    <r>
      <t xml:space="preserve">&lt;'25년 표준화&gt;
</t>
    </r>
    <r>
      <rPr>
        <sz val="11"/>
        <color theme="1"/>
        <rFont val="맑은 고딕"/>
        <family val="2"/>
        <charset val="129"/>
        <scheme val="minor"/>
      </rPr>
      <t xml:space="preserve"> - '23년 실적을 반영하여 표준화 시행, 양산대구청주지사는 실적이 더 쌓여야 가능할것으로 보임
1. 중대형CHP 관련 정기적 비용 산출(완료)
  - LTSA, 고온부품 재생보수등의 비용을 제외하고 나머지금액(기타기계장치) 대상 표준화
2. 신규 양산, 대구, 청주의 경우 양산, 청주는 기존설비 유지보수 비용이 제외되거나 크지않을 것으로 보임
 - 대구는 유류CHP , PLB가 제외되어 우드칩 유지보수 비용은 반영되어야 할 것으로 보임
3. 정기점검보수공사 등 비용
  - A, B, C급 토대로 비용을 산정하고 예측한다
4. 위의 실적을 기반으로
 1) 손익/자본예산
 2) 손익예산(수선유지비, 지급수수료)
  - 중대형, 소형, DH 지사 표준화 실시
 3) 자본예산(기계장치, 예비품 등)
 - 중대형, 소형, DH 대상 표준화 실시
 4) LTSA, 고온부품 재생비용은 보수등급별 표준화 보다는 연도별 집행계획(LTSA회계처리변경, 장기유지보수 계약방향 고려) 산정하도록 한다
 </t>
    </r>
    <r>
      <rPr>
        <b/>
        <sz val="11"/>
        <color theme="1"/>
        <rFont val="맑은 고딕"/>
        <family val="3"/>
        <charset val="129"/>
        <scheme val="minor"/>
      </rPr>
      <t>5) 중요: 기존 표준화 및 중장기 보고시 CRI 비용이 많이 누락이 되었다. 주기&amp;시기와 비용등을 표준화가 필요해보인다
   - 통상적으로 MI때 반출한 로터를 +1년 OR +2년에 다시들어와서 동일기종 다른지사(화성-&gt;파주, 파주-&gt;화성) 에 장착하는 것으로 보인다
 6) 세종 지사 북세종 준공 '24년 이후 역무 증가</t>
    </r>
    <phoneticPr fontId="2" type="noConversion"/>
  </si>
  <si>
    <t>2024년</t>
    <phoneticPr fontId="2" type="noConversion"/>
  </si>
  <si>
    <t>2025년</t>
    <phoneticPr fontId="2" type="noConversion"/>
  </si>
  <si>
    <t>투자비</t>
    <phoneticPr fontId="2" type="noConversion"/>
  </si>
  <si>
    <t>DH</t>
    <phoneticPr fontId="2" type="noConversion"/>
  </si>
  <si>
    <t xml:space="preserve"> - 투자비</t>
    <phoneticPr fontId="2" type="noConversion"/>
  </si>
  <si>
    <t>대구 청주 포함</t>
    <phoneticPr fontId="2" type="noConversion"/>
  </si>
  <si>
    <t>대구 청주 제외</t>
    <phoneticPr fontId="2" type="noConversion"/>
  </si>
  <si>
    <t>`</t>
    <phoneticPr fontId="2" type="noConversion"/>
  </si>
  <si>
    <t>`</t>
    <phoneticPr fontId="2" type="noConversion"/>
  </si>
  <si>
    <t>`</t>
    <phoneticPr fontId="2" type="noConversion"/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</si>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</sst>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name val="맑은 고딕"/>
      <family val="2"/>
      <charset val="129"/>
      <scheme val="minor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1" fillId="0" borderId="0" applyFont="0" applyFill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Fill="1" applyBorder="1">
      <alignment vertical="center"/>
    </xf>
    <xf numFmtId="41" fontId="0" fillId="0" borderId="1" xfId="1" applyFont="1" applyFill="1" applyBorder="1">
      <alignment vertical="center"/>
    </xf>
    <xf numFmtId="41" fontId="4" fillId="0" borderId="1" xfId="1" applyFont="1" applyFill="1" applyBorder="1">
      <alignment vertical="center"/>
    </xf>
    <xf numFmtId="41" fontId="3" fillId="0" borderId="1" xfId="1" applyFont="1" applyFill="1" applyBorder="1" applyAlignment="1">
      <alignment vertical="top"/>
    </xf>
    <xf numFmtId="0" fontId="0" fillId="0" borderId="0" xfId="0" applyAlignment="1">
      <alignment horizontal="right" vertical="center"/>
    </xf>
    <xf numFmtId="41" fontId="5" fillId="0" borderId="1" xfId="1" applyFont="1" applyFill="1" applyBorder="1" applyAlignment="1">
      <alignment vertical="top"/>
    </xf>
    <xf numFmtId="0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1" fontId="0" fillId="2" borderId="1" xfId="1" applyFont="1" applyFill="1" applyBorder="1">
      <alignment vertical="center"/>
    </xf>
    <xf numFmtId="41" fontId="9" fillId="0" borderId="1" xfId="1" applyFont="1" applyBorder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41" fontId="10" fillId="0" borderId="1" xfId="1" applyFont="1" applyFill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41" fontId="11" fillId="0" borderId="1" xfId="1" applyFont="1" applyFill="1" applyBorder="1" applyAlignment="1">
      <alignment vertical="top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41" fontId="1" fillId="0" borderId="1" xfId="1" applyFont="1" applyBorder="1">
      <alignment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Fill="1">
      <alignment vertical="center"/>
    </xf>
    <xf numFmtId="41" fontId="0" fillId="0" borderId="1" xfId="0" applyNumberFormat="1" applyBorder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Border="1" applyAlignment="1">
      <alignment vertical="center"/>
    </xf>
    <xf numFmtId="41" fontId="0" fillId="0" borderId="0" xfId="0" applyNumberFormat="1">
      <alignment vertical="center"/>
    </xf>
    <xf numFmtId="41" fontId="0" fillId="0" borderId="1" xfId="1" applyFont="1" applyBorder="1" applyAlignment="1">
      <alignment vertical="center" wrapText="1"/>
    </xf>
    <xf numFmtId="41" fontId="0" fillId="0" borderId="1" xfId="1" applyFont="1" applyBorder="1" applyAlignment="1">
      <alignment vertical="center"/>
    </xf>
    <xf numFmtId="41" fontId="0" fillId="0" borderId="1" xfId="1" applyFont="1" applyBorder="1" applyAlignment="1">
      <alignment horizontal="center" vertical="center" wrapText="1"/>
    </xf>
    <xf numFmtId="0" fontId="0" fillId="0" borderId="0" xfId="0" quotePrefix="1" applyBorder="1" applyAlignment="1">
      <alignment vertical="center"/>
    </xf>
    <xf numFmtId="41" fontId="0" fillId="0" borderId="0" xfId="1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top"/>
    </xf>
    <xf numFmtId="41" fontId="0" fillId="0" borderId="1" xfId="1" applyFont="1" applyFill="1" applyBorder="1" applyAlignment="1">
      <alignment horizontal="center" vertical="center"/>
    </xf>
    <xf numFmtId="41" fontId="1" fillId="0" borderId="1" xfId="1" applyFont="1" applyFill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6" xfId="1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1" fontId="4" fillId="2" borderId="8" xfId="1" applyFont="1" applyFill="1" applyBorder="1">
      <alignment vertical="center"/>
    </xf>
    <xf numFmtId="41" fontId="0" fillId="2" borderId="8" xfId="1" applyFont="1" applyFill="1" applyBorder="1">
      <alignment vertical="center"/>
    </xf>
    <xf numFmtId="0" fontId="0" fillId="0" borderId="9" xfId="0" applyBorder="1">
      <alignment vertical="center"/>
    </xf>
    <xf numFmtId="41" fontId="0" fillId="2" borderId="8" xfId="1" applyFont="1" applyFill="1" applyBorder="1" applyAlignment="1">
      <alignment horizontal="right" vertical="center"/>
    </xf>
    <xf numFmtId="41" fontId="0" fillId="0" borderId="0" xfId="0" applyNumberFormat="1" applyBorder="1">
      <alignment vertical="center"/>
    </xf>
    <xf numFmtId="0" fontId="0" fillId="0" borderId="10" xfId="0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3" borderId="1" xfId="1" applyFont="1" applyFill="1" applyBorder="1">
      <alignment vertical="center"/>
    </xf>
    <xf numFmtId="41" fontId="10" fillId="0" borderId="1" xfId="1" applyFont="1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4" xfId="1" applyFont="1" applyBorder="1" applyAlignment="1">
      <alignment horizontal="center" vertical="center" wrapText="1"/>
    </xf>
    <xf numFmtId="41" fontId="0" fillId="0" borderId="5" xfId="1" applyFont="1" applyBorder="1" applyAlignment="1">
      <alignment horizontal="center" vertical="center" wrapText="1"/>
    </xf>
    <xf numFmtId="41" fontId="0" fillId="0" borderId="3" xfId="1" quotePrefix="1" applyFont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6" xfId="0" applyNumberFormat="1" applyFill="1" applyBorder="1">
      <alignment vertical="center"/>
    </xf>
    <xf numFmtId="41" fontId="0" fillId="0" borderId="14" xfId="0" applyNumberFormat="1" applyBorder="1" applyAlignment="1">
      <alignment vertical="center"/>
    </xf>
    <xf numFmtId="41" fontId="0" fillId="0" borderId="14" xfId="0" applyNumberFormat="1" applyBorder="1">
      <alignment vertical="center"/>
    </xf>
    <xf numFmtId="41" fontId="0" fillId="0" borderId="14" xfId="1" applyFont="1" applyFill="1" applyBorder="1">
      <alignment vertical="center"/>
    </xf>
    <xf numFmtId="0" fontId="0" fillId="0" borderId="4" xfId="0" applyBorder="1">
      <alignment vertical="center"/>
    </xf>
    <xf numFmtId="41" fontId="0" fillId="0" borderId="3" xfId="0" applyNumberFormat="1" applyBorder="1">
      <alignment vertical="center"/>
    </xf>
    <xf numFmtId="0" fontId="0" fillId="0" borderId="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8" xfId="0" applyNumberFormat="1" applyFill="1" applyBorder="1">
      <alignment vertical="center"/>
    </xf>
    <xf numFmtId="0" fontId="0" fillId="0" borderId="18" xfId="0" applyFill="1" applyBorder="1">
      <alignment vertical="center"/>
    </xf>
    <xf numFmtId="0" fontId="0" fillId="0" borderId="19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6" xfId="0" applyFill="1" applyBorder="1">
      <alignment vertical="center"/>
    </xf>
    <xf numFmtId="41" fontId="4" fillId="0" borderId="14" xfId="1" applyFont="1" applyFill="1" applyBorder="1">
      <alignment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41" fontId="0" fillId="0" borderId="14" xfId="1" applyFont="1" applyBorder="1">
      <alignment vertical="center"/>
    </xf>
    <xf numFmtId="41" fontId="0" fillId="3" borderId="14" xfId="1" applyFont="1" applyFill="1" applyBorder="1">
      <alignment vertical="center"/>
    </xf>
    <xf numFmtId="41" fontId="0" fillId="0" borderId="14" xfId="1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41" fontId="10" fillId="0" borderId="14" xfId="1" applyFont="1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20" xfId="0" applyFill="1" applyBorder="1">
      <alignment vertical="center"/>
    </xf>
    <xf numFmtId="41" fontId="0" fillId="0" borderId="5" xfId="1" applyFont="1" applyBorder="1" applyAlignment="1">
      <alignment horizontal="center" vertical="center"/>
    </xf>
    <xf numFmtId="0" fontId="0" fillId="0" borderId="2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0" fillId="0" borderId="22" xfId="0" applyBorder="1">
      <alignment vertical="center"/>
    </xf>
    <xf numFmtId="41" fontId="0" fillId="0" borderId="3" xfId="1" applyFont="1" applyBorder="1">
      <alignment vertical="center"/>
    </xf>
    <xf numFmtId="0" fontId="0" fillId="0" borderId="23" xfId="0" applyNumberFormat="1" applyFill="1" applyBorder="1" applyAlignment="1">
      <alignment horizontal="center" vertical="center"/>
    </xf>
    <xf numFmtId="0" fontId="0" fillId="0" borderId="24" xfId="0" applyFill="1" applyBorder="1">
      <alignment vertical="center"/>
    </xf>
    <xf numFmtId="0" fontId="0" fillId="0" borderId="21" xfId="0" applyFill="1" applyBorder="1" applyAlignment="1">
      <alignment horizontal="center" vertical="center"/>
    </xf>
    <xf numFmtId="0" fontId="0" fillId="0" borderId="25" xfId="0" applyBorder="1">
      <alignment vertical="center"/>
    </xf>
    <xf numFmtId="41" fontId="0" fillId="0" borderId="5" xfId="1" applyFont="1" applyBorder="1">
      <alignment vertical="center"/>
    </xf>
    <xf numFmtId="0" fontId="10" fillId="0" borderId="0" xfId="0" applyFont="1" applyBorder="1" applyAlignment="1">
      <alignment horizontal="center" vertical="center"/>
    </xf>
    <xf numFmtId="0" fontId="0" fillId="0" borderId="24" xfId="0" applyBorder="1">
      <alignment vertical="center"/>
    </xf>
    <xf numFmtId="41" fontId="0" fillId="0" borderId="21" xfId="1" applyFont="1" applyBorder="1">
      <alignment vertical="center"/>
    </xf>
    <xf numFmtId="41" fontId="0" fillId="0" borderId="23" xfId="1" applyFont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6" xfId="0" applyBorder="1">
      <alignment vertical="center"/>
    </xf>
    <xf numFmtId="41" fontId="0" fillId="0" borderId="3" xfId="1" applyFont="1" applyFill="1" applyBorder="1">
      <alignment vertical="center"/>
    </xf>
    <xf numFmtId="41" fontId="0" fillId="0" borderId="21" xfId="1" applyFont="1" applyFill="1" applyBorder="1">
      <alignment vertical="center"/>
    </xf>
    <xf numFmtId="41" fontId="0" fillId="0" borderId="5" xfId="0" applyNumberFormat="1" applyBorder="1">
      <alignment vertical="center"/>
    </xf>
    <xf numFmtId="41" fontId="0" fillId="0" borderId="23" xfId="0" applyNumberFormat="1" applyBorder="1">
      <alignment vertical="center"/>
    </xf>
    <xf numFmtId="41" fontId="0" fillId="0" borderId="5" xfId="1" applyFont="1" applyFill="1" applyBorder="1">
      <alignment vertical="center"/>
    </xf>
    <xf numFmtId="41" fontId="0" fillId="0" borderId="20" xfId="0" applyNumberFormat="1" applyBorder="1">
      <alignment vertical="center"/>
    </xf>
    <xf numFmtId="41" fontId="0" fillId="0" borderId="20" xfId="1" applyFont="1" applyFill="1" applyBorder="1">
      <alignment vertical="center"/>
    </xf>
    <xf numFmtId="0" fontId="0" fillId="0" borderId="25" xfId="0" applyNumberFormat="1" applyFill="1" applyBorder="1">
      <alignment vertical="center"/>
    </xf>
    <xf numFmtId="41" fontId="0" fillId="0" borderId="5" xfId="0" applyNumberForma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 wrapText="1"/>
    </xf>
    <xf numFmtId="0" fontId="0" fillId="0" borderId="27" xfId="0" applyNumberFormat="1" applyFill="1" applyBorder="1">
      <alignment vertical="center"/>
    </xf>
    <xf numFmtId="41" fontId="0" fillId="0" borderId="4" xfId="1" applyFont="1" applyBorder="1" applyAlignment="1">
      <alignment horizontal="center" vertical="center" wrapText="1"/>
    </xf>
    <xf numFmtId="0" fontId="0" fillId="4" borderId="16" xfId="0" applyFill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41" fontId="0" fillId="4" borderId="14" xfId="1" applyFont="1" applyFill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41" fontId="0" fillId="0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43" fontId="0" fillId="0" borderId="0" xfId="0" applyNumberFormat="1">
      <alignment vertical="center"/>
    </xf>
    <xf numFmtId="0" fontId="10" fillId="0" borderId="0" xfId="0" quotePrefix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 wrapText="1"/>
    </xf>
    <xf numFmtId="41" fontId="0" fillId="0" borderId="4" xfId="1" applyFont="1" applyBorder="1" applyAlignment="1">
      <alignment horizontal="center" vertical="center" wrapText="1"/>
    </xf>
    <xf numFmtId="41" fontId="0" fillId="0" borderId="5" xfId="1" applyFont="1" applyBorder="1" applyAlignment="1">
      <alignment horizontal="center" vertical="center" wrapText="1"/>
    </xf>
  </cellXfs>
  <cellStyles count="4">
    <cellStyle name="쉼표 [0]" xfId="1" builtinId="6"/>
    <cellStyle name="쉼표 [0] 17" xfId="3"/>
    <cellStyle name="표준" xfId="0" builtinId="0"/>
    <cellStyle name="표준 1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4"/>
  <sheetViews>
    <sheetView zoomScale="85" zoomScaleNormal="85" workbookViewId="0">
      <selection activeCell="U27" sqref="U27"/>
    </sheetView>
  </sheetViews>
  <sheetFormatPr defaultRowHeight="16.899999999999999" x14ac:dyDescent="0.6"/>
  <sheetData>
    <row r="3" spans="2:17" ht="16.5" customHeight="1" x14ac:dyDescent="0.6">
      <c r="B3" s="164" t="s">
        <v>66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</row>
    <row r="4" spans="2:17" x14ac:dyDescent="0.6"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2:17" x14ac:dyDescent="0.6"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spans="2:17" x14ac:dyDescent="0.6"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2:17" x14ac:dyDescent="0.6"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2:17" x14ac:dyDescent="0.6"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2:17" x14ac:dyDescent="0.6"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</row>
    <row r="10" spans="2:17" x14ac:dyDescent="0.6"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</row>
    <row r="11" spans="2:17" x14ac:dyDescent="0.6"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</row>
    <row r="12" spans="2:17" x14ac:dyDescent="0.6"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spans="2:17" x14ac:dyDescent="0.6"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</row>
    <row r="14" spans="2:17" x14ac:dyDescent="0.6"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</row>
    <row r="15" spans="2:17" x14ac:dyDescent="0.6"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</row>
    <row r="16" spans="2:17" x14ac:dyDescent="0.6"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</row>
    <row r="17" spans="2:17" x14ac:dyDescent="0.6"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</row>
    <row r="18" spans="2:17" x14ac:dyDescent="0.6"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</row>
    <row r="19" spans="2:17" x14ac:dyDescent="0.6"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</row>
    <row r="20" spans="2:17" x14ac:dyDescent="0.6"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spans="2:17" x14ac:dyDescent="0.6"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</row>
    <row r="22" spans="2:17" x14ac:dyDescent="0.6"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spans="2:17" x14ac:dyDescent="0.6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</row>
    <row r="24" spans="2:17" x14ac:dyDescent="0.6"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2:17" x14ac:dyDescent="0.6"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2:17" x14ac:dyDescent="0.6"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  <row r="27" spans="2:17" x14ac:dyDescent="0.6"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</row>
    <row r="28" spans="2:17" x14ac:dyDescent="0.6"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</row>
    <row r="29" spans="2:17" x14ac:dyDescent="0.6"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</row>
    <row r="30" spans="2:17" x14ac:dyDescent="0.6">
      <c r="B30" s="165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</row>
    <row r="31" spans="2:17" x14ac:dyDescent="0.6"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</row>
    <row r="32" spans="2:17" x14ac:dyDescent="0.6"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</row>
    <row r="33" spans="2:17" x14ac:dyDescent="0.6"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</row>
    <row r="34" spans="2:17" x14ac:dyDescent="0.6"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</row>
  </sheetData>
  <mergeCells count="1">
    <mergeCell ref="B3:Q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J12"/>
  <sheetViews>
    <sheetView topLeftCell="A4" workbookViewId="0">
      <selection activeCell="J26" sqref="J26"/>
    </sheetView>
  </sheetViews>
  <sheetFormatPr defaultRowHeight="16.899999999999999" x14ac:dyDescent="0.6"/>
  <cols>
    <col min="4" max="4" width="15.125" bestFit="1" customWidth="1"/>
  </cols>
  <sheetData>
    <row r="9" spans="4:10" x14ac:dyDescent="0.6">
      <c r="E9">
        <v>2019</v>
      </c>
      <c r="F9">
        <v>2020</v>
      </c>
      <c r="G9">
        <v>2021</v>
      </c>
      <c r="H9">
        <v>2022</v>
      </c>
      <c r="I9">
        <v>2023</v>
      </c>
    </row>
    <row r="10" spans="4:10" x14ac:dyDescent="0.6">
      <c r="E10">
        <v>1</v>
      </c>
      <c r="F10">
        <v>2</v>
      </c>
      <c r="G10">
        <v>3</v>
      </c>
      <c r="H10">
        <v>4</v>
      </c>
      <c r="I10">
        <v>5</v>
      </c>
    </row>
    <row r="11" spans="4:10" x14ac:dyDescent="0.6">
      <c r="D11" t="s">
        <v>59</v>
      </c>
      <c r="E11">
        <v>100</v>
      </c>
      <c r="F11">
        <v>101.13</v>
      </c>
      <c r="G11">
        <v>102.07</v>
      </c>
      <c r="H11">
        <v>111.15</v>
      </c>
      <c r="I11">
        <v>116.84</v>
      </c>
      <c r="J11">
        <f>I11/H11</f>
        <v>1.0511920827710302</v>
      </c>
    </row>
    <row r="12" spans="4:10" x14ac:dyDescent="0.6">
      <c r="D12" t="s">
        <v>60</v>
      </c>
      <c r="E12">
        <v>100</v>
      </c>
      <c r="F12">
        <v>102.02</v>
      </c>
      <c r="G12">
        <v>107.04</v>
      </c>
      <c r="H12">
        <v>122.38</v>
      </c>
      <c r="I12">
        <v>130.08000000000001</v>
      </c>
      <c r="J12">
        <f>I12/H12</f>
        <v>1.0629187775780358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4"/>
  <sheetViews>
    <sheetView zoomScaleNormal="100" workbookViewId="0">
      <selection activeCell="C12" sqref="C12"/>
    </sheetView>
  </sheetViews>
  <sheetFormatPr defaultRowHeight="16.899999999999999" x14ac:dyDescent="0.6"/>
  <cols>
    <col min="1" max="1" width="30.875" bestFit="1" customWidth="1"/>
    <col min="2" max="3" width="13.25" customWidth="1"/>
    <col min="4" max="9" width="11.875" bestFit="1" customWidth="1"/>
  </cols>
  <sheetData>
    <row r="1" spans="1:9" x14ac:dyDescent="0.6">
      <c r="B1" s="44"/>
      <c r="C1" s="44"/>
    </row>
    <row r="3" spans="1:9" x14ac:dyDescent="0.6">
      <c r="B3" s="14" t="s">
        <v>68</v>
      </c>
      <c r="C3" s="14" t="s">
        <v>67</v>
      </c>
      <c r="D3" s="14" t="s">
        <v>61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</row>
    <row r="4" spans="1:9" x14ac:dyDescent="0.6">
      <c r="A4" s="2" t="s">
        <v>0</v>
      </c>
      <c r="B4" s="3" t="e">
        <f>중대형chp!B4+'소형CHP(여기부터)'!B4+DH!B4</f>
        <v>#VALUE!</v>
      </c>
      <c r="C4" s="3">
        <f>중대형chp!C4+'소형CHP(여기부터)'!C4+DH!C4</f>
        <v>0</v>
      </c>
      <c r="D4" s="3">
        <f>중대형chp!D4+'소형CHP(여기부터)'!D4+DH!D4</f>
        <v>0</v>
      </c>
      <c r="E4" s="3">
        <f>중대형chp!E4+'소형CHP(여기부터)'!E4+DH!E4</f>
        <v>0</v>
      </c>
      <c r="F4" s="3">
        <f>중대형chp!F4+'소형CHP(여기부터)'!F4+DH!F4</f>
        <v>0</v>
      </c>
      <c r="G4" s="3">
        <f>중대형chp!G4+'소형CHP(여기부터)'!G4+DH!G4</f>
        <v>0</v>
      </c>
      <c r="H4" s="3">
        <f>중대형chp!H4+'소형CHP(여기부터)'!H4+DH!H4</f>
        <v>0</v>
      </c>
      <c r="I4" s="3">
        <f>중대형chp!I4+'소형CHP(여기부터)'!I4+DH!I4</f>
        <v>0</v>
      </c>
    </row>
    <row r="5" spans="1:9" x14ac:dyDescent="0.6">
      <c r="A5" s="2" t="s">
        <v>1</v>
      </c>
      <c r="B5" s="3">
        <f>중대형chp!B5+'소형CHP(여기부터)'!B5+DH!B5</f>
        <v>0</v>
      </c>
      <c r="C5" s="3">
        <f>중대형chp!C5+'소형CHP(여기부터)'!C5+DH!C5</f>
        <v>0</v>
      </c>
      <c r="D5" s="3">
        <f>중대형chp!D5+'소형CHP(여기부터)'!D5+DH!D5</f>
        <v>0</v>
      </c>
      <c r="E5" s="3">
        <f>중대형chp!E5+'소형CHP(여기부터)'!E5+DH!E5</f>
        <v>0</v>
      </c>
      <c r="F5" s="3">
        <f>중대형chp!F5+'소형CHP(여기부터)'!F5+DH!F5</f>
        <v>0</v>
      </c>
      <c r="G5" s="3">
        <f>중대형chp!G5+'소형CHP(여기부터)'!G5+DH!G5</f>
        <v>0</v>
      </c>
      <c r="H5" s="3">
        <f>중대형chp!H5+'소형CHP(여기부터)'!H5+DH!H5</f>
        <v>0</v>
      </c>
      <c r="I5" s="3">
        <f>중대형chp!I5+'소형CHP(여기부터)'!I5+DH!I5</f>
        <v>0</v>
      </c>
    </row>
    <row r="6" spans="1:9" x14ac:dyDescent="0.6">
      <c r="A6" s="2" t="s">
        <v>2</v>
      </c>
      <c r="B6" s="3">
        <f>중대형chp!B6+'소형CHP(여기부터)'!B6+DH!B6</f>
        <v>0</v>
      </c>
      <c r="C6" s="3">
        <f>중대형chp!C6+'소형CHP(여기부터)'!C6+DH!C6</f>
        <v>0</v>
      </c>
      <c r="D6" s="3">
        <f>중대형chp!D6+'소형CHP(여기부터)'!D6+DH!D6</f>
        <v>0</v>
      </c>
      <c r="E6" s="3">
        <f>중대형chp!E6+'소형CHP(여기부터)'!E6+DH!E6</f>
        <v>0</v>
      </c>
      <c r="F6" s="3">
        <f>중대형chp!F6+'소형CHP(여기부터)'!F6+DH!F6</f>
        <v>0</v>
      </c>
      <c r="G6" s="3">
        <f>중대형chp!G6+'소형CHP(여기부터)'!G6+DH!G6</f>
        <v>0</v>
      </c>
      <c r="H6" s="3">
        <f>중대형chp!H6+'소형CHP(여기부터)'!H6+DH!H6</f>
        <v>0</v>
      </c>
      <c r="I6" s="3">
        <f>중대형chp!I6+'소형CHP(여기부터)'!I6+DH!I6</f>
        <v>0</v>
      </c>
    </row>
    <row r="7" spans="1:9" x14ac:dyDescent="0.6">
      <c r="A7" s="2" t="s">
        <v>3</v>
      </c>
      <c r="B7" s="3">
        <f>중대형chp!B7+'소형CHP(여기부터)'!B7+DH!B7</f>
        <v>0</v>
      </c>
      <c r="C7" s="3">
        <f>중대형chp!C7+'소형CHP(여기부터)'!C7+DH!C7</f>
        <v>0</v>
      </c>
      <c r="D7" s="3">
        <f>중대형chp!D7+'소형CHP(여기부터)'!D7+DH!D7</f>
        <v>0</v>
      </c>
      <c r="E7" s="3">
        <f>중대형chp!E7+'소형CHP(여기부터)'!E7+DH!E7</f>
        <v>0</v>
      </c>
      <c r="F7" s="3">
        <f>중대형chp!F7+'소형CHP(여기부터)'!F7+DH!F7</f>
        <v>0</v>
      </c>
      <c r="G7" s="3">
        <f>중대형chp!G7+'소형CHP(여기부터)'!G7+DH!G7</f>
        <v>0</v>
      </c>
      <c r="H7" s="3">
        <f>중대형chp!H7+'소형CHP(여기부터)'!H7+DH!H7</f>
        <v>0</v>
      </c>
      <c r="I7" s="3">
        <f>중대형chp!I7+'소형CHP(여기부터)'!I7+DH!I7</f>
        <v>0</v>
      </c>
    </row>
    <row r="8" spans="1:9" x14ac:dyDescent="0.6">
      <c r="A8" s="2" t="s">
        <v>18</v>
      </c>
      <c r="B8" s="3">
        <f>중대형chp!B8+'소형CHP(여기부터)'!B8+DH!B8</f>
        <v>0</v>
      </c>
      <c r="C8" s="3">
        <f>중대형chp!C8+'소형CHP(여기부터)'!C8+DH!C8</f>
        <v>0</v>
      </c>
      <c r="D8" s="3">
        <f>중대형chp!D8+'소형CHP(여기부터)'!D8+DH!D8</f>
        <v>0</v>
      </c>
      <c r="E8" s="3">
        <f>중대형chp!E8+'소형CHP(여기부터)'!E8+DH!E8</f>
        <v>0</v>
      </c>
      <c r="F8" s="3">
        <f>중대형chp!F8+'소형CHP(여기부터)'!F8+DH!F8</f>
        <v>0</v>
      </c>
      <c r="G8" s="3">
        <f>중대형chp!G8+'소형CHP(여기부터)'!G8+DH!G8</f>
        <v>0</v>
      </c>
      <c r="H8" s="3">
        <f>중대형chp!H8+'소형CHP(여기부터)'!H8+DH!H8</f>
        <v>0</v>
      </c>
      <c r="I8" s="3">
        <f>중대형chp!I8+'소형CHP(여기부터)'!I8+DH!I8</f>
        <v>0</v>
      </c>
    </row>
    <row r="9" spans="1:9" x14ac:dyDescent="0.6">
      <c r="A9" s="2" t="s">
        <v>19</v>
      </c>
      <c r="B9" s="3">
        <f>중대형chp!B9+'소형CHP(여기부터)'!B9+DH!B9</f>
        <v>0</v>
      </c>
      <c r="C9" s="3">
        <f>중대형chp!C9+'소형CHP(여기부터)'!C9+DH!C9</f>
        <v>0</v>
      </c>
      <c r="D9" s="3">
        <f>중대형chp!D9+'소형CHP(여기부터)'!D9+DH!D9</f>
        <v>0</v>
      </c>
      <c r="E9" s="3">
        <f>중대형chp!E9+'소형CHP(여기부터)'!E9+DH!E9</f>
        <v>0</v>
      </c>
      <c r="F9" s="3">
        <f>중대형chp!F9+'소형CHP(여기부터)'!F9+DH!F9</f>
        <v>0</v>
      </c>
      <c r="G9" s="3">
        <f>중대형chp!G9+'소형CHP(여기부터)'!G9+DH!G9</f>
        <v>0</v>
      </c>
      <c r="H9" s="3">
        <f>중대형chp!H9+'소형CHP(여기부터)'!H9+DH!H9</f>
        <v>0</v>
      </c>
      <c r="I9" s="3">
        <f>중대형chp!I9+'소형CHP(여기부터)'!I9+DH!I9</f>
        <v>0</v>
      </c>
    </row>
    <row r="10" spans="1:9" x14ac:dyDescent="0.6">
      <c r="A10" s="2" t="s">
        <v>17</v>
      </c>
      <c r="B10" s="3">
        <f>중대형chp!B10+'소형CHP(여기부터)'!B10+DH!B10</f>
        <v>0</v>
      </c>
      <c r="C10" s="3">
        <f>중대형chp!C10+'소형CHP(여기부터)'!C10+DH!C10</f>
        <v>0</v>
      </c>
      <c r="D10" s="3">
        <f>중대형chp!D10+'소형CHP(여기부터)'!D10+DH!D10</f>
        <v>0</v>
      </c>
      <c r="E10" s="3">
        <f>중대형chp!E10+'소형CHP(여기부터)'!E10+DH!E10</f>
        <v>0</v>
      </c>
      <c r="F10" s="3">
        <f>중대형chp!F10+'소형CHP(여기부터)'!F10+DH!F10</f>
        <v>0</v>
      </c>
      <c r="G10" s="3">
        <f>중대형chp!G10+'소형CHP(여기부터)'!G10+DH!G10</f>
        <v>0</v>
      </c>
      <c r="H10" s="3">
        <f>중대형chp!H10+'소형CHP(여기부터)'!H10+DH!H10</f>
        <v>0</v>
      </c>
      <c r="I10" s="3">
        <f>중대형chp!I10+'소형CHP(여기부터)'!I10+DH!I10</f>
        <v>0</v>
      </c>
    </row>
    <row r="11" spans="1:9" x14ac:dyDescent="0.6">
      <c r="A11" s="2" t="s">
        <v>4</v>
      </c>
      <c r="B11" s="3">
        <f>중대형chp!B11+'소형CHP(여기부터)'!B11+DH!B11</f>
        <v>0</v>
      </c>
      <c r="C11" s="3">
        <f>중대형chp!C11+'소형CHP(여기부터)'!C11+DH!C11</f>
        <v>0</v>
      </c>
      <c r="D11" s="3">
        <f>중대형chp!D11+'소형CHP(여기부터)'!D11+DH!D11</f>
        <v>0</v>
      </c>
      <c r="E11" s="3">
        <f>중대형chp!E11+'소형CHP(여기부터)'!E11+DH!E11</f>
        <v>0</v>
      </c>
      <c r="F11" s="3">
        <f>중대형chp!F11+'소형CHP(여기부터)'!F11+DH!F11</f>
        <v>0</v>
      </c>
      <c r="G11" s="3">
        <f>중대형chp!G11+'소형CHP(여기부터)'!G11+DH!G11</f>
        <v>0</v>
      </c>
      <c r="H11" s="3">
        <f>중대형chp!H11+'소형CHP(여기부터)'!H11+DH!H11</f>
        <v>0</v>
      </c>
      <c r="I11" s="3">
        <f>중대형chp!I11+'소형CHP(여기부터)'!I11+DH!I11</f>
        <v>0</v>
      </c>
    </row>
    <row r="12" spans="1:9" x14ac:dyDescent="0.6">
      <c r="A12" s="2" t="s">
        <v>69</v>
      </c>
      <c r="B12" s="3">
        <f>중대형chp!B12+'소형CHP(여기부터)'!B12+DH!B12</f>
        <v>0</v>
      </c>
      <c r="C12" s="3">
        <f>중대형chp!C12+'소형CHP(여기부터)'!C12+DH!C12</f>
        <v>0</v>
      </c>
      <c r="D12" s="3">
        <f>중대형chp!D12+'소형CHP(여기부터)'!D12+DH!D12</f>
        <v>0</v>
      </c>
      <c r="E12" s="3">
        <f>중대형chp!E12+'소형CHP(여기부터)'!E12+DH!E12</f>
        <v>0</v>
      </c>
      <c r="F12" s="3">
        <f>중대형chp!F12+'소형CHP(여기부터)'!F12+DH!F12</f>
        <v>0</v>
      </c>
      <c r="G12" s="3">
        <f>중대형chp!G12+'소형CHP(여기부터)'!G12+DH!G12</f>
        <v>0</v>
      </c>
      <c r="H12" s="3">
        <f>중대형chp!H12+'소형CHP(여기부터)'!H12+DH!H12</f>
        <v>0</v>
      </c>
      <c r="I12" s="3">
        <f>중대형chp!I12+'소형CHP(여기부터)'!I12+DH!I12</f>
        <v>0</v>
      </c>
    </row>
    <row r="13" spans="1:9" x14ac:dyDescent="0.6">
      <c r="A13" s="2" t="s">
        <v>5</v>
      </c>
      <c r="B13" s="3">
        <f>중대형chp!B13+'소형CHP(여기부터)'!B13+DH!B13</f>
        <v>0</v>
      </c>
      <c r="C13" s="3">
        <f>중대형chp!C13+'소형CHP(여기부터)'!C13+DH!C13</f>
        <v>0</v>
      </c>
      <c r="D13" s="3">
        <f>중대형chp!D13+'소형CHP(여기부터)'!D13+DH!D13</f>
        <v>0</v>
      </c>
      <c r="E13" s="3">
        <f>중대형chp!E13+'소형CHP(여기부터)'!E13+DH!E13</f>
        <v>0</v>
      </c>
      <c r="F13" s="3">
        <f>중대형chp!F13+'소형CHP(여기부터)'!F13+DH!F13</f>
        <v>0</v>
      </c>
      <c r="G13" s="3">
        <f>중대형chp!G13+'소형CHP(여기부터)'!G13+DH!G13</f>
        <v>0</v>
      </c>
      <c r="H13" s="3">
        <f>중대형chp!H13+'소형CHP(여기부터)'!H13+DH!H13</f>
        <v>0</v>
      </c>
      <c r="I13" s="3">
        <f>중대형chp!I13+'소형CHP(여기부터)'!I13+DH!I13</f>
        <v>0</v>
      </c>
    </row>
    <row r="14" spans="1:9" x14ac:dyDescent="0.6">
      <c r="A14" s="2"/>
      <c r="B14" s="3">
        <f>중대형chp!B14+'소형CHP(여기부터)'!B14+DH!B14</f>
        <v>0</v>
      </c>
      <c r="C14" s="3">
        <f>중대형chp!C14+'소형CHP(여기부터)'!C14+DH!C14</f>
        <v>0</v>
      </c>
      <c r="D14" s="3">
        <f>중대형chp!D14+'소형CHP(여기부터)'!D14+DH!D14</f>
        <v>0</v>
      </c>
      <c r="E14" s="3">
        <f>중대형chp!E14+'소형CHP(여기부터)'!E14+DH!E14</f>
        <v>0</v>
      </c>
      <c r="F14" s="3">
        <f>중대형chp!F14+'소형CHP(여기부터)'!F14+DH!F14</f>
        <v>0</v>
      </c>
      <c r="G14" s="3">
        <f>중대형chp!G14+'소형CHP(여기부터)'!G14+DH!G14</f>
        <v>0</v>
      </c>
      <c r="H14" s="3">
        <f>중대형chp!H14+'소형CHP(여기부터)'!H14+DH!H14</f>
        <v>0</v>
      </c>
      <c r="I14" s="3">
        <f>중대형chp!I14+'소형CHP(여기부터)'!I14+DH!I14</f>
        <v>0</v>
      </c>
    </row>
    <row r="15" spans="1:9" x14ac:dyDescent="0.6">
      <c r="A15" s="2" t="s">
        <v>6</v>
      </c>
      <c r="B15" s="3">
        <f>중대형chp!B15+'소형CHP(여기부터)'!B15+DH!B15</f>
        <v>0</v>
      </c>
      <c r="C15" s="3">
        <f>중대형chp!C15+'소형CHP(여기부터)'!C15+DH!C15</f>
        <v>0</v>
      </c>
      <c r="D15" s="3">
        <f>중대형chp!D15+'소형CHP(여기부터)'!D15+DH!D15</f>
        <v>0</v>
      </c>
      <c r="E15" s="3">
        <f>중대형chp!E15+'소형CHP(여기부터)'!E15+DH!E15</f>
        <v>0</v>
      </c>
      <c r="F15" s="3">
        <f>중대형chp!F15+'소형CHP(여기부터)'!F15+DH!F15</f>
        <v>0</v>
      </c>
      <c r="G15" s="3">
        <f>중대형chp!G15+'소형CHP(여기부터)'!G15+DH!G15</f>
        <v>0</v>
      </c>
      <c r="H15" s="3">
        <f>중대형chp!H15+'소형CHP(여기부터)'!H15+DH!H15</f>
        <v>0</v>
      </c>
      <c r="I15" s="3">
        <f>중대형chp!I15+'소형CHP(여기부터)'!I15+DH!I15</f>
        <v>0</v>
      </c>
    </row>
    <row r="16" spans="1:9" x14ac:dyDescent="0.6">
      <c r="A16" s="2" t="s">
        <v>7</v>
      </c>
      <c r="B16" s="3">
        <f>중대형chp!B16+'소형CHP(여기부터)'!B16+DH!B16</f>
        <v>0</v>
      </c>
      <c r="C16" s="3">
        <f>중대형chp!C16+'소형CHP(여기부터)'!C16+DH!C16</f>
        <v>0</v>
      </c>
      <c r="D16" s="3">
        <f>중대형chp!D16+'소형CHP(여기부터)'!D16+DH!D16</f>
        <v>0</v>
      </c>
      <c r="E16" s="3">
        <f>중대형chp!E16+'소형CHP(여기부터)'!E16+DH!E16</f>
        <v>0</v>
      </c>
      <c r="F16" s="3">
        <f>중대형chp!F16+'소형CHP(여기부터)'!F16+DH!F16</f>
        <v>0</v>
      </c>
      <c r="G16" s="3">
        <f>중대형chp!G16+'소형CHP(여기부터)'!G16+DH!G16</f>
        <v>0</v>
      </c>
      <c r="H16" s="3">
        <f>중대형chp!H16+'소형CHP(여기부터)'!H16+DH!H16</f>
        <v>0</v>
      </c>
      <c r="I16" s="3">
        <f>중대형chp!I16+'소형CHP(여기부터)'!I16+DH!I16</f>
        <v>0</v>
      </c>
    </row>
    <row r="17" spans="1:9" x14ac:dyDescent="0.6">
      <c r="A17" s="2" t="s">
        <v>8</v>
      </c>
      <c r="B17" s="3">
        <f>중대형chp!B17+'소형CHP(여기부터)'!B17+DH!B17</f>
        <v>0</v>
      </c>
      <c r="C17" s="3">
        <f>중대형chp!C17+'소형CHP(여기부터)'!C17+DH!C17</f>
        <v>0</v>
      </c>
      <c r="D17" s="3">
        <f>중대형chp!D17+'소형CHP(여기부터)'!D17+DH!D17</f>
        <v>0</v>
      </c>
      <c r="E17" s="3">
        <f>중대형chp!E17+'소형CHP(여기부터)'!E17+DH!E17</f>
        <v>0</v>
      </c>
      <c r="F17" s="3">
        <f>중대형chp!F17+'소형CHP(여기부터)'!F17+DH!F17</f>
        <v>0</v>
      </c>
      <c r="G17" s="3">
        <f>중대형chp!G17+'소형CHP(여기부터)'!G17+DH!G17</f>
        <v>0</v>
      </c>
      <c r="H17" s="3">
        <f>중대형chp!H17+'소형CHP(여기부터)'!H17+DH!H17</f>
        <v>0</v>
      </c>
      <c r="I17" s="3">
        <f>중대형chp!I17+'소형CHP(여기부터)'!I17+DH!I17</f>
        <v>0</v>
      </c>
    </row>
    <row r="18" spans="1:9" x14ac:dyDescent="0.6">
      <c r="A18" s="2" t="s">
        <v>9</v>
      </c>
      <c r="B18" s="3">
        <f>중대형chp!B18+'소형CHP(여기부터)'!B18+DH!B18</f>
        <v>0</v>
      </c>
      <c r="C18" s="3">
        <f>중대형chp!C18+'소형CHP(여기부터)'!C18+DH!C18</f>
        <v>0</v>
      </c>
      <c r="D18" s="3">
        <f>중대형chp!D18+'소형CHP(여기부터)'!D18+DH!D18</f>
        <v>0</v>
      </c>
      <c r="E18" s="3">
        <f>중대형chp!E18+'소형CHP(여기부터)'!E18+DH!E18</f>
        <v>0</v>
      </c>
      <c r="F18" s="3">
        <f>중대형chp!F18+'소형CHP(여기부터)'!F18+DH!F18</f>
        <v>0</v>
      </c>
      <c r="G18" s="3">
        <f>중대형chp!G18+'소형CHP(여기부터)'!G18+DH!G18</f>
        <v>0</v>
      </c>
      <c r="H18" s="3">
        <f>중대형chp!H18+'소형CHP(여기부터)'!H18+DH!H18</f>
        <v>0</v>
      </c>
      <c r="I18" s="3">
        <f>중대형chp!I18+'소형CHP(여기부터)'!I18+DH!I18</f>
        <v>0</v>
      </c>
    </row>
    <row r="19" spans="1:9" x14ac:dyDescent="0.6">
      <c r="A19" s="2" t="s">
        <v>10</v>
      </c>
      <c r="B19" s="3">
        <f>중대형chp!B19+'소형CHP(여기부터)'!B19+DH!B19</f>
        <v>0</v>
      </c>
      <c r="C19" s="3">
        <f>중대형chp!C19+'소형CHP(여기부터)'!C19+DH!C19</f>
        <v>0</v>
      </c>
      <c r="D19" s="3">
        <f>중대형chp!D19+'소형CHP(여기부터)'!D19+DH!D19</f>
        <v>0</v>
      </c>
      <c r="E19" s="3">
        <f>중대형chp!E19+'소형CHP(여기부터)'!E19+DH!E19</f>
        <v>0</v>
      </c>
      <c r="F19" s="3">
        <f>중대형chp!F19+'소형CHP(여기부터)'!F19+DH!F19</f>
        <v>0</v>
      </c>
      <c r="G19" s="3">
        <f>중대형chp!G19+'소형CHP(여기부터)'!G19+DH!G19</f>
        <v>0</v>
      </c>
      <c r="H19" s="3">
        <f>중대형chp!H19+'소형CHP(여기부터)'!H19+DH!H19</f>
        <v>0</v>
      </c>
      <c r="I19" s="3">
        <f>중대형chp!I19+'소형CHP(여기부터)'!I19+DH!I19</f>
        <v>0</v>
      </c>
    </row>
    <row r="20" spans="1:9" x14ac:dyDescent="0.6">
      <c r="A20" s="2" t="s">
        <v>11</v>
      </c>
      <c r="B20" s="3">
        <f>중대형chp!B20+'소형CHP(여기부터)'!B20+DH!B20</f>
        <v>0</v>
      </c>
      <c r="C20" s="3">
        <f>중대형chp!C20+'소형CHP(여기부터)'!C20+DH!C20</f>
        <v>0</v>
      </c>
      <c r="D20" s="3">
        <f>중대형chp!D20+'소형CHP(여기부터)'!D20+DH!D20</f>
        <v>0</v>
      </c>
      <c r="E20" s="3">
        <f>중대형chp!E20+'소형CHP(여기부터)'!E20+DH!E20</f>
        <v>0</v>
      </c>
      <c r="F20" s="3">
        <f>중대형chp!F20+'소형CHP(여기부터)'!F20+DH!F20</f>
        <v>0</v>
      </c>
      <c r="G20" s="3">
        <f>중대형chp!G20+'소형CHP(여기부터)'!G20+DH!G20</f>
        <v>0</v>
      </c>
      <c r="H20" s="3">
        <f>중대형chp!H20+'소형CHP(여기부터)'!H20+DH!H20</f>
        <v>0</v>
      </c>
      <c r="I20" s="3">
        <f>중대형chp!I20+'소형CHP(여기부터)'!I20+DH!I20</f>
        <v>0</v>
      </c>
    </row>
    <row r="21" spans="1:9" x14ac:dyDescent="0.6">
      <c r="A21" s="2" t="s">
        <v>12</v>
      </c>
      <c r="B21" s="3">
        <f>중대형chp!B21+'소형CHP(여기부터)'!B21+DH!B21</f>
        <v>0</v>
      </c>
      <c r="C21" s="3">
        <f>중대형chp!C21+'소형CHP(여기부터)'!C21+DH!C21</f>
        <v>0</v>
      </c>
      <c r="D21" s="3">
        <f>중대형chp!D21+'소형CHP(여기부터)'!D21+DH!D21</f>
        <v>0</v>
      </c>
      <c r="E21" s="3">
        <f>중대형chp!E21+'소형CHP(여기부터)'!E21+DH!E21</f>
        <v>0</v>
      </c>
      <c r="F21" s="3">
        <f>중대형chp!F21+'소형CHP(여기부터)'!F21+DH!F21</f>
        <v>0</v>
      </c>
      <c r="G21" s="3">
        <f>중대형chp!G21+'소형CHP(여기부터)'!G21+DH!G21</f>
        <v>0</v>
      </c>
      <c r="H21" s="3">
        <f>중대형chp!H21+'소형CHP(여기부터)'!H21+DH!H21</f>
        <v>0</v>
      </c>
      <c r="I21" s="3">
        <f>중대형chp!I21+'소형CHP(여기부터)'!I21+DH!I21</f>
        <v>0</v>
      </c>
    </row>
    <row r="24" spans="1:9" x14ac:dyDescent="0.6">
      <c r="B24" t="s">
        <v>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24"/>
  <sheetViews>
    <sheetView zoomScaleNormal="100" workbookViewId="0">
      <selection activeCell="B4" sqref="B4"/>
    </sheetView>
  </sheetViews>
  <sheetFormatPr defaultRowHeight="16.899999999999999" x14ac:dyDescent="0.6"/>
  <cols>
    <col min="1" max="1" width="30.875" bestFit="1" customWidth="1"/>
    <col min="2" max="3" width="13.25" customWidth="1"/>
    <col min="4" max="9" width="11.875" bestFit="1" customWidth="1"/>
  </cols>
  <sheetData>
    <row r="1" spans="1:9" x14ac:dyDescent="0.6">
      <c r="B1" s="44"/>
      <c r="C1" s="44"/>
    </row>
    <row r="3" spans="1:9" x14ac:dyDescent="0.6">
      <c r="B3" s="14" t="s">
        <v>68</v>
      </c>
      <c r="C3" s="14" t="s">
        <v>67</v>
      </c>
      <c r="D3" s="14" t="s">
        <v>61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</row>
    <row r="4" spans="1:9" x14ac:dyDescent="0.6">
      <c r="A4" s="2" t="s">
        <v>0</v>
      </c>
      <c r="B4" s="3" t="e">
        <f>동탄!B4+화성!B4+파주!B4+판교!B4+광교!B4+삼송!B4+양산!B4+대구!B4+청주!B4</f>
        <v>#VALUE!</v>
      </c>
      <c r="C4" s="3">
        <f>동탄!C4+화성!C4+파주!C4+판교!C4+광교!C4+삼송!C4+양산!C4</f>
        <v>0</v>
      </c>
      <c r="D4" s="3">
        <f>동탄!D4+화성!D4+파주!D4+판교!D4+광교!D4+삼송!D4+양산!D4</f>
        <v>0</v>
      </c>
      <c r="E4" s="3">
        <f>동탄!E4+화성!E4+파주!E4+판교!E4+광교!E4+삼송!E4+양산!E4</f>
        <v>0</v>
      </c>
      <c r="F4" s="3">
        <f>동탄!F4+화성!F4+파주!F4+판교!F4+광교!F4+삼송!F4+양산!F4</f>
        <v>0</v>
      </c>
      <c r="G4" s="3">
        <f>동탄!G4+화성!G4+파주!G4+판교!G4+광교!G4+삼송!G4+양산!G4</f>
        <v>0</v>
      </c>
      <c r="H4" s="3">
        <f>동탄!H4+화성!H4+파주!H4+판교!H4+광교!H4+삼송!H4+양산!H4</f>
        <v>0</v>
      </c>
      <c r="I4" s="3">
        <f>동탄!I4+화성!I4+파주!I4+판교!I4+광교!I4+삼송!I4+양산!I4</f>
        <v>0</v>
      </c>
    </row>
    <row r="5" spans="1:9" x14ac:dyDescent="0.6">
      <c r="A5" s="2" t="s">
        <v>1</v>
      </c>
      <c r="B5" s="3">
        <f>동탄!B5+화성!B5+파주!B5+판교!B5+광교!B5+삼송!B5+양산!B5+대구!B5+청주!B5</f>
        <v>0</v>
      </c>
      <c r="C5" s="3">
        <f>동탄!C5+화성!C5+파주!C5+판교!C5+광교!C5+삼송!C5+양산!C5</f>
        <v>0</v>
      </c>
      <c r="D5" s="3">
        <f>동탄!D5+화성!D5+파주!D5+판교!D5+광교!D5+삼송!D5+양산!D5</f>
        <v>0</v>
      </c>
      <c r="E5" s="3">
        <f>동탄!E5+화성!E5+파주!E5+판교!E5+광교!E5+삼송!E5+양산!E5</f>
        <v>0</v>
      </c>
      <c r="F5" s="3">
        <f>동탄!F5+화성!F5+파주!F5+판교!F5+광교!F5+삼송!F5+양산!F5</f>
        <v>0</v>
      </c>
      <c r="G5" s="3">
        <f>동탄!G5+화성!G5+파주!G5+판교!G5+광교!G5+삼송!G5+양산!G5</f>
        <v>0</v>
      </c>
      <c r="H5" s="3">
        <f>동탄!H5+화성!H5+파주!H5+판교!H5+광교!H5+삼송!H5+양산!H5</f>
        <v>0</v>
      </c>
      <c r="I5" s="3">
        <f>동탄!I5+화성!I5+파주!I5+판교!I5+광교!I5+삼송!I5+양산!I5</f>
        <v>0</v>
      </c>
    </row>
    <row r="6" spans="1:9" x14ac:dyDescent="0.6">
      <c r="A6" s="2" t="s">
        <v>2</v>
      </c>
      <c r="B6" s="3">
        <f>동탄!B6+화성!B6+파주!B6+판교!B6+광교!B6+삼송!B6+양산!B6+대구!B6+청주!B6</f>
        <v>0</v>
      </c>
      <c r="C6" s="3">
        <f>동탄!C6+화성!C6+파주!C6+판교!C6+광교!C6+삼송!C6+양산!C6</f>
        <v>0</v>
      </c>
      <c r="D6" s="3">
        <f>동탄!D6+화성!D6+파주!D6+판교!D6+광교!D6+삼송!D6+양산!D6</f>
        <v>0</v>
      </c>
      <c r="E6" s="3">
        <f>동탄!E6+화성!E6+파주!E6+판교!E6+광교!E6+삼송!E6+양산!E6</f>
        <v>0</v>
      </c>
      <c r="F6" s="3">
        <f>동탄!F6+화성!F6+파주!F6+판교!F6+광교!F6+삼송!F6+양산!F6</f>
        <v>0</v>
      </c>
      <c r="G6" s="3">
        <f>동탄!G6+화성!G6+파주!G6+판교!G6+광교!G6+삼송!G6+양산!G6</f>
        <v>0</v>
      </c>
      <c r="H6" s="3">
        <f>동탄!H6+화성!H6+파주!H6+판교!H6+광교!H6+삼송!H6+양산!H6</f>
        <v>0</v>
      </c>
      <c r="I6" s="3">
        <f>동탄!I6+화성!I6+파주!I6+판교!I6+광교!I6+삼송!I6+양산!I6</f>
        <v>0</v>
      </c>
    </row>
    <row r="7" spans="1:9" x14ac:dyDescent="0.6">
      <c r="A7" s="2" t="s">
        <v>3</v>
      </c>
      <c r="B7" s="3">
        <f>동탄!B7+화성!B7+파주!B7+판교!B7+광교!B7+삼송!B7+양산!B7+대구!B7+청주!B7</f>
        <v>0</v>
      </c>
      <c r="C7" s="3">
        <f>동탄!C7+화성!C7+파주!C7+판교!C7+광교!C7+삼송!C7+양산!C7</f>
        <v>0</v>
      </c>
      <c r="D7" s="3">
        <f>동탄!D7+화성!D7+파주!D7+판교!D7+광교!D7+삼송!D7+양산!D7</f>
        <v>0</v>
      </c>
      <c r="E7" s="3">
        <f>동탄!E7+화성!E7+파주!E7+판교!E7+광교!E7+삼송!E7+양산!E7</f>
        <v>0</v>
      </c>
      <c r="F7" s="3">
        <f>동탄!F7+화성!F7+파주!F7+판교!F7+광교!F7+삼송!F7+양산!F7</f>
        <v>0</v>
      </c>
      <c r="G7" s="3">
        <f>동탄!G7+화성!G7+파주!G7+판교!G7+광교!G7+삼송!G7+양산!G7</f>
        <v>0</v>
      </c>
      <c r="H7" s="3">
        <f>동탄!H7+화성!H7+파주!H7+판교!H7+광교!H7+삼송!H7+양산!H7</f>
        <v>0</v>
      </c>
      <c r="I7" s="3">
        <f>동탄!I7+화성!I7+파주!I7+판교!I7+광교!I7+삼송!I7+양산!I7</f>
        <v>0</v>
      </c>
    </row>
    <row r="8" spans="1:9" x14ac:dyDescent="0.6">
      <c r="A8" s="2" t="s">
        <v>18</v>
      </c>
      <c r="B8" s="3">
        <f>동탄!B8+화성!B8+파주!B8+판교!B8+광교!B8+삼송!B8+양산!B8+대구!B8+청주!B8</f>
        <v>0</v>
      </c>
      <c r="C8" s="3">
        <f>동탄!C8+화성!C8+파주!C8+판교!C8+광교!C8+삼송!C8+양산!C8</f>
        <v>0</v>
      </c>
      <c r="D8" s="3">
        <f>동탄!D8+화성!D8+파주!D8+판교!D8+광교!D8+삼송!D8+양산!D8</f>
        <v>0</v>
      </c>
      <c r="E8" s="3">
        <f>동탄!E8+화성!E8+파주!E8+판교!E8+광교!E8+삼송!E8+양산!E8</f>
        <v>0</v>
      </c>
      <c r="F8" s="3">
        <f>동탄!F8+화성!F8+파주!F8+판교!F8+광교!F8+삼송!F8+양산!F8</f>
        <v>0</v>
      </c>
      <c r="G8" s="3">
        <f>동탄!G8+화성!G8+파주!G8+판교!G8+광교!G8+삼송!G8+양산!G8</f>
        <v>0</v>
      </c>
      <c r="H8" s="3">
        <f>동탄!H8+화성!H8+파주!H8+판교!H8+광교!H8+삼송!H8+양산!H8</f>
        <v>0</v>
      </c>
      <c r="I8" s="3">
        <f>동탄!I8+화성!I8+파주!I8+판교!I8+광교!I8+삼송!I8+양산!I8</f>
        <v>0</v>
      </c>
    </row>
    <row r="9" spans="1:9" x14ac:dyDescent="0.6">
      <c r="A9" s="2" t="s">
        <v>19</v>
      </c>
      <c r="B9" s="3">
        <f>동탄!B9+화성!B9+파주!B9+판교!B9+광교!B9+삼송!B9+양산!B9+대구!B9+청주!B9</f>
        <v>0</v>
      </c>
      <c r="C9" s="3">
        <f>동탄!C9+화성!C9+파주!C9+판교!C9+광교!C9+삼송!C9+양산!C9</f>
        <v>0</v>
      </c>
      <c r="D9" s="3">
        <f>동탄!D9+화성!D9+파주!D9+판교!D9+광교!D9+삼송!D9+양산!D9</f>
        <v>0</v>
      </c>
      <c r="E9" s="3">
        <f>동탄!E9+화성!E9+파주!E9+판교!E9+광교!E9+삼송!E9+양산!E9</f>
        <v>0</v>
      </c>
      <c r="F9" s="3">
        <f>동탄!F9+화성!F9+파주!F9+판교!F9+광교!F9+삼송!F9+양산!F9</f>
        <v>0</v>
      </c>
      <c r="G9" s="3">
        <f>동탄!G9+화성!G9+파주!G9+판교!G9+광교!G9+삼송!G9+양산!G9</f>
        <v>0</v>
      </c>
      <c r="H9" s="3">
        <f>동탄!H9+화성!H9+파주!H9+판교!H9+광교!H9+삼송!H9+양산!H9</f>
        <v>0</v>
      </c>
      <c r="I9" s="3">
        <f>동탄!I9+화성!I9+파주!I9+판교!I9+광교!I9+삼송!I9+양산!I9</f>
        <v>0</v>
      </c>
    </row>
    <row r="10" spans="1:9" x14ac:dyDescent="0.6">
      <c r="A10" s="2" t="s">
        <v>17</v>
      </c>
      <c r="B10" s="3">
        <f>동탄!B10+화성!B10+파주!B10+판교!B10+광교!B10+삼송!B10+양산!B10+대구!B10+청주!B10</f>
        <v>0</v>
      </c>
      <c r="C10" s="3">
        <f>동탄!C10+화성!C10+파주!C10+판교!C10+광교!C10+삼송!C10+양산!C10</f>
        <v>0</v>
      </c>
      <c r="D10" s="3">
        <f>동탄!D10+화성!D10+파주!D10+판교!D10+광교!D10+삼송!D10+양산!D10</f>
        <v>0</v>
      </c>
      <c r="E10" s="3">
        <f>동탄!E10+화성!E10+파주!E10+판교!E10+광교!E10+삼송!E10+양산!E10</f>
        <v>0</v>
      </c>
      <c r="F10" s="3">
        <f>동탄!F10+화성!F10+파주!F10+판교!F10+광교!F10+삼송!F10+양산!F10</f>
        <v>0</v>
      </c>
      <c r="G10" s="3">
        <f>동탄!G10+화성!G10+파주!G10+판교!G10+광교!G10+삼송!G10+양산!G10</f>
        <v>0</v>
      </c>
      <c r="H10" s="3">
        <f>동탄!H10+화성!H10+파주!H10+판교!H10+광교!H10+삼송!H10+양산!H10</f>
        <v>0</v>
      </c>
      <c r="I10" s="3">
        <f>동탄!I10+화성!I10+파주!I10+판교!I10+광교!I10+삼송!I10+양산!I10</f>
        <v>0</v>
      </c>
    </row>
    <row r="11" spans="1:9" x14ac:dyDescent="0.6">
      <c r="A11" s="2" t="s">
        <v>4</v>
      </c>
      <c r="B11" s="3">
        <f>동탄!B11+화성!B11+파주!B11+판교!B11+광교!B11+삼송!B11+양산!B11+대구!B11+청주!B11</f>
        <v>0</v>
      </c>
      <c r="C11" s="3">
        <f>동탄!C11+화성!C11+파주!C11+판교!C11+광교!C11+삼송!C11+양산!C11</f>
        <v>0</v>
      </c>
      <c r="D11" s="3">
        <f>동탄!D11+화성!D11+파주!D11+판교!D11+광교!D11+삼송!D11+양산!D11</f>
        <v>0</v>
      </c>
      <c r="E11" s="3">
        <f>동탄!E11+화성!E11+파주!E11+판교!E11+광교!E11+삼송!E11+양산!E11</f>
        <v>0</v>
      </c>
      <c r="F11" s="3">
        <f>동탄!F11+화성!F11+파주!F11+판교!F11+광교!F11+삼송!F11+양산!F11</f>
        <v>0</v>
      </c>
      <c r="G11" s="3">
        <f>동탄!G11+화성!G11+파주!G11+판교!G11+광교!G11+삼송!G11+양산!G11</f>
        <v>0</v>
      </c>
      <c r="H11" s="3">
        <f>동탄!H11+화성!H11+파주!H11+판교!H11+광교!H11+삼송!H11+양산!H11</f>
        <v>0</v>
      </c>
      <c r="I11" s="3">
        <f>동탄!I11+화성!I11+파주!I11+판교!I11+광교!I11+삼송!I11+양산!I11</f>
        <v>0</v>
      </c>
    </row>
    <row r="12" spans="1:9" x14ac:dyDescent="0.6">
      <c r="A12" s="2" t="s">
        <v>69</v>
      </c>
      <c r="B12" s="3">
        <f>동탄!B12+화성!B12+파주!B12+판교!B12+광교!B12+삼송!B12+양산!B12+대구!B12+청주!B12</f>
        <v>0</v>
      </c>
      <c r="C12" s="3">
        <f>동탄!C12+화성!C12+파주!C12+판교!C12+광교!C12+삼송!C12+양산!C12</f>
        <v>0</v>
      </c>
      <c r="D12" s="3">
        <f>동탄!D12+화성!D12+파주!D12+판교!D12+광교!D12+삼송!D12+양산!D12</f>
        <v>0</v>
      </c>
      <c r="E12" s="3">
        <f>동탄!E12+화성!E12+파주!E12+판교!E12+광교!E12+삼송!E12+양산!E12</f>
        <v>0</v>
      </c>
      <c r="F12" s="3">
        <f>동탄!F12+화성!F12+파주!F12+판교!F12+광교!F12+삼송!F12+양산!F12</f>
        <v>0</v>
      </c>
      <c r="G12" s="3">
        <f>동탄!G12+화성!G12+파주!G12+판교!G12+광교!G12+삼송!G12+양산!G12</f>
        <v>0</v>
      </c>
      <c r="H12" s="3">
        <f>동탄!H12+화성!H12+파주!H12+판교!H12+광교!H12+삼송!H12+양산!H12</f>
        <v>0</v>
      </c>
      <c r="I12" s="3">
        <f>동탄!I12+화성!I12+파주!I12+판교!I12+광교!I12+삼송!I12+양산!I12</f>
        <v>0</v>
      </c>
    </row>
    <row r="13" spans="1:9" x14ac:dyDescent="0.6">
      <c r="A13" s="2" t="s">
        <v>5</v>
      </c>
      <c r="B13" s="3">
        <f>동탄!B13+화성!B13+파주!B13+판교!B13+광교!B13+삼송!B13+양산!B13+대구!B13+청주!B13</f>
        <v>0</v>
      </c>
      <c r="C13" s="3">
        <f>동탄!C13+화성!C13+파주!C13+판교!C13+광교!C13+삼송!C13+양산!C13</f>
        <v>0</v>
      </c>
      <c r="D13" s="3">
        <f>동탄!D13+화성!D13+파주!D13+판교!D13+광교!D13+삼송!D13+양산!D13</f>
        <v>0</v>
      </c>
      <c r="E13" s="3">
        <f>동탄!E13+화성!E13+파주!E13+판교!E13+광교!E13+삼송!E13+양산!E13</f>
        <v>0</v>
      </c>
      <c r="F13" s="3">
        <f>동탄!F13+화성!F13+파주!F13+판교!F13+광교!F13+삼송!F13+양산!F13</f>
        <v>0</v>
      </c>
      <c r="G13" s="3">
        <f>동탄!G13+화성!G13+파주!G13+판교!G13+광교!G13+삼송!G13+양산!G13</f>
        <v>0</v>
      </c>
      <c r="H13" s="3">
        <f>동탄!H13+화성!H13+파주!H13+판교!H13+광교!H13+삼송!H13+양산!H13</f>
        <v>0</v>
      </c>
      <c r="I13" s="3">
        <f>동탄!I13+화성!I13+파주!I13+판교!I13+광교!I13+삼송!I13+양산!I13</f>
        <v>0</v>
      </c>
    </row>
    <row r="14" spans="1:9" x14ac:dyDescent="0.6">
      <c r="A14" s="2"/>
      <c r="B14" s="3">
        <f>동탄!B14+화성!B14+파주!B14+판교!B14+광교!B14+삼송!B14+양산!B14+대구!B14+청주!B14</f>
        <v>0</v>
      </c>
      <c r="C14" s="3">
        <f>동탄!C14+화성!C14+파주!C14+판교!C14+광교!C14+삼송!C14+양산!C14</f>
        <v>0</v>
      </c>
      <c r="D14" s="3">
        <f>동탄!D14+화성!D14+파주!D14+판교!D14+광교!D14+삼송!D14+양산!D14</f>
        <v>0</v>
      </c>
      <c r="E14" s="3"/>
      <c r="F14" s="3"/>
      <c r="G14" s="3"/>
      <c r="H14" s="3"/>
      <c r="I14" s="3"/>
    </row>
    <row r="15" spans="1:9" x14ac:dyDescent="0.6">
      <c r="A15" s="2" t="s">
        <v>6</v>
      </c>
      <c r="B15" s="3">
        <f>동탄!B15+화성!B15+파주!B15+판교!B15+광교!B15+삼송!B15+양산!B15+대구!B15+청주!B15</f>
        <v>0</v>
      </c>
      <c r="C15" s="3">
        <f>동탄!C15+화성!C15+파주!C15+판교!C15+광교!C15+삼송!C15+양산!C15</f>
        <v>0</v>
      </c>
      <c r="D15" s="3">
        <f>동탄!D15+화성!D15+파주!D15+판교!D15+광교!D15+삼송!D15+양산!D15</f>
        <v>0</v>
      </c>
      <c r="E15" s="3">
        <f>동탄!E15+화성!E15+파주!E15+판교!E15+광교!E15+삼송!E15+양산!E15</f>
        <v>0</v>
      </c>
      <c r="F15" s="3">
        <f>동탄!F15+화성!F15+파주!F15+판교!F15+광교!F15+삼송!F15+양산!F15</f>
        <v>0</v>
      </c>
      <c r="G15" s="3">
        <f>동탄!G15+화성!G15+파주!G15+판교!G15+광교!G15+삼송!G15+양산!G15</f>
        <v>0</v>
      </c>
      <c r="H15" s="3">
        <f>동탄!H15+화성!H15+파주!H15+판교!H15+광교!H15+삼송!H15+양산!H15</f>
        <v>0</v>
      </c>
      <c r="I15" s="3">
        <f>동탄!I15+화성!I15+파주!I15+판교!I15+광교!I15+삼송!I15+양산!I15</f>
        <v>0</v>
      </c>
    </row>
    <row r="16" spans="1:9" x14ac:dyDescent="0.6">
      <c r="A16" s="2" t="s">
        <v>7</v>
      </c>
      <c r="B16" s="3">
        <f>동탄!B16+화성!B16+파주!B16+판교!B16+광교!B16+삼송!B16+양산!B16+대구!B16+청주!B16</f>
        <v>0</v>
      </c>
      <c r="C16" s="3">
        <f>동탄!C16+화성!C16+파주!C16+판교!C16+광교!C16+삼송!C16+양산!C16</f>
        <v>0</v>
      </c>
      <c r="D16" s="3">
        <f>동탄!D16+화성!D16+파주!D16+판교!D16+광교!D16+삼송!D16+양산!D16</f>
        <v>0</v>
      </c>
      <c r="E16" s="3">
        <f>동탄!E16+화성!E16+파주!E16+판교!E16+광교!E16+삼송!E16+양산!E16</f>
        <v>0</v>
      </c>
      <c r="F16" s="3">
        <f>동탄!F16+화성!F16+파주!F16+판교!F16+광교!F16+삼송!F16+양산!F16</f>
        <v>0</v>
      </c>
      <c r="G16" s="3">
        <f>동탄!G16+화성!G16+파주!G16+판교!G16+광교!G16+삼송!G16+양산!G16</f>
        <v>0</v>
      </c>
      <c r="H16" s="3">
        <f>동탄!H16+화성!H16+파주!H16+판교!H16+광교!H16+삼송!H16+양산!H16</f>
        <v>0</v>
      </c>
      <c r="I16" s="3">
        <f>동탄!I16+화성!I16+파주!I16+판교!I16+광교!I16+삼송!I16+양산!I16</f>
        <v>0</v>
      </c>
    </row>
    <row r="17" spans="1:9" x14ac:dyDescent="0.6">
      <c r="A17" s="2" t="s">
        <v>8</v>
      </c>
      <c r="B17" s="3">
        <f>동탄!B17+화성!B17+파주!B17+판교!B17+광교!B17+삼송!B17+양산!B17+대구!B17+청주!B17</f>
        <v>0</v>
      </c>
      <c r="C17" s="3">
        <f>동탄!C17+화성!C17+파주!C17+판교!C17+광교!C17+삼송!C17+양산!C17</f>
        <v>0</v>
      </c>
      <c r="D17" s="3">
        <f>동탄!D17+화성!D17+파주!D17+판교!D17+광교!D17+삼송!D17+양산!D17</f>
        <v>0</v>
      </c>
      <c r="E17" s="3">
        <f>동탄!E17+화성!E17+파주!E17+판교!E17+광교!E17+삼송!E17+양산!E17</f>
        <v>0</v>
      </c>
      <c r="F17" s="3">
        <f>동탄!F17+화성!F17+파주!F17+판교!F17+광교!F17+삼송!F17+양산!F17</f>
        <v>0</v>
      </c>
      <c r="G17" s="3">
        <f>동탄!G17+화성!G17+파주!G17+판교!G17+광교!G17+삼송!G17+양산!G17</f>
        <v>0</v>
      </c>
      <c r="H17" s="3">
        <f>동탄!H17+화성!H17+파주!H17+판교!H17+광교!H17+삼송!H17+양산!H17</f>
        <v>0</v>
      </c>
      <c r="I17" s="3">
        <f>동탄!I17+화성!I17+파주!I17+판교!I17+광교!I17+삼송!I17+양산!I17</f>
        <v>0</v>
      </c>
    </row>
    <row r="18" spans="1:9" x14ac:dyDescent="0.6">
      <c r="A18" s="2" t="s">
        <v>9</v>
      </c>
      <c r="B18" s="3">
        <f>동탄!B18+화성!B18+파주!B18+판교!B18+광교!B18+삼송!B18+양산!B18+대구!B18+청주!B18</f>
        <v>0</v>
      </c>
      <c r="C18" s="3">
        <f>동탄!C18+화성!C18+파주!C18+판교!C18+광교!C18+삼송!C18+양산!C18</f>
        <v>0</v>
      </c>
      <c r="D18" s="3">
        <f>동탄!D18+화성!D18+파주!D18+판교!D18+광교!D18+삼송!D18+양산!D18</f>
        <v>0</v>
      </c>
      <c r="E18" s="3">
        <f>동탄!E18+화성!E18+파주!E18+판교!E18+광교!E18+삼송!E18+양산!E18</f>
        <v>0</v>
      </c>
      <c r="F18" s="3">
        <f>동탄!F18+화성!F18+파주!F18+판교!F18+광교!F18+삼송!F18+양산!F18</f>
        <v>0</v>
      </c>
      <c r="G18" s="3">
        <f>동탄!G18+화성!G18+파주!G18+판교!G18+광교!G18+삼송!G18+양산!G18</f>
        <v>0</v>
      </c>
      <c r="H18" s="3">
        <f>동탄!H18+화성!H18+파주!H18+판교!H18+광교!H18+삼송!H18+양산!H18</f>
        <v>0</v>
      </c>
      <c r="I18" s="3">
        <f>동탄!I18+화성!I18+파주!I18+판교!I18+광교!I18+삼송!I18+양산!I18</f>
        <v>0</v>
      </c>
    </row>
    <row r="19" spans="1:9" x14ac:dyDescent="0.6">
      <c r="A19" s="2" t="s">
        <v>10</v>
      </c>
      <c r="B19" s="3">
        <f>동탄!B19+화성!B19+파주!B19+판교!B19+광교!B19+삼송!B19+양산!B19+대구!B19+청주!B19</f>
        <v>0</v>
      </c>
      <c r="C19" s="3">
        <f>동탄!C19+화성!C19+파주!C19+판교!C19+광교!C19+삼송!C19+양산!C19</f>
        <v>0</v>
      </c>
      <c r="D19" s="3">
        <f>동탄!D19+화성!D19+파주!D19+판교!D19+광교!D19+삼송!D19+양산!D19</f>
        <v>0</v>
      </c>
      <c r="E19" s="3">
        <f>동탄!E19+화성!E19+파주!E19+판교!E19+광교!E19+삼송!E19+양산!E19</f>
        <v>0</v>
      </c>
      <c r="F19" s="3">
        <f>동탄!F19+화성!F19+파주!F19+판교!F19+광교!F19+삼송!F19+양산!F19</f>
        <v>0</v>
      </c>
      <c r="G19" s="3">
        <f>동탄!G19+화성!G19+파주!G19+판교!G19+광교!G19+삼송!G19+양산!G19</f>
        <v>0</v>
      </c>
      <c r="H19" s="3">
        <f>동탄!H19+화성!H19+파주!H19+판교!H19+광교!H19+삼송!H19+양산!H19</f>
        <v>0</v>
      </c>
      <c r="I19" s="3">
        <f>동탄!I19+화성!I19+파주!I19+판교!I19+광교!I19+삼송!I19+양산!I19</f>
        <v>0</v>
      </c>
    </row>
    <row r="20" spans="1:9" x14ac:dyDescent="0.6">
      <c r="A20" s="2" t="s">
        <v>11</v>
      </c>
      <c r="B20" s="3">
        <f>동탄!B20+화성!B20+파주!B20+판교!B20+광교!B20+삼송!B20+양산!B20+대구!B20+청주!B20</f>
        <v>0</v>
      </c>
      <c r="C20" s="3">
        <f>동탄!C20+화성!C20+파주!C20+판교!C20+광교!C20+삼송!C20+양산!C20</f>
        <v>0</v>
      </c>
      <c r="D20" s="3">
        <f>동탄!D20+화성!D20+파주!D20+판교!D20+광교!D20+삼송!D20+양산!D20</f>
        <v>0</v>
      </c>
      <c r="E20" s="3">
        <f>동탄!E20+화성!E20+파주!E20+판교!E20+광교!E20+삼송!E20+양산!E20</f>
        <v>0</v>
      </c>
      <c r="F20" s="3">
        <f>동탄!F20+화성!F20+파주!F20+판교!F20+광교!F20+삼송!F20+양산!F20</f>
        <v>0</v>
      </c>
      <c r="G20" s="3">
        <f>동탄!G20+화성!G20+파주!G20+판교!G20+광교!G20+삼송!G20+양산!G20</f>
        <v>0</v>
      </c>
      <c r="H20" s="3">
        <f>동탄!H20+화성!H20+파주!H20+판교!H20+광교!H20+삼송!H20+양산!H20</f>
        <v>0</v>
      </c>
      <c r="I20" s="3">
        <f>동탄!I20+화성!I20+파주!I20+판교!I20+광교!I20+삼송!I20+양산!I20</f>
        <v>0</v>
      </c>
    </row>
    <row r="21" spans="1:9" x14ac:dyDescent="0.6">
      <c r="A21" s="2" t="s">
        <v>12</v>
      </c>
      <c r="B21" s="3">
        <f>동탄!B21+화성!B21+파주!B21+판교!B21+광교!B21+삼송!B21+양산!B21+대구!B21+청주!B21</f>
        <v>0</v>
      </c>
      <c r="C21" s="3">
        <f>동탄!C21+화성!C21+파주!C21+판교!C21+광교!C21+삼송!C21+양산!C21</f>
        <v>0</v>
      </c>
      <c r="D21" s="3">
        <f>동탄!D21+화성!D21+파주!D21+판교!D21+광교!D21+삼송!D21+양산!D21</f>
        <v>0</v>
      </c>
      <c r="E21" s="3">
        <f>동탄!E21+화성!E21+파주!E21+판교!E21+광교!E21+삼송!E21+양산!E21</f>
        <v>0</v>
      </c>
      <c r="F21" s="3">
        <f>동탄!F21+화성!F21+파주!F21+판교!F21+광교!F21+삼송!F21+양산!F21</f>
        <v>0</v>
      </c>
      <c r="G21" s="3">
        <f>동탄!G21+화성!G21+파주!G21+판교!G21+광교!G21+삼송!G21+양산!G21</f>
        <v>0</v>
      </c>
      <c r="H21" s="3">
        <f>동탄!H21+화성!H21+파주!H21+판교!H21+광교!H21+삼송!H21+양산!H21</f>
        <v>0</v>
      </c>
      <c r="I21" s="3">
        <f>동탄!I21+화성!I21+파주!I21+판교!I21+광교!I21+삼송!I21+양산!I21</f>
        <v>0</v>
      </c>
    </row>
    <row r="24" spans="1:9" x14ac:dyDescent="0.6">
      <c r="B24" t="s">
        <v>72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M52"/>
  <sheetViews>
    <sheetView tabSelected="1" zoomScale="70" zoomScaleNormal="70" workbookViewId="0">
      <pane ySplit="3" topLeftCell="A4" activePane="bottomLeft" state="frozen"/>
      <selection activeCell="B35" sqref="B35"/>
      <selection pane="bottomLeft" activeCell="D12" sqref="D12"/>
    </sheetView>
  </sheetViews>
  <sheetFormatPr defaultRowHeight="16.899999999999999" x14ac:dyDescent="0.6"/>
  <cols>
    <col min="1" max="3" width="35.375" customWidth="1"/>
    <col min="4" max="4" width="32.625" customWidth="1"/>
    <col min="5" max="5" width="23.5" customWidth="1"/>
    <col min="6" max="6" width="18.625" customWidth="1"/>
    <col min="7" max="7" width="18.5" customWidth="1"/>
    <col min="8" max="8" width="28.75" customWidth="1"/>
    <col min="9" max="9" width="23.875" customWidth="1"/>
    <col min="10" max="10" width="24.875" bestFit="1" customWidth="1"/>
    <col min="11" max="11" width="17.25" customWidth="1"/>
    <col min="12" max="12" width="16.75" customWidth="1"/>
  </cols>
  <sheetData>
    <row r="2" spans="1:12" ht="17.25" thickBot="1" x14ac:dyDescent="0.65">
      <c r="B2" s="126"/>
      <c r="C2" s="126"/>
      <c r="K2" s="8" t="s">
        <v>13</v>
      </c>
    </row>
    <row r="3" spans="1:12" x14ac:dyDescent="0.6">
      <c r="A3" s="99"/>
      <c r="B3" s="88">
        <v>2025</v>
      </c>
      <c r="C3" s="86">
        <v>2024</v>
      </c>
      <c r="D3" s="90">
        <v>2023</v>
      </c>
      <c r="E3" s="57">
        <v>2022</v>
      </c>
      <c r="F3" s="57">
        <v>2021</v>
      </c>
      <c r="G3" s="58">
        <v>2020</v>
      </c>
      <c r="H3" s="58">
        <v>2019</v>
      </c>
      <c r="I3" s="58">
        <v>2018</v>
      </c>
      <c r="J3" s="58">
        <v>2017</v>
      </c>
      <c r="K3" s="58">
        <v>2016</v>
      </c>
      <c r="L3" s="59" t="s">
        <v>29</v>
      </c>
    </row>
    <row r="4" spans="1:12" x14ac:dyDescent="0.6">
      <c r="A4" s="100" t="s">
        <v>0</v>
      </c>
      <c r="B4" s="32" t="s">
        <v>77</v>
      </c>
      <c r="C4" s="32"/>
      <c r="D4" s="94"/>
      <c r="E4" s="9"/>
      <c r="F4" s="9"/>
      <c r="G4" s="6"/>
      <c r="H4" s="6"/>
      <c r="I4" s="6"/>
      <c r="J4" s="6"/>
      <c r="K4" s="6"/>
      <c r="L4" s="60">
        <v>69000</v>
      </c>
    </row>
    <row r="5" spans="1:12" x14ac:dyDescent="0.6">
      <c r="A5" s="100" t="s">
        <v>1</v>
      </c>
      <c r="B5" s="32"/>
      <c r="C5" s="32"/>
      <c r="D5" s="94"/>
      <c r="E5" s="6"/>
      <c r="F5" s="6"/>
      <c r="G5" s="6"/>
      <c r="H5" s="6"/>
      <c r="I5" s="6"/>
      <c r="J5" s="6"/>
      <c r="K5" s="6"/>
      <c r="L5" s="60">
        <v>0</v>
      </c>
    </row>
    <row r="6" spans="1:12" x14ac:dyDescent="0.6">
      <c r="A6" s="100" t="s">
        <v>2</v>
      </c>
      <c r="B6" s="32"/>
      <c r="C6" s="32"/>
      <c r="D6" s="94"/>
      <c r="E6" s="6"/>
      <c r="F6" s="6"/>
      <c r="G6" s="6"/>
      <c r="H6" s="6"/>
      <c r="I6" s="6"/>
      <c r="J6" s="6"/>
      <c r="K6" s="6"/>
      <c r="L6" s="60">
        <v>0</v>
      </c>
    </row>
    <row r="7" spans="1:12" x14ac:dyDescent="0.6">
      <c r="A7" s="100" t="s">
        <v>3</v>
      </c>
      <c r="B7" s="32"/>
      <c r="C7" s="32"/>
      <c r="D7" s="94"/>
      <c r="E7" s="6"/>
      <c r="F7" s="6"/>
      <c r="G7" s="6"/>
      <c r="H7" s="6"/>
      <c r="I7" s="6"/>
      <c r="J7" s="6"/>
      <c r="K7" s="6"/>
      <c r="L7" s="60">
        <v>20142000</v>
      </c>
    </row>
    <row r="8" spans="1:12" x14ac:dyDescent="0.6">
      <c r="A8" s="100" t="s">
        <v>18</v>
      </c>
      <c r="B8" s="32"/>
      <c r="C8" s="32"/>
      <c r="D8" s="94"/>
      <c r="E8" s="6"/>
      <c r="F8" s="6"/>
      <c r="G8" s="6"/>
      <c r="H8" s="6"/>
      <c r="I8" s="6"/>
      <c r="J8" s="6"/>
      <c r="K8" s="6"/>
      <c r="L8" s="60">
        <v>423000</v>
      </c>
    </row>
    <row r="9" spans="1:12" x14ac:dyDescent="0.6">
      <c r="A9" s="100" t="s">
        <v>19</v>
      </c>
      <c r="B9" s="32"/>
      <c r="C9" s="32"/>
      <c r="D9" s="94"/>
      <c r="E9" s="6"/>
      <c r="F9" s="6"/>
      <c r="G9" s="6"/>
      <c r="H9" s="6"/>
      <c r="I9" s="6"/>
      <c r="J9" s="6"/>
      <c r="K9" s="6"/>
      <c r="L9" s="60">
        <f>9153000+1000000</f>
        <v>10153000</v>
      </c>
    </row>
    <row r="10" spans="1:12" x14ac:dyDescent="0.6">
      <c r="A10" s="100" t="s">
        <v>17</v>
      </c>
      <c r="B10" s="32"/>
      <c r="C10" s="32"/>
      <c r="D10" s="94"/>
      <c r="E10" s="9"/>
      <c r="F10" s="9"/>
      <c r="G10" s="6"/>
      <c r="H10" s="6"/>
      <c r="I10" s="6"/>
      <c r="J10" s="6"/>
      <c r="K10" s="6"/>
      <c r="L10" s="60">
        <v>0</v>
      </c>
    </row>
    <row r="11" spans="1:12" x14ac:dyDescent="0.6">
      <c r="A11" s="100" t="s">
        <v>4</v>
      </c>
      <c r="B11" s="32"/>
      <c r="C11" s="32"/>
      <c r="D11" s="94"/>
      <c r="E11" s="6"/>
      <c r="F11" s="6"/>
      <c r="G11" s="6"/>
      <c r="H11" s="6"/>
      <c r="I11" s="6"/>
      <c r="J11" s="6"/>
      <c r="K11" s="6"/>
      <c r="L11" s="60">
        <v>389000</v>
      </c>
    </row>
    <row r="12" spans="1:12" x14ac:dyDescent="0.6">
      <c r="A12" s="100" t="s">
        <v>69</v>
      </c>
      <c r="B12" s="32"/>
      <c r="C12" s="32"/>
      <c r="D12" s="94"/>
      <c r="E12" s="6"/>
      <c r="F12" s="6"/>
      <c r="G12" s="6"/>
      <c r="H12" s="6"/>
      <c r="I12" s="6"/>
      <c r="J12" s="6"/>
      <c r="K12" s="6"/>
      <c r="L12" s="60">
        <v>389000</v>
      </c>
    </row>
    <row r="13" spans="1:12" x14ac:dyDescent="0.6">
      <c r="A13" s="100" t="s">
        <v>5</v>
      </c>
      <c r="B13" s="6"/>
      <c r="C13" s="6"/>
      <c r="D13" s="106"/>
      <c r="E13" s="6"/>
      <c r="F13" s="6"/>
      <c r="G13" s="6"/>
      <c r="H13" s="6"/>
      <c r="I13" s="6"/>
      <c r="J13" s="6"/>
      <c r="K13" s="6"/>
      <c r="L13" s="61">
        <f t="shared" ref="C13:L13" si="0">SUM(L4:L11)</f>
        <v>31176000</v>
      </c>
    </row>
    <row r="14" spans="1:12" x14ac:dyDescent="0.6">
      <c r="A14" s="62"/>
      <c r="B14" s="96"/>
      <c r="C14" s="96"/>
      <c r="D14" s="40"/>
      <c r="E14" s="6"/>
      <c r="F14" s="6"/>
      <c r="G14" s="6"/>
      <c r="H14" s="6"/>
      <c r="I14" s="6"/>
      <c r="J14" s="6"/>
      <c r="K14" s="6"/>
      <c r="L14" s="61"/>
    </row>
    <row r="15" spans="1:12" x14ac:dyDescent="0.6">
      <c r="A15" s="100" t="s">
        <v>6</v>
      </c>
      <c r="B15" s="32"/>
      <c r="C15" s="32"/>
      <c r="D15" s="94"/>
      <c r="E15" s="6"/>
      <c r="F15" s="6"/>
      <c r="G15" s="6"/>
      <c r="H15" s="6"/>
      <c r="I15" s="6"/>
      <c r="J15" s="6"/>
      <c r="K15" s="6"/>
      <c r="L15" s="61">
        <v>103000</v>
      </c>
    </row>
    <row r="16" spans="1:12" x14ac:dyDescent="0.6">
      <c r="A16" s="100" t="s">
        <v>7</v>
      </c>
      <c r="B16" s="32"/>
      <c r="C16" s="32"/>
      <c r="D16" s="94"/>
      <c r="E16" s="6"/>
      <c r="F16" s="6"/>
      <c r="G16" s="6"/>
      <c r="H16" s="6"/>
      <c r="I16" s="6"/>
      <c r="J16" s="6"/>
      <c r="K16" s="6"/>
      <c r="L16" s="61"/>
    </row>
    <row r="17" spans="1:12" x14ac:dyDescent="0.6">
      <c r="A17" s="100" t="s">
        <v>8</v>
      </c>
      <c r="B17" s="32"/>
      <c r="C17" s="32"/>
      <c r="D17" s="94"/>
      <c r="E17" s="6"/>
      <c r="F17" s="6"/>
      <c r="G17" s="6"/>
      <c r="H17" s="6"/>
      <c r="I17" s="6"/>
      <c r="J17" s="6"/>
      <c r="K17" s="6"/>
      <c r="L17" s="63"/>
    </row>
    <row r="18" spans="1:12" x14ac:dyDescent="0.6">
      <c r="A18" s="100" t="s">
        <v>9</v>
      </c>
      <c r="B18" s="32"/>
      <c r="C18" s="32"/>
      <c r="D18" s="94"/>
      <c r="E18" s="6"/>
      <c r="F18" s="6"/>
      <c r="G18" s="6"/>
      <c r="H18" s="6"/>
      <c r="I18" s="6"/>
      <c r="J18" s="6"/>
      <c r="K18" s="6"/>
      <c r="L18" s="61"/>
    </row>
    <row r="19" spans="1:12" x14ac:dyDescent="0.6">
      <c r="A19" s="100" t="s">
        <v>10</v>
      </c>
      <c r="B19" s="32"/>
      <c r="C19" s="32"/>
      <c r="D19" s="94"/>
      <c r="E19" s="6"/>
      <c r="F19" s="6"/>
      <c r="G19" s="6"/>
      <c r="H19" s="6"/>
      <c r="I19" s="6"/>
      <c r="J19" s="6"/>
      <c r="K19" s="6"/>
      <c r="L19" s="61"/>
    </row>
    <row r="20" spans="1:12" x14ac:dyDescent="0.6">
      <c r="A20" s="100" t="s">
        <v>11</v>
      </c>
      <c r="B20" s="32"/>
      <c r="C20" s="32"/>
      <c r="D20" s="94"/>
      <c r="E20" s="6"/>
      <c r="F20" s="6"/>
      <c r="G20" s="6"/>
      <c r="H20" s="6"/>
      <c r="I20" s="6"/>
      <c r="J20" s="6"/>
      <c r="K20" s="6"/>
      <c r="L20" s="61"/>
    </row>
    <row r="21" spans="1:12" x14ac:dyDescent="0.6">
      <c r="A21" s="100" t="s">
        <v>12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1"/>
    </row>
    <row r="22" spans="1:12" x14ac:dyDescent="0.6">
      <c r="A22" s="62"/>
      <c r="B22" s="96"/>
      <c r="C22" s="96"/>
      <c r="D22" s="40"/>
      <c r="E22" s="64"/>
      <c r="F22" s="64"/>
      <c r="G22" s="64"/>
      <c r="H22" s="64"/>
      <c r="I22" s="64"/>
      <c r="J22" s="40"/>
      <c r="K22" s="40"/>
      <c r="L22" s="65"/>
    </row>
    <row r="23" spans="1:12" x14ac:dyDescent="0.6">
      <c r="A23" s="101" t="s">
        <v>14</v>
      </c>
      <c r="B23" s="150"/>
      <c r="C23" s="19"/>
      <c r="D23" s="107"/>
      <c r="E23" s="55"/>
      <c r="F23" s="55"/>
      <c r="G23" s="16"/>
      <c r="H23" s="16"/>
      <c r="I23" s="55"/>
      <c r="J23" s="55"/>
      <c r="K23" s="55"/>
      <c r="L23" s="66"/>
    </row>
    <row r="24" spans="1:12" x14ac:dyDescent="0.6">
      <c r="A24" s="102" t="s">
        <v>15</v>
      </c>
      <c r="B24" s="150"/>
      <c r="C24" s="11"/>
      <c r="D24" s="108"/>
      <c r="E24" s="55"/>
      <c r="F24" s="55"/>
      <c r="G24" s="55"/>
      <c r="H24" s="55"/>
      <c r="I24" s="55"/>
      <c r="J24" s="55"/>
      <c r="K24" s="55"/>
      <c r="L24" s="66"/>
    </row>
    <row r="25" spans="1:12" ht="17.25" thickBot="1" x14ac:dyDescent="0.65">
      <c r="A25" s="103" t="s">
        <v>41</v>
      </c>
      <c r="B25" s="67"/>
      <c r="C25" s="73"/>
      <c r="D25" s="109"/>
      <c r="E25" s="67"/>
      <c r="F25" s="67"/>
      <c r="G25" s="67"/>
      <c r="H25" s="67"/>
      <c r="I25" s="67"/>
      <c r="J25" s="67"/>
      <c r="K25" s="67"/>
      <c r="L25" s="68"/>
    </row>
    <row r="26" spans="1:12" x14ac:dyDescent="0.6">
      <c r="B26" s="96"/>
      <c r="C26" s="96"/>
      <c r="L26" s="31"/>
    </row>
    <row r="27" spans="1:12" x14ac:dyDescent="0.6">
      <c r="A27" s="91" t="s">
        <v>26</v>
      </c>
      <c r="B27" s="2"/>
      <c r="C27" s="2"/>
      <c r="D27" s="89"/>
      <c r="E27" s="2"/>
      <c r="F27" s="2"/>
      <c r="G27" s="2"/>
      <c r="H27" s="2"/>
      <c r="I27" s="2"/>
      <c r="J27" s="2"/>
      <c r="K27" s="2"/>
      <c r="L27" s="17"/>
    </row>
    <row r="28" spans="1:12" x14ac:dyDescent="0.6">
      <c r="A28" s="91" t="s">
        <v>27</v>
      </c>
      <c r="B28" s="3"/>
      <c r="C28" s="3"/>
      <c r="D28" s="110"/>
      <c r="E28" s="3"/>
      <c r="F28" s="3"/>
      <c r="G28" s="3"/>
      <c r="H28" s="3"/>
      <c r="I28" s="3"/>
      <c r="J28" s="3"/>
      <c r="K28" s="3"/>
      <c r="L28" s="17"/>
    </row>
    <row r="29" spans="1:12" x14ac:dyDescent="0.6">
      <c r="A29" s="91" t="s">
        <v>31</v>
      </c>
      <c r="B29" s="2"/>
      <c r="C29" s="2"/>
      <c r="D29" s="89"/>
      <c r="E29" s="3"/>
      <c r="F29" s="3"/>
      <c r="G29" s="3"/>
      <c r="H29" s="3"/>
      <c r="I29" s="3"/>
      <c r="J29" s="3"/>
      <c r="K29" s="3"/>
      <c r="L29" s="17"/>
    </row>
    <row r="30" spans="1:12" x14ac:dyDescent="0.6">
      <c r="A30" s="91" t="s">
        <v>71</v>
      </c>
      <c r="B30" s="3"/>
      <c r="C30" s="2"/>
      <c r="D30" s="89"/>
      <c r="E30" s="3"/>
      <c r="F30" s="3"/>
      <c r="G30" s="3"/>
      <c r="H30" s="3"/>
      <c r="I30" s="3"/>
      <c r="J30" s="3"/>
      <c r="K30" s="3"/>
      <c r="L30" s="17"/>
    </row>
    <row r="31" spans="1:12" x14ac:dyDescent="0.6">
      <c r="A31" s="104" t="s">
        <v>28</v>
      </c>
      <c r="B31" s="111"/>
      <c r="C31" s="111"/>
      <c r="D31" s="111"/>
      <c r="E31" s="75"/>
      <c r="F31" s="75"/>
      <c r="G31" s="75"/>
      <c r="H31" s="75"/>
      <c r="I31" s="75"/>
      <c r="J31" s="75"/>
      <c r="K31" s="75"/>
      <c r="L31" s="75"/>
    </row>
    <row r="32" spans="1:12" x14ac:dyDescent="0.6">
      <c r="A32" s="40"/>
      <c r="B32" s="96"/>
      <c r="C32" s="96"/>
      <c r="D32" s="40"/>
      <c r="E32" s="41"/>
      <c r="F32" s="41"/>
      <c r="G32" s="41"/>
      <c r="H32" s="41"/>
      <c r="I32" s="41"/>
      <c r="J32" s="41"/>
      <c r="K32" s="41"/>
      <c r="L32" s="42"/>
    </row>
    <row r="33" spans="1:13" x14ac:dyDescent="0.6">
      <c r="A33" s="91" t="s">
        <v>43</v>
      </c>
      <c r="B33" s="2"/>
      <c r="C33" s="2"/>
      <c r="D33" s="89"/>
      <c r="E33" s="2"/>
      <c r="F33" s="2"/>
      <c r="G33" s="166"/>
      <c r="H33" s="43"/>
      <c r="I33" s="43"/>
      <c r="J33" s="43"/>
      <c r="K33" s="43"/>
      <c r="L33" s="43"/>
      <c r="M33" s="40"/>
    </row>
    <row r="34" spans="1:13" x14ac:dyDescent="0.6">
      <c r="A34" s="91" t="s">
        <v>44</v>
      </c>
      <c r="B34" s="3"/>
      <c r="C34" s="3"/>
      <c r="D34" s="110"/>
      <c r="E34" s="3"/>
      <c r="F34" s="3"/>
      <c r="G34" s="167"/>
      <c r="H34" s="43"/>
      <c r="I34" s="43"/>
      <c r="J34" s="43"/>
      <c r="K34" s="43"/>
      <c r="L34" s="43"/>
      <c r="M34" s="40"/>
    </row>
    <row r="35" spans="1:13" x14ac:dyDescent="0.6">
      <c r="A35" s="91" t="s">
        <v>45</v>
      </c>
      <c r="B35" s="3"/>
      <c r="C35" s="3"/>
      <c r="D35" s="110"/>
      <c r="E35" s="3"/>
      <c r="F35" s="3"/>
      <c r="G35" s="167"/>
      <c r="H35" s="43"/>
      <c r="I35" s="43"/>
      <c r="J35" s="43"/>
      <c r="K35" s="43"/>
      <c r="L35" s="43"/>
      <c r="M35" s="40"/>
    </row>
    <row r="36" spans="1:13" x14ac:dyDescent="0.6">
      <c r="A36" s="104" t="s">
        <v>46</v>
      </c>
      <c r="B36" s="111"/>
      <c r="C36" s="111"/>
      <c r="D36" s="111"/>
      <c r="E36" s="75"/>
      <c r="F36" s="75"/>
      <c r="G36" s="167"/>
      <c r="H36" s="43"/>
      <c r="I36" s="43"/>
      <c r="J36" s="43"/>
      <c r="K36" s="43"/>
      <c r="L36" s="43"/>
      <c r="M36" s="40"/>
    </row>
    <row r="37" spans="1:13" x14ac:dyDescent="0.6">
      <c r="B37" s="96"/>
      <c r="C37" s="96"/>
    </row>
    <row r="38" spans="1:13" x14ac:dyDescent="0.6">
      <c r="A38" s="91" t="s">
        <v>33</v>
      </c>
      <c r="B38" s="150"/>
      <c r="C38" s="30"/>
      <c r="D38" s="112"/>
      <c r="E38" s="35"/>
      <c r="F38" s="35"/>
      <c r="G38" s="35"/>
      <c r="H38" s="35"/>
      <c r="I38" s="35"/>
      <c r="K38" s="37"/>
    </row>
    <row r="39" spans="1:13" x14ac:dyDescent="0.6">
      <c r="A39" s="91" t="s">
        <v>6</v>
      </c>
      <c r="B39" s="30"/>
      <c r="C39" s="112"/>
      <c r="D39" s="112"/>
      <c r="E39" s="112"/>
      <c r="F39" s="112"/>
      <c r="G39" s="112"/>
      <c r="H39" s="35"/>
      <c r="I39" s="35"/>
      <c r="K39" s="37"/>
    </row>
    <row r="40" spans="1:13" x14ac:dyDescent="0.6">
      <c r="A40" s="105" t="s">
        <v>7</v>
      </c>
      <c r="B40" s="30"/>
      <c r="C40" s="112"/>
      <c r="D40" s="112"/>
      <c r="E40" s="33"/>
      <c r="F40" s="33"/>
      <c r="G40" s="33"/>
      <c r="H40" s="35"/>
      <c r="I40" s="35"/>
      <c r="J40" s="163"/>
      <c r="K40" s="37"/>
    </row>
    <row r="41" spans="1:13" x14ac:dyDescent="0.6">
      <c r="A41" s="105" t="s">
        <v>8</v>
      </c>
      <c r="B41" s="30"/>
      <c r="C41" s="112"/>
      <c r="D41" s="112"/>
      <c r="E41" s="112"/>
      <c r="F41" s="112"/>
      <c r="G41" s="112"/>
      <c r="H41" s="35"/>
      <c r="I41" s="35"/>
      <c r="K41" s="37"/>
    </row>
    <row r="42" spans="1:13" x14ac:dyDescent="0.6">
      <c r="A42" s="105" t="s">
        <v>47</v>
      </c>
      <c r="B42" s="30"/>
      <c r="C42" s="112"/>
      <c r="D42" s="159"/>
      <c r="E42" s="159"/>
      <c r="F42" s="159"/>
      <c r="G42" s="159"/>
      <c r="H42" s="35"/>
      <c r="I42" s="35"/>
      <c r="K42" s="37"/>
    </row>
    <row r="43" spans="1:13" x14ac:dyDescent="0.6">
      <c r="A43" s="105" t="s">
        <v>10</v>
      </c>
      <c r="B43" s="30"/>
      <c r="C43" s="30"/>
      <c r="D43" s="112"/>
      <c r="E43" s="33"/>
      <c r="F43" s="33"/>
      <c r="G43" s="33"/>
      <c r="H43" s="35"/>
      <c r="I43" s="35"/>
      <c r="K43" s="37"/>
    </row>
    <row r="44" spans="1:13" x14ac:dyDescent="0.6">
      <c r="A44" s="105" t="s">
        <v>11</v>
      </c>
      <c r="B44" s="30"/>
      <c r="C44" s="30"/>
      <c r="D44" s="112"/>
      <c r="E44" s="33"/>
      <c r="F44" s="33"/>
      <c r="G44" s="33"/>
      <c r="H44" s="34"/>
      <c r="I44" s="35"/>
      <c r="K44" s="37"/>
    </row>
    <row r="45" spans="1:13" x14ac:dyDescent="0.6">
      <c r="B45" s="113"/>
      <c r="C45" s="113"/>
      <c r="D45" s="1"/>
      <c r="E45" s="1"/>
      <c r="F45" s="1"/>
      <c r="G45" s="1"/>
      <c r="I45" s="37"/>
      <c r="K45" s="37"/>
    </row>
    <row r="46" spans="1:13" x14ac:dyDescent="0.6">
      <c r="A46" s="91" t="s">
        <v>35</v>
      </c>
      <c r="B46" s="150"/>
      <c r="C46" s="30"/>
      <c r="D46" s="112"/>
      <c r="E46" s="71"/>
      <c r="F46" s="11"/>
      <c r="G46" s="71"/>
      <c r="H46" s="71"/>
      <c r="I46" s="71"/>
      <c r="J46" s="71"/>
      <c r="K46" s="71"/>
    </row>
    <row r="47" spans="1:13" x14ac:dyDescent="0.6">
      <c r="A47" s="91" t="s">
        <v>26</v>
      </c>
      <c r="B47" s="30"/>
      <c r="C47" s="30"/>
      <c r="D47" s="112"/>
      <c r="E47" s="30"/>
      <c r="F47" s="52"/>
      <c r="G47" s="71"/>
      <c r="H47" s="71"/>
      <c r="I47" s="71"/>
      <c r="J47" s="71"/>
      <c r="K47" s="71"/>
    </row>
    <row r="48" spans="1:13" x14ac:dyDescent="0.6">
      <c r="A48" s="156" t="s">
        <v>28</v>
      </c>
      <c r="B48" s="157"/>
      <c r="C48" s="157"/>
      <c r="D48" s="159"/>
      <c r="E48" s="157"/>
      <c r="F48" s="157"/>
      <c r="G48" s="71"/>
      <c r="H48" s="71"/>
      <c r="I48" s="71"/>
      <c r="J48" s="71"/>
      <c r="K48" s="71"/>
    </row>
    <row r="49" spans="1:11" x14ac:dyDescent="0.6">
      <c r="A49" s="105" t="s">
        <v>19</v>
      </c>
      <c r="B49" s="30"/>
      <c r="C49" s="30"/>
      <c r="D49" s="112"/>
      <c r="E49" s="30"/>
      <c r="F49" s="52"/>
      <c r="G49" s="71"/>
      <c r="H49" s="71"/>
      <c r="I49" s="71"/>
      <c r="J49" s="71"/>
      <c r="K49" s="71"/>
    </row>
    <row r="50" spans="1:11" x14ac:dyDescent="0.6">
      <c r="A50" s="105" t="s">
        <v>37</v>
      </c>
      <c r="B50" s="30"/>
      <c r="C50" s="30"/>
      <c r="D50" s="112"/>
      <c r="E50" s="112"/>
      <c r="F50" s="112"/>
      <c r="G50" s="71"/>
      <c r="H50" s="71"/>
      <c r="I50" s="71"/>
      <c r="J50" s="71"/>
      <c r="K50" s="71"/>
    </row>
    <row r="51" spans="1:11" x14ac:dyDescent="0.6">
      <c r="A51" s="105" t="s">
        <v>38</v>
      </c>
      <c r="B51" s="30"/>
      <c r="C51" s="30"/>
      <c r="D51" s="112"/>
      <c r="E51" s="33"/>
      <c r="F51" s="160"/>
      <c r="G51" s="34"/>
      <c r="H51" s="71"/>
      <c r="I51" s="71"/>
      <c r="J51" s="71"/>
      <c r="K51" s="71"/>
    </row>
    <row r="52" spans="1:11" x14ac:dyDescent="0.6">
      <c r="A52" s="105" t="s">
        <v>39</v>
      </c>
      <c r="B52" s="3"/>
      <c r="C52" s="3"/>
      <c r="D52" s="110"/>
      <c r="E52" s="32"/>
      <c r="F52" s="161"/>
      <c r="G52" s="71"/>
      <c r="H52" s="71"/>
      <c r="I52" s="71"/>
      <c r="J52" s="71"/>
      <c r="K52" s="71"/>
    </row>
  </sheetData>
  <mergeCells count="1">
    <mergeCell ref="G33:G3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K47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26.375" style="1" customWidth="1"/>
    <col min="6" max="6" width="26.375" customWidth="1"/>
    <col min="7" max="7" width="21.375" customWidth="1"/>
    <col min="8" max="8" width="60" customWidth="1"/>
    <col min="9" max="9" width="25.5" customWidth="1"/>
    <col min="10" max="10" width="21.875" customWidth="1"/>
    <col min="11" max="11" width="18.875" customWidth="1"/>
  </cols>
  <sheetData>
    <row r="2" spans="1:11" x14ac:dyDescent="0.6">
      <c r="K2" s="8" t="s">
        <v>13</v>
      </c>
    </row>
    <row r="3" spans="1:11" x14ac:dyDescent="0.6">
      <c r="A3" s="91"/>
      <c r="B3" s="87">
        <v>2025</v>
      </c>
      <c r="C3" s="85">
        <v>2024</v>
      </c>
      <c r="D3" s="114">
        <v>2023</v>
      </c>
      <c r="E3" s="20">
        <v>2022</v>
      </c>
      <c r="F3" s="20">
        <v>2021</v>
      </c>
      <c r="G3" s="20">
        <v>2020</v>
      </c>
      <c r="H3" s="20">
        <v>2019</v>
      </c>
      <c r="I3" s="20">
        <v>2018</v>
      </c>
      <c r="J3" s="20">
        <v>2017</v>
      </c>
      <c r="K3" s="20">
        <v>2016</v>
      </c>
    </row>
    <row r="4" spans="1:11" x14ac:dyDescent="0.6">
      <c r="A4" s="91" t="s">
        <v>0</v>
      </c>
      <c r="B4" s="32" t="s">
        <v>75</v>
      </c>
      <c r="C4" s="32"/>
      <c r="D4" s="94"/>
      <c r="E4" s="3"/>
      <c r="F4" s="3"/>
      <c r="G4" s="3"/>
      <c r="H4" s="3"/>
      <c r="I4" s="3"/>
      <c r="J4" s="3"/>
      <c r="K4" s="3"/>
    </row>
    <row r="5" spans="1:11" x14ac:dyDescent="0.6">
      <c r="A5" s="91" t="s">
        <v>1</v>
      </c>
      <c r="B5" s="32"/>
      <c r="C5" s="32"/>
      <c r="D5" s="94"/>
      <c r="E5" s="3"/>
      <c r="F5" s="3"/>
      <c r="G5" s="3"/>
      <c r="H5" s="3"/>
      <c r="I5" s="3"/>
      <c r="J5" s="3"/>
      <c r="K5" s="3"/>
    </row>
    <row r="6" spans="1:11" x14ac:dyDescent="0.6">
      <c r="A6" s="91" t="s">
        <v>2</v>
      </c>
      <c r="B6" s="32"/>
      <c r="C6" s="32"/>
      <c r="D6" s="94"/>
      <c r="E6" s="3"/>
      <c r="F6" s="3"/>
      <c r="G6" s="3"/>
      <c r="H6" s="3"/>
      <c r="I6" s="3"/>
      <c r="J6" s="3"/>
      <c r="K6" s="3"/>
    </row>
    <row r="7" spans="1:11" x14ac:dyDescent="0.6">
      <c r="A7" s="91" t="s">
        <v>3</v>
      </c>
      <c r="B7" s="32"/>
      <c r="C7" s="32"/>
      <c r="D7" s="94"/>
      <c r="E7" s="3"/>
      <c r="F7" s="3"/>
      <c r="G7" s="3"/>
      <c r="H7" s="3"/>
      <c r="I7" s="3"/>
      <c r="J7" s="3"/>
      <c r="K7" s="3"/>
    </row>
    <row r="8" spans="1:11" x14ac:dyDescent="0.6">
      <c r="A8" s="91" t="s">
        <v>18</v>
      </c>
      <c r="B8" s="32"/>
      <c r="C8" s="32"/>
      <c r="D8" s="94"/>
      <c r="E8" s="3"/>
      <c r="F8" s="3"/>
      <c r="G8" s="3"/>
      <c r="H8" s="3"/>
      <c r="I8" s="3"/>
      <c r="J8" s="3"/>
      <c r="K8" s="3"/>
    </row>
    <row r="9" spans="1:11" x14ac:dyDescent="0.6">
      <c r="A9" s="91" t="s">
        <v>19</v>
      </c>
      <c r="B9" s="32"/>
      <c r="C9" s="32"/>
      <c r="D9" s="94"/>
      <c r="E9" s="3"/>
      <c r="F9" s="3"/>
      <c r="G9" s="3"/>
      <c r="H9" s="3"/>
      <c r="I9" s="3"/>
      <c r="J9" s="3"/>
      <c r="K9" s="3"/>
    </row>
    <row r="10" spans="1:11" x14ac:dyDescent="0.6">
      <c r="A10" s="91" t="s">
        <v>17</v>
      </c>
      <c r="B10" s="32"/>
      <c r="C10" s="32"/>
      <c r="D10" s="94"/>
      <c r="E10" s="3"/>
      <c r="F10" s="3"/>
      <c r="G10" s="3"/>
      <c r="H10" s="3"/>
      <c r="I10" s="3"/>
      <c r="J10" s="3"/>
      <c r="K10" s="3"/>
    </row>
    <row r="11" spans="1:11" x14ac:dyDescent="0.6">
      <c r="A11" s="91" t="s">
        <v>4</v>
      </c>
      <c r="B11" s="32"/>
      <c r="C11" s="32"/>
      <c r="D11" s="94"/>
      <c r="E11" s="3"/>
      <c r="F11" s="3"/>
      <c r="G11" s="3"/>
      <c r="H11" s="3"/>
      <c r="I11" s="3"/>
      <c r="J11" s="3"/>
      <c r="K11" s="3"/>
    </row>
    <row r="12" spans="1:11" x14ac:dyDescent="0.6">
      <c r="A12" s="91" t="s">
        <v>69</v>
      </c>
      <c r="B12" s="32"/>
      <c r="C12" s="32"/>
      <c r="D12" s="94"/>
      <c r="E12" s="3"/>
      <c r="F12" s="3"/>
      <c r="G12" s="3"/>
      <c r="H12" s="3"/>
      <c r="I12" s="3"/>
      <c r="J12" s="3"/>
      <c r="K12" s="3"/>
    </row>
    <row r="13" spans="1:11" x14ac:dyDescent="0.6">
      <c r="A13" s="91" t="s">
        <v>5</v>
      </c>
      <c r="B13" s="3"/>
      <c r="C13" s="3"/>
      <c r="D13" s="110"/>
      <c r="E13" s="3"/>
      <c r="F13" s="3"/>
      <c r="G13" s="3"/>
      <c r="H13" s="3"/>
      <c r="I13" s="3"/>
      <c r="J13" s="3"/>
      <c r="K13" s="3"/>
    </row>
    <row r="14" spans="1:11" x14ac:dyDescent="0.6">
      <c r="A14" s="122"/>
      <c r="B14" s="122"/>
      <c r="C14" s="122"/>
      <c r="F14" s="1"/>
      <c r="G14" s="1"/>
      <c r="H14" s="1"/>
      <c r="I14" s="1"/>
      <c r="J14" s="1"/>
      <c r="K14" s="1"/>
    </row>
    <row r="15" spans="1:11" x14ac:dyDescent="0.6">
      <c r="A15" s="91" t="s">
        <v>6</v>
      </c>
      <c r="B15" s="32"/>
      <c r="C15" s="32"/>
      <c r="D15" s="94"/>
      <c r="E15" s="3"/>
      <c r="F15" s="3"/>
      <c r="G15" s="3"/>
      <c r="H15" s="3"/>
      <c r="I15" s="3"/>
      <c r="J15" s="3"/>
      <c r="K15" s="3"/>
    </row>
    <row r="16" spans="1:11" x14ac:dyDescent="0.6">
      <c r="A16" s="91" t="s">
        <v>7</v>
      </c>
      <c r="B16" s="32"/>
      <c r="C16" s="32"/>
      <c r="D16" s="94"/>
      <c r="E16" s="3"/>
      <c r="F16" s="3"/>
      <c r="G16" s="3"/>
      <c r="H16" s="3"/>
      <c r="I16" s="3"/>
      <c r="J16" s="3"/>
      <c r="K16" s="3"/>
    </row>
    <row r="17" spans="1:11" x14ac:dyDescent="0.6">
      <c r="A17" s="91" t="s">
        <v>8</v>
      </c>
      <c r="B17" s="32"/>
      <c r="C17" s="32"/>
      <c r="D17" s="94"/>
      <c r="E17" s="3"/>
      <c r="F17" s="3"/>
      <c r="G17" s="3"/>
      <c r="H17" s="3"/>
      <c r="I17" s="3"/>
      <c r="J17" s="3"/>
      <c r="K17" s="3"/>
    </row>
    <row r="18" spans="1:11" x14ac:dyDescent="0.6">
      <c r="A18" s="91" t="s">
        <v>9</v>
      </c>
      <c r="B18" s="32"/>
      <c r="C18" s="32"/>
      <c r="D18" s="94"/>
      <c r="E18" s="3"/>
      <c r="F18" s="3"/>
      <c r="G18" s="3"/>
      <c r="H18" s="3"/>
      <c r="I18" s="3"/>
      <c r="J18" s="3"/>
      <c r="K18" s="3"/>
    </row>
    <row r="19" spans="1:11" x14ac:dyDescent="0.6">
      <c r="A19" s="91" t="s">
        <v>10</v>
      </c>
      <c r="B19" s="32"/>
      <c r="C19" s="32"/>
      <c r="D19" s="94"/>
      <c r="E19" s="3"/>
      <c r="F19" s="3"/>
      <c r="G19" s="3"/>
      <c r="H19" s="3"/>
      <c r="I19" s="3"/>
      <c r="J19" s="3"/>
      <c r="K19" s="3"/>
    </row>
    <row r="20" spans="1:11" x14ac:dyDescent="0.6">
      <c r="A20" s="91" t="s">
        <v>11</v>
      </c>
      <c r="B20" s="32"/>
      <c r="C20" s="32"/>
      <c r="D20" s="94"/>
      <c r="E20" s="3"/>
      <c r="F20" s="3"/>
      <c r="G20" s="3"/>
      <c r="H20" s="3"/>
      <c r="I20" s="3"/>
      <c r="J20" s="3"/>
      <c r="K20" s="3"/>
    </row>
    <row r="21" spans="1:11" x14ac:dyDescent="0.6">
      <c r="A21" s="91" t="s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6">
      <c r="B22" s="44"/>
      <c r="C22" s="44"/>
      <c r="D22" s="44"/>
      <c r="E22" s="44"/>
      <c r="F22" s="44"/>
      <c r="G22" s="44"/>
      <c r="H22" s="44"/>
      <c r="I22" s="44"/>
    </row>
    <row r="23" spans="1:11" x14ac:dyDescent="0.6">
      <c r="A23" s="92" t="s">
        <v>14</v>
      </c>
      <c r="B23" s="12"/>
      <c r="C23" s="19"/>
      <c r="D23" s="107"/>
      <c r="E23" s="52"/>
      <c r="F23" s="11"/>
      <c r="G23" s="12"/>
      <c r="H23" s="12"/>
      <c r="I23" s="12"/>
      <c r="J23" s="12"/>
      <c r="K23" s="12"/>
    </row>
    <row r="24" spans="1:11" x14ac:dyDescent="0.6">
      <c r="A24" s="105" t="s">
        <v>15</v>
      </c>
      <c r="B24" s="11"/>
      <c r="C24" s="11"/>
      <c r="D24" s="108"/>
      <c r="E24" s="52"/>
      <c r="F24" s="11"/>
      <c r="G24" s="11"/>
      <c r="H24" s="11"/>
      <c r="I24" s="11"/>
      <c r="J24" s="11"/>
      <c r="K24" s="11"/>
    </row>
    <row r="25" spans="1:11" x14ac:dyDescent="0.6">
      <c r="A25" s="105" t="s">
        <v>16</v>
      </c>
      <c r="B25" s="11"/>
      <c r="C25" s="11"/>
      <c r="D25" s="108"/>
      <c r="E25" s="52"/>
      <c r="F25" s="11"/>
      <c r="G25" s="11"/>
      <c r="H25" s="11"/>
      <c r="I25" s="11"/>
      <c r="J25" s="11"/>
      <c r="K25" s="11"/>
    </row>
    <row r="26" spans="1:11" x14ac:dyDescent="0.6">
      <c r="A26" s="122"/>
      <c r="B26" s="122"/>
      <c r="C26" s="122"/>
    </row>
    <row r="27" spans="1:11" x14ac:dyDescent="0.6">
      <c r="A27" s="91" t="s">
        <v>26</v>
      </c>
      <c r="B27" s="2"/>
      <c r="C27" s="2"/>
      <c r="D27" s="89"/>
      <c r="E27" s="2"/>
      <c r="F27" s="3"/>
      <c r="G27" s="2"/>
      <c r="H27" s="2"/>
      <c r="I27" s="2"/>
      <c r="J27" s="2"/>
      <c r="K27" s="2"/>
    </row>
    <row r="28" spans="1:11" x14ac:dyDescent="0.6">
      <c r="A28" s="91" t="s">
        <v>27</v>
      </c>
      <c r="B28" s="3"/>
      <c r="C28" s="3"/>
      <c r="D28" s="110"/>
      <c r="E28" s="3"/>
      <c r="F28" s="2"/>
      <c r="G28" s="3"/>
      <c r="H28" s="3"/>
      <c r="I28" s="3"/>
      <c r="J28" s="3"/>
      <c r="K28" s="3"/>
    </row>
    <row r="29" spans="1:11" x14ac:dyDescent="0.6">
      <c r="A29" s="91" t="s">
        <v>30</v>
      </c>
      <c r="B29" s="3"/>
      <c r="C29" s="3"/>
      <c r="D29" s="110"/>
      <c r="E29" s="76"/>
      <c r="F29" s="2"/>
      <c r="G29" s="3"/>
      <c r="H29" s="3"/>
      <c r="I29" s="3"/>
      <c r="J29" s="3"/>
      <c r="K29" s="3"/>
    </row>
    <row r="30" spans="1:11" x14ac:dyDescent="0.6">
      <c r="A30" s="91" t="s">
        <v>71</v>
      </c>
      <c r="B30" s="3"/>
      <c r="C30" s="3"/>
      <c r="D30" s="110"/>
      <c r="E30" s="76"/>
      <c r="F30" s="2"/>
      <c r="G30" s="3"/>
      <c r="H30" s="3"/>
      <c r="I30" s="3"/>
      <c r="J30" s="3"/>
      <c r="K30" s="3"/>
    </row>
    <row r="31" spans="1:11" x14ac:dyDescent="0.6">
      <c r="A31" s="91" t="s">
        <v>28</v>
      </c>
      <c r="B31" s="110"/>
      <c r="C31" s="110"/>
      <c r="D31" s="110"/>
      <c r="E31" s="3"/>
      <c r="F31" s="3"/>
      <c r="G31" s="3"/>
      <c r="H31" s="3"/>
      <c r="I31" s="3"/>
      <c r="J31" s="3"/>
      <c r="K31" s="3"/>
    </row>
    <row r="32" spans="1:11" x14ac:dyDescent="0.6">
      <c r="A32" s="122"/>
      <c r="B32" s="122"/>
      <c r="C32" s="122"/>
      <c r="J32" s="36"/>
      <c r="K32" s="36"/>
    </row>
    <row r="33" spans="1:11" x14ac:dyDescent="0.6">
      <c r="A33" s="91" t="s">
        <v>33</v>
      </c>
      <c r="B33" s="112"/>
      <c r="C33" s="30"/>
      <c r="D33" s="112"/>
      <c r="E33" s="15"/>
      <c r="F33" s="15"/>
      <c r="G33" s="15"/>
      <c r="H33" s="15"/>
      <c r="J33" s="37"/>
      <c r="K33" s="37"/>
    </row>
    <row r="34" spans="1:11" x14ac:dyDescent="0.6">
      <c r="A34" s="91" t="s">
        <v>6</v>
      </c>
      <c r="B34" s="30"/>
      <c r="C34" s="30"/>
      <c r="D34" s="112"/>
      <c r="E34" s="112"/>
      <c r="F34" s="112"/>
      <c r="G34" s="15"/>
      <c r="H34" s="15"/>
      <c r="J34" s="37"/>
      <c r="K34" s="37"/>
    </row>
    <row r="35" spans="1:11" x14ac:dyDescent="0.6">
      <c r="A35" s="91" t="s">
        <v>7</v>
      </c>
      <c r="B35" s="30"/>
      <c r="C35" s="30"/>
      <c r="D35" s="112"/>
      <c r="E35" s="33"/>
      <c r="F35" s="33"/>
      <c r="G35" s="15"/>
      <c r="H35" s="15"/>
      <c r="J35" s="37"/>
      <c r="K35" s="37"/>
    </row>
    <row r="36" spans="1:11" x14ac:dyDescent="0.6">
      <c r="A36" s="91" t="s">
        <v>8</v>
      </c>
      <c r="B36" s="30"/>
      <c r="C36" s="30"/>
      <c r="D36" s="112"/>
      <c r="E36" s="112"/>
      <c r="F36" s="112"/>
      <c r="G36" s="15"/>
      <c r="H36" s="15"/>
      <c r="J36" s="37"/>
      <c r="K36" s="37"/>
    </row>
    <row r="37" spans="1:11" x14ac:dyDescent="0.6">
      <c r="A37" s="91" t="s">
        <v>9</v>
      </c>
      <c r="B37" s="30"/>
      <c r="C37" s="30"/>
      <c r="D37" s="112"/>
      <c r="E37" s="112"/>
      <c r="F37" s="112"/>
      <c r="G37" s="15"/>
      <c r="H37" s="15"/>
      <c r="J37" s="37"/>
      <c r="K37" s="37"/>
    </row>
    <row r="38" spans="1:11" x14ac:dyDescent="0.6">
      <c r="A38" s="91" t="s">
        <v>10</v>
      </c>
      <c r="B38" s="30"/>
      <c r="C38" s="30"/>
      <c r="D38" s="112"/>
      <c r="E38" s="33"/>
      <c r="F38" s="33"/>
      <c r="G38" s="15"/>
      <c r="H38" s="15"/>
      <c r="J38" s="37"/>
      <c r="K38" s="37"/>
    </row>
    <row r="39" spans="1:11" x14ac:dyDescent="0.6">
      <c r="A39" s="91" t="s">
        <v>11</v>
      </c>
      <c r="B39" s="30"/>
      <c r="C39" s="30"/>
      <c r="D39" s="112"/>
      <c r="E39" s="33"/>
      <c r="F39" s="33"/>
      <c r="G39" s="34"/>
      <c r="H39" s="15"/>
      <c r="J39" s="37"/>
      <c r="K39" s="37"/>
    </row>
    <row r="40" spans="1:11" x14ac:dyDescent="0.6">
      <c r="A40" s="122"/>
      <c r="B40" s="1"/>
      <c r="C40" s="1"/>
      <c r="D40" s="1"/>
      <c r="F40" s="1"/>
      <c r="G40" s="1"/>
      <c r="J40" s="37"/>
      <c r="K40" s="37"/>
    </row>
    <row r="41" spans="1:11" x14ac:dyDescent="0.6">
      <c r="A41" s="91" t="s">
        <v>35</v>
      </c>
      <c r="B41" s="112"/>
      <c r="C41" s="30"/>
      <c r="D41" s="112"/>
      <c r="E41" s="74"/>
      <c r="F41" s="74"/>
      <c r="G41" s="74"/>
      <c r="H41" s="74"/>
      <c r="I41" s="37"/>
      <c r="J41" s="37"/>
    </row>
    <row r="42" spans="1:11" x14ac:dyDescent="0.6">
      <c r="A42" s="91" t="s">
        <v>36</v>
      </c>
      <c r="B42" s="30"/>
      <c r="C42" s="30"/>
      <c r="D42" s="112"/>
      <c r="E42" s="30"/>
      <c r="F42" s="30"/>
      <c r="G42" s="74"/>
      <c r="H42" s="74"/>
      <c r="I42" s="37"/>
      <c r="J42" s="37"/>
    </row>
    <row r="43" spans="1:11" x14ac:dyDescent="0.6">
      <c r="A43" s="91" t="s">
        <v>28</v>
      </c>
      <c r="B43" s="30"/>
      <c r="C43" s="30"/>
      <c r="D43" s="112"/>
      <c r="E43" s="52"/>
      <c r="F43" s="52"/>
      <c r="G43" s="74"/>
      <c r="H43" s="74"/>
      <c r="I43" s="37"/>
      <c r="J43" s="37"/>
    </row>
    <row r="44" spans="1:11" x14ac:dyDescent="0.6">
      <c r="A44" s="91" t="s">
        <v>40</v>
      </c>
      <c r="B44" s="30"/>
      <c r="C44" s="30"/>
      <c r="D44" s="112"/>
      <c r="E44" s="30"/>
      <c r="F44" s="30"/>
      <c r="G44" s="74"/>
      <c r="H44" s="74"/>
      <c r="I44" s="37"/>
      <c r="J44" s="37"/>
    </row>
    <row r="45" spans="1:11" x14ac:dyDescent="0.6">
      <c r="A45" s="91" t="s">
        <v>37</v>
      </c>
      <c r="B45" s="30"/>
      <c r="C45" s="30"/>
      <c r="D45" s="112"/>
      <c r="E45" s="112"/>
      <c r="F45" s="112"/>
      <c r="G45" s="74"/>
      <c r="H45" s="74"/>
      <c r="I45" s="72"/>
      <c r="J45" s="72"/>
      <c r="K45" s="72"/>
    </row>
    <row r="46" spans="1:11" x14ac:dyDescent="0.6">
      <c r="A46" s="91" t="s">
        <v>38</v>
      </c>
      <c r="B46" s="30"/>
      <c r="C46" s="30"/>
      <c r="D46" s="112"/>
      <c r="E46" s="33"/>
      <c r="F46" s="33"/>
      <c r="G46" s="34"/>
      <c r="H46" s="74"/>
      <c r="I46" s="37"/>
      <c r="J46" s="37"/>
    </row>
    <row r="47" spans="1:11" x14ac:dyDescent="0.6">
      <c r="A47" s="105" t="s">
        <v>39</v>
      </c>
      <c r="B47" s="3"/>
      <c r="C47" s="3"/>
      <c r="D47" s="110"/>
      <c r="E47" s="32"/>
      <c r="F47" s="32"/>
      <c r="G47" s="74"/>
      <c r="H47" s="2"/>
      <c r="I47" s="37"/>
      <c r="J47" s="37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K47"/>
  <sheetViews>
    <sheetView zoomScale="70" zoomScaleNormal="70" workbookViewId="0">
      <pane ySplit="3" topLeftCell="A4" activePane="bottomLeft" state="frozen"/>
      <selection activeCell="B35" sqref="B35"/>
      <selection pane="bottomLeft" activeCell="B35" sqref="B35"/>
    </sheetView>
  </sheetViews>
  <sheetFormatPr defaultRowHeight="16.899999999999999" x14ac:dyDescent="0.6"/>
  <cols>
    <col min="1" max="1" width="30.5" bestFit="1" customWidth="1"/>
    <col min="2" max="6" width="30.5" customWidth="1"/>
    <col min="7" max="7" width="20.625" customWidth="1"/>
    <col min="8" max="8" width="14.625" customWidth="1"/>
    <col min="9" max="9" width="21.5" customWidth="1"/>
    <col min="10" max="10" width="14.625" customWidth="1"/>
    <col min="11" max="11" width="22" customWidth="1"/>
  </cols>
  <sheetData>
    <row r="2" spans="1:11" x14ac:dyDescent="0.6">
      <c r="A2" s="13"/>
      <c r="B2" s="13"/>
      <c r="C2" s="13"/>
      <c r="D2" s="13"/>
      <c r="K2" s="8" t="s">
        <v>13</v>
      </c>
    </row>
    <row r="3" spans="1:11" x14ac:dyDescent="0.6">
      <c r="A3" s="91"/>
      <c r="B3" s="87">
        <v>2025</v>
      </c>
      <c r="C3" s="85">
        <v>2024</v>
      </c>
      <c r="D3" s="114">
        <v>2023</v>
      </c>
      <c r="E3" s="21">
        <v>2022</v>
      </c>
      <c r="F3" s="21">
        <v>2021</v>
      </c>
      <c r="G3" s="12">
        <v>2020</v>
      </c>
      <c r="H3" s="12">
        <v>2019</v>
      </c>
      <c r="I3" s="12">
        <v>2018</v>
      </c>
      <c r="J3" s="12">
        <v>2017</v>
      </c>
      <c r="K3" s="12">
        <v>2016</v>
      </c>
    </row>
    <row r="4" spans="1:11" x14ac:dyDescent="0.6">
      <c r="A4" s="91" t="s">
        <v>0</v>
      </c>
      <c r="B4" s="32" t="s">
        <v>74</v>
      </c>
      <c r="C4" s="32"/>
      <c r="D4" s="94"/>
      <c r="E4" s="9"/>
      <c r="F4" s="9"/>
      <c r="G4" s="5"/>
      <c r="H4" s="5"/>
      <c r="I4" s="5"/>
      <c r="J4" s="5"/>
      <c r="K4" s="5"/>
    </row>
    <row r="5" spans="1:11" x14ac:dyDescent="0.6">
      <c r="A5" s="91" t="s">
        <v>1</v>
      </c>
      <c r="B5" s="32"/>
      <c r="C5" s="32"/>
      <c r="D5" s="94"/>
      <c r="E5" s="5"/>
      <c r="F5" s="5"/>
      <c r="G5" s="5"/>
      <c r="H5" s="5"/>
      <c r="I5" s="5"/>
      <c r="J5" s="5"/>
      <c r="K5" s="5"/>
    </row>
    <row r="6" spans="1:11" x14ac:dyDescent="0.6">
      <c r="A6" s="91" t="s">
        <v>2</v>
      </c>
      <c r="B6" s="32"/>
      <c r="C6" s="32"/>
      <c r="D6" s="94"/>
      <c r="E6" s="5"/>
      <c r="F6" s="5"/>
      <c r="G6" s="5"/>
      <c r="H6" s="5"/>
      <c r="I6" s="5"/>
      <c r="J6" s="5"/>
      <c r="K6" s="5"/>
    </row>
    <row r="7" spans="1:11" x14ac:dyDescent="0.6">
      <c r="A7" s="91" t="s">
        <v>3</v>
      </c>
      <c r="B7" s="32"/>
      <c r="C7" s="32"/>
      <c r="D7" s="94"/>
      <c r="E7" s="5"/>
      <c r="F7" s="5"/>
      <c r="G7" s="5"/>
      <c r="H7" s="5"/>
      <c r="I7" s="5"/>
      <c r="J7" s="5"/>
      <c r="K7" s="5"/>
    </row>
    <row r="8" spans="1:11" x14ac:dyDescent="0.6">
      <c r="A8" s="91" t="s">
        <v>18</v>
      </c>
      <c r="B8" s="32"/>
      <c r="C8" s="32"/>
      <c r="D8" s="94"/>
      <c r="E8" s="5"/>
      <c r="F8" s="5"/>
      <c r="G8" s="5"/>
      <c r="H8" s="5"/>
      <c r="I8" s="5"/>
      <c r="J8" s="5"/>
      <c r="K8" s="5"/>
    </row>
    <row r="9" spans="1:11" x14ac:dyDescent="0.6">
      <c r="A9" s="91" t="s">
        <v>19</v>
      </c>
      <c r="B9" s="32"/>
      <c r="C9" s="32"/>
      <c r="D9" s="94"/>
      <c r="E9" s="5"/>
      <c r="F9" s="5"/>
      <c r="G9" s="5"/>
      <c r="H9" s="5"/>
      <c r="I9" s="5"/>
      <c r="J9" s="5"/>
      <c r="K9" s="5"/>
    </row>
    <row r="10" spans="1:11" x14ac:dyDescent="0.6">
      <c r="A10" s="91" t="s">
        <v>17</v>
      </c>
      <c r="B10" s="32"/>
      <c r="C10" s="32"/>
      <c r="D10" s="94"/>
      <c r="E10" s="9"/>
      <c r="F10" s="9"/>
      <c r="G10" s="5"/>
      <c r="H10" s="5"/>
      <c r="I10" s="5"/>
      <c r="J10" s="5"/>
      <c r="K10" s="5"/>
    </row>
    <row r="11" spans="1:11" x14ac:dyDescent="0.6">
      <c r="A11" s="91" t="s">
        <v>4</v>
      </c>
      <c r="B11" s="32"/>
      <c r="C11" s="32"/>
      <c r="D11" s="94"/>
      <c r="E11" s="5"/>
      <c r="F11" s="5"/>
      <c r="G11" s="5"/>
      <c r="H11" s="5"/>
      <c r="I11" s="5"/>
      <c r="J11" s="5"/>
      <c r="K11" s="5"/>
    </row>
    <row r="12" spans="1:11" x14ac:dyDescent="0.6">
      <c r="A12" s="91" t="s">
        <v>69</v>
      </c>
      <c r="B12" s="32"/>
      <c r="C12" s="32"/>
      <c r="D12" s="94"/>
      <c r="E12" s="5"/>
      <c r="F12" s="5"/>
      <c r="G12" s="5"/>
      <c r="H12" s="5"/>
      <c r="I12" s="5"/>
      <c r="J12" s="5"/>
      <c r="K12" s="5"/>
    </row>
    <row r="13" spans="1:11" x14ac:dyDescent="0.6">
      <c r="A13" s="91" t="s">
        <v>5</v>
      </c>
      <c r="B13" s="5"/>
      <c r="C13" s="5"/>
      <c r="D13" s="95"/>
      <c r="E13" s="5"/>
      <c r="F13" s="5"/>
      <c r="G13" s="5"/>
      <c r="H13" s="5"/>
      <c r="I13" s="5"/>
      <c r="J13" s="5"/>
      <c r="K13" s="5"/>
    </row>
    <row r="14" spans="1:11" x14ac:dyDescent="0.6">
      <c r="B14" s="96"/>
      <c r="C14" s="96"/>
      <c r="E14" s="5"/>
      <c r="F14" s="5"/>
      <c r="G14" s="5"/>
      <c r="H14" s="5"/>
      <c r="I14" s="5"/>
      <c r="J14" s="5"/>
      <c r="K14" s="5"/>
    </row>
    <row r="15" spans="1:11" x14ac:dyDescent="0.6">
      <c r="A15" s="91" t="s">
        <v>6</v>
      </c>
      <c r="B15" s="32"/>
      <c r="C15" s="32"/>
      <c r="D15" s="94"/>
      <c r="E15" s="5"/>
      <c r="F15" s="5"/>
      <c r="G15" s="5"/>
      <c r="H15" s="5"/>
      <c r="I15" s="5"/>
      <c r="J15" s="5"/>
      <c r="K15" s="5"/>
    </row>
    <row r="16" spans="1:11" x14ac:dyDescent="0.6">
      <c r="A16" s="91" t="s">
        <v>7</v>
      </c>
      <c r="B16" s="32"/>
      <c r="C16" s="32"/>
      <c r="D16" s="94"/>
      <c r="E16" s="5"/>
      <c r="F16" s="5"/>
      <c r="G16" s="5"/>
      <c r="H16" s="5"/>
      <c r="I16" s="5"/>
      <c r="J16" s="5"/>
      <c r="K16" s="5"/>
    </row>
    <row r="17" spans="1:11" x14ac:dyDescent="0.6">
      <c r="A17" s="91" t="s">
        <v>8</v>
      </c>
      <c r="B17" s="32"/>
      <c r="C17" s="32"/>
      <c r="D17" s="94"/>
      <c r="E17" s="5"/>
      <c r="F17" s="5"/>
      <c r="G17" s="5"/>
      <c r="H17" s="5"/>
      <c r="I17" s="5"/>
      <c r="J17" s="5"/>
      <c r="K17" s="5"/>
    </row>
    <row r="18" spans="1:11" x14ac:dyDescent="0.6">
      <c r="A18" s="91" t="s">
        <v>9</v>
      </c>
      <c r="B18" s="32"/>
      <c r="C18" s="32"/>
      <c r="D18" s="94"/>
      <c r="E18" s="5"/>
      <c r="F18" s="5"/>
      <c r="G18" s="5"/>
      <c r="H18" s="5"/>
      <c r="I18" s="5"/>
      <c r="J18" s="5"/>
      <c r="K18" s="5"/>
    </row>
    <row r="19" spans="1:11" x14ac:dyDescent="0.6">
      <c r="A19" s="91" t="s">
        <v>10</v>
      </c>
      <c r="B19" s="32"/>
      <c r="C19" s="32"/>
      <c r="D19" s="94"/>
      <c r="E19" s="5"/>
      <c r="F19" s="5"/>
      <c r="G19" s="5"/>
      <c r="H19" s="5"/>
      <c r="I19" s="5"/>
      <c r="J19" s="5"/>
      <c r="K19" s="5"/>
    </row>
    <row r="20" spans="1:11" x14ac:dyDescent="0.6">
      <c r="A20" s="91" t="s">
        <v>11</v>
      </c>
      <c r="B20" s="32"/>
      <c r="C20" s="32"/>
      <c r="D20" s="94"/>
      <c r="E20" s="5"/>
      <c r="F20" s="5"/>
      <c r="G20" s="5"/>
      <c r="H20" s="5"/>
      <c r="I20" s="5"/>
      <c r="J20" s="5"/>
      <c r="K20" s="5"/>
    </row>
    <row r="21" spans="1:11" x14ac:dyDescent="0.6">
      <c r="A21" s="91" t="s">
        <v>12</v>
      </c>
      <c r="B21" s="5"/>
      <c r="C21" s="5"/>
      <c r="D21" s="95"/>
      <c r="E21" s="5"/>
      <c r="F21" s="5"/>
      <c r="G21" s="5"/>
      <c r="H21" s="5"/>
      <c r="I21" s="5"/>
      <c r="J21" s="5"/>
      <c r="K21" s="5"/>
    </row>
    <row r="22" spans="1:11" x14ac:dyDescent="0.6">
      <c r="B22" s="96"/>
      <c r="C22" s="96"/>
      <c r="E22" s="44"/>
      <c r="F22" s="44"/>
      <c r="G22" s="44"/>
      <c r="H22" s="44"/>
      <c r="I22" s="44"/>
    </row>
    <row r="23" spans="1:11" x14ac:dyDescent="0.6">
      <c r="A23" s="115" t="s">
        <v>14</v>
      </c>
      <c r="B23" s="150"/>
      <c r="C23" s="19"/>
      <c r="D23" s="107"/>
      <c r="E23" s="15"/>
      <c r="F23" s="15"/>
      <c r="G23" s="20"/>
      <c r="H23" s="20"/>
      <c r="I23" s="20"/>
      <c r="J23" s="20"/>
      <c r="K23" s="20"/>
    </row>
    <row r="24" spans="1:11" x14ac:dyDescent="0.6">
      <c r="A24" s="116" t="s">
        <v>15</v>
      </c>
      <c r="B24" s="150"/>
      <c r="C24" s="11"/>
      <c r="D24" s="108"/>
      <c r="E24" s="15"/>
      <c r="F24" s="15"/>
      <c r="G24" s="15"/>
      <c r="H24" s="15"/>
      <c r="I24" s="15"/>
      <c r="J24" s="15"/>
      <c r="K24" s="15"/>
    </row>
    <row r="25" spans="1:11" x14ac:dyDescent="0.6">
      <c r="A25" s="116" t="s">
        <v>16</v>
      </c>
      <c r="B25" s="150"/>
      <c r="C25" s="118"/>
      <c r="D25" s="108"/>
      <c r="E25" s="15"/>
      <c r="F25" s="15"/>
      <c r="G25" s="15"/>
      <c r="H25" s="15"/>
      <c r="I25" s="15"/>
      <c r="J25" s="15"/>
      <c r="K25" s="15"/>
    </row>
    <row r="26" spans="1:11" x14ac:dyDescent="0.6">
      <c r="A26" s="13"/>
      <c r="B26" s="120"/>
      <c r="C26" s="120"/>
      <c r="D26" s="13"/>
    </row>
    <row r="27" spans="1:11" x14ac:dyDescent="0.6">
      <c r="A27" s="91" t="s">
        <v>26</v>
      </c>
      <c r="B27" s="98"/>
      <c r="C27" s="98"/>
      <c r="D27" s="89"/>
      <c r="E27" s="3"/>
      <c r="F27" s="3"/>
      <c r="G27" s="3"/>
      <c r="H27" s="3"/>
      <c r="I27" s="3"/>
      <c r="J27" s="3"/>
      <c r="K27" s="3"/>
    </row>
    <row r="28" spans="1:11" x14ac:dyDescent="0.6">
      <c r="A28" s="91" t="s">
        <v>27</v>
      </c>
      <c r="B28" s="3"/>
      <c r="C28" s="3"/>
      <c r="D28" s="110"/>
      <c r="E28" s="3"/>
      <c r="F28" s="3"/>
      <c r="G28" s="3"/>
      <c r="H28" s="3"/>
      <c r="I28" s="3"/>
      <c r="J28" s="3"/>
      <c r="K28" s="3"/>
    </row>
    <row r="29" spans="1:11" x14ac:dyDescent="0.6">
      <c r="A29" s="91" t="s">
        <v>30</v>
      </c>
      <c r="B29" s="2"/>
      <c r="C29" s="2"/>
      <c r="D29" s="89"/>
      <c r="E29" s="18"/>
      <c r="F29" s="3"/>
      <c r="G29" s="3"/>
      <c r="H29" s="3"/>
      <c r="I29" s="3"/>
      <c r="J29" s="3"/>
      <c r="K29" s="3"/>
    </row>
    <row r="30" spans="1:11" x14ac:dyDescent="0.6">
      <c r="A30" s="91" t="s">
        <v>71</v>
      </c>
      <c r="B30" s="3"/>
      <c r="C30" s="2"/>
      <c r="D30" s="89"/>
      <c r="E30" s="18"/>
      <c r="F30" s="3"/>
      <c r="G30" s="3"/>
      <c r="H30" s="3"/>
      <c r="I30" s="3"/>
      <c r="J30" s="3"/>
      <c r="K30" s="3"/>
    </row>
    <row r="31" spans="1:11" x14ac:dyDescent="0.6">
      <c r="A31" s="91" t="s">
        <v>28</v>
      </c>
      <c r="B31" s="94"/>
      <c r="C31" s="94"/>
      <c r="D31" s="94"/>
      <c r="E31" s="3"/>
      <c r="F31" s="3"/>
      <c r="G31" s="3"/>
      <c r="H31" s="3"/>
      <c r="I31" s="3"/>
      <c r="J31" s="3"/>
      <c r="K31" s="3"/>
    </row>
    <row r="32" spans="1:11" x14ac:dyDescent="0.6">
      <c r="B32" s="122"/>
      <c r="C32" s="122"/>
    </row>
    <row r="33" spans="1:11" x14ac:dyDescent="0.6">
      <c r="A33" s="91" t="s">
        <v>33</v>
      </c>
      <c r="B33" s="121"/>
      <c r="C33" s="150"/>
      <c r="D33" s="112"/>
      <c r="E33" s="15"/>
      <c r="F33" s="15"/>
      <c r="G33" s="15"/>
      <c r="H33" s="15"/>
      <c r="J33" s="37"/>
      <c r="K33" s="37"/>
    </row>
    <row r="34" spans="1:11" x14ac:dyDescent="0.6">
      <c r="A34" s="91" t="s">
        <v>6</v>
      </c>
      <c r="B34" s="30"/>
      <c r="C34" s="150"/>
      <c r="D34" s="112"/>
      <c r="E34" s="112"/>
      <c r="F34" s="112"/>
      <c r="G34" s="15"/>
      <c r="H34" s="15"/>
      <c r="J34" s="37"/>
      <c r="K34" s="37"/>
    </row>
    <row r="35" spans="1:11" x14ac:dyDescent="0.6">
      <c r="A35" s="91" t="s">
        <v>7</v>
      </c>
      <c r="B35" s="30"/>
      <c r="C35" s="30"/>
      <c r="D35" s="112"/>
      <c r="E35" s="33"/>
      <c r="F35" s="33"/>
      <c r="G35" s="15"/>
      <c r="H35" s="15"/>
      <c r="J35" s="37"/>
      <c r="K35" s="37"/>
    </row>
    <row r="36" spans="1:11" x14ac:dyDescent="0.6">
      <c r="A36" s="91" t="s">
        <v>8</v>
      </c>
      <c r="B36" s="30"/>
      <c r="C36" s="30"/>
      <c r="D36" s="112"/>
      <c r="E36" s="112"/>
      <c r="F36" s="112"/>
      <c r="G36" s="15"/>
      <c r="H36" s="15"/>
      <c r="J36" s="37"/>
      <c r="K36" s="37"/>
    </row>
    <row r="37" spans="1:11" x14ac:dyDescent="0.6">
      <c r="A37" s="91" t="s">
        <v>9</v>
      </c>
      <c r="B37" s="30"/>
      <c r="C37" s="30"/>
      <c r="D37" s="112"/>
      <c r="E37" s="112"/>
      <c r="F37" s="112"/>
      <c r="G37" s="15"/>
      <c r="H37" s="15"/>
      <c r="J37" s="37"/>
      <c r="K37" s="37"/>
    </row>
    <row r="38" spans="1:11" x14ac:dyDescent="0.6">
      <c r="A38" s="91" t="s">
        <v>10</v>
      </c>
      <c r="B38" s="30"/>
      <c r="C38" s="30"/>
      <c r="D38" s="112"/>
      <c r="E38" s="33"/>
      <c r="F38" s="33"/>
      <c r="G38" s="15"/>
      <c r="H38" s="15"/>
      <c r="J38" s="37"/>
      <c r="K38" s="37"/>
    </row>
    <row r="39" spans="1:11" x14ac:dyDescent="0.6">
      <c r="A39" s="91" t="s">
        <v>11</v>
      </c>
      <c r="B39" s="30"/>
      <c r="C39" s="30"/>
      <c r="D39" s="112"/>
      <c r="E39" s="33"/>
      <c r="F39" s="33"/>
      <c r="G39" s="34"/>
      <c r="H39" s="15"/>
      <c r="J39" s="37"/>
      <c r="K39" s="37"/>
    </row>
    <row r="40" spans="1:11" x14ac:dyDescent="0.6">
      <c r="B40" s="1"/>
      <c r="C40" s="1"/>
      <c r="D40" s="1"/>
      <c r="E40" s="1"/>
      <c r="F40" s="1"/>
      <c r="G40" s="1"/>
      <c r="J40" s="37"/>
      <c r="K40" s="37"/>
    </row>
    <row r="41" spans="1:11" x14ac:dyDescent="0.6">
      <c r="A41" s="91" t="s">
        <v>35</v>
      </c>
      <c r="B41" s="30"/>
      <c r="C41" s="150"/>
      <c r="D41" s="112"/>
      <c r="E41" s="15"/>
      <c r="F41" s="15"/>
      <c r="G41" s="15"/>
      <c r="H41" s="15"/>
      <c r="I41" s="38"/>
      <c r="J41" s="38"/>
      <c r="K41" s="2"/>
    </row>
    <row r="42" spans="1:11" x14ac:dyDescent="0.6">
      <c r="A42" s="91" t="s">
        <v>36</v>
      </c>
      <c r="B42" s="2"/>
      <c r="C42" s="2"/>
      <c r="D42" s="89"/>
      <c r="E42" s="2"/>
      <c r="F42" s="2"/>
      <c r="G42" s="15"/>
      <c r="H42" s="15"/>
      <c r="I42" s="38"/>
      <c r="J42" s="38"/>
      <c r="K42" s="2"/>
    </row>
    <row r="43" spans="1:11" x14ac:dyDescent="0.6">
      <c r="A43" s="91" t="s">
        <v>28</v>
      </c>
      <c r="B43" s="30"/>
      <c r="C43" s="30"/>
      <c r="D43" s="112"/>
      <c r="E43" s="52"/>
      <c r="F43" s="30"/>
      <c r="G43" s="15"/>
      <c r="H43" s="15"/>
      <c r="I43" s="38"/>
      <c r="J43" s="38"/>
      <c r="K43" s="2"/>
    </row>
    <row r="44" spans="1:11" x14ac:dyDescent="0.6">
      <c r="A44" s="91" t="s">
        <v>40</v>
      </c>
      <c r="B44" s="30"/>
      <c r="C44" s="30"/>
      <c r="D44" s="112"/>
      <c r="E44" s="30"/>
      <c r="F44" s="30"/>
      <c r="G44" s="15"/>
      <c r="H44" s="15"/>
      <c r="I44" s="38"/>
      <c r="J44" s="38"/>
      <c r="K44" s="2"/>
    </row>
    <row r="45" spans="1:11" x14ac:dyDescent="0.6">
      <c r="A45" s="91" t="s">
        <v>37</v>
      </c>
      <c r="B45" s="30"/>
      <c r="C45" s="30"/>
      <c r="D45" s="112"/>
      <c r="E45" s="112"/>
      <c r="F45" s="112"/>
      <c r="G45" s="15"/>
      <c r="H45" s="38"/>
      <c r="I45" s="38"/>
      <c r="J45" s="38"/>
      <c r="K45" s="38"/>
    </row>
    <row r="46" spans="1:11" x14ac:dyDescent="0.6">
      <c r="A46" s="91" t="s">
        <v>38</v>
      </c>
      <c r="B46" s="30"/>
      <c r="C46" s="30"/>
      <c r="D46" s="112"/>
      <c r="E46" s="33"/>
      <c r="F46" s="33"/>
      <c r="G46" s="34"/>
      <c r="H46" s="15"/>
      <c r="I46" s="38"/>
      <c r="J46" s="38"/>
      <c r="K46" s="2"/>
    </row>
    <row r="47" spans="1:11" x14ac:dyDescent="0.6">
      <c r="A47" s="105" t="s">
        <v>39</v>
      </c>
      <c r="B47" s="3"/>
      <c r="C47" s="3"/>
      <c r="D47" s="110"/>
      <c r="E47" s="32"/>
      <c r="F47" s="32"/>
      <c r="G47" s="15"/>
      <c r="H47" s="2"/>
      <c r="I47" s="38"/>
      <c r="J47" s="38"/>
      <c r="K47" s="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M49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5" width="30.5" customWidth="1"/>
    <col min="6" max="6" width="24.75" customWidth="1"/>
    <col min="7" max="7" width="21.375" bestFit="1" customWidth="1"/>
    <col min="8" max="8" width="29.875" bestFit="1" customWidth="1"/>
    <col min="9" max="9" width="26" customWidth="1"/>
    <col min="10" max="10" width="16.125" customWidth="1"/>
    <col min="11" max="11" width="18.5" customWidth="1"/>
  </cols>
  <sheetData>
    <row r="2" spans="1:11" x14ac:dyDescent="0.6">
      <c r="K2" s="8" t="s">
        <v>13</v>
      </c>
    </row>
    <row r="3" spans="1:11" x14ac:dyDescent="0.6">
      <c r="A3" s="91"/>
      <c r="B3" s="87">
        <v>2025</v>
      </c>
      <c r="C3" s="85">
        <v>2024</v>
      </c>
      <c r="D3" s="114">
        <v>2023</v>
      </c>
      <c r="E3" s="19">
        <v>2022</v>
      </c>
      <c r="F3" s="19">
        <v>2021</v>
      </c>
      <c r="G3" s="12">
        <v>2020</v>
      </c>
      <c r="H3" s="12">
        <v>2019</v>
      </c>
      <c r="I3" s="12">
        <v>2018</v>
      </c>
      <c r="J3" s="12">
        <v>2017</v>
      </c>
      <c r="K3" s="12">
        <v>2016</v>
      </c>
    </row>
    <row r="4" spans="1:11" x14ac:dyDescent="0.6">
      <c r="A4" s="91" t="s">
        <v>0</v>
      </c>
      <c r="B4" s="32" t="s">
        <v>76</v>
      </c>
      <c r="C4" s="32"/>
      <c r="D4" s="94"/>
      <c r="E4" s="26"/>
      <c r="F4" s="26"/>
      <c r="G4" s="22"/>
      <c r="H4" s="22"/>
      <c r="I4" s="22"/>
      <c r="J4" s="22"/>
      <c r="K4" s="22"/>
    </row>
    <row r="5" spans="1:11" x14ac:dyDescent="0.6">
      <c r="A5" s="91" t="s">
        <v>1</v>
      </c>
      <c r="B5" s="32"/>
      <c r="C5" s="32"/>
      <c r="D5" s="94"/>
      <c r="E5" s="22"/>
      <c r="F5" s="22"/>
      <c r="G5" s="22"/>
      <c r="H5" s="22"/>
      <c r="I5" s="22"/>
      <c r="J5" s="22"/>
      <c r="K5" s="22"/>
    </row>
    <row r="6" spans="1:11" x14ac:dyDescent="0.6">
      <c r="A6" s="91" t="s">
        <v>2</v>
      </c>
      <c r="B6" s="32"/>
      <c r="C6" s="32"/>
      <c r="D6" s="94"/>
      <c r="E6" s="22"/>
      <c r="F6" s="22"/>
      <c r="G6" s="22"/>
      <c r="H6" s="22"/>
      <c r="I6" s="22"/>
      <c r="J6" s="22"/>
      <c r="K6" s="22"/>
    </row>
    <row r="7" spans="1:11" x14ac:dyDescent="0.6">
      <c r="A7" s="91" t="s">
        <v>3</v>
      </c>
      <c r="B7" s="32"/>
      <c r="C7" s="32"/>
      <c r="D7" s="94"/>
      <c r="E7" s="22"/>
      <c r="F7" s="22"/>
      <c r="G7" s="22"/>
      <c r="H7" s="22"/>
      <c r="I7" s="22"/>
      <c r="J7" s="22"/>
      <c r="K7" s="22"/>
    </row>
    <row r="8" spans="1:11" x14ac:dyDescent="0.6">
      <c r="A8" s="91" t="s">
        <v>18</v>
      </c>
      <c r="B8" s="32"/>
      <c r="C8" s="32"/>
      <c r="D8" s="94"/>
      <c r="E8" s="22"/>
      <c r="F8" s="22"/>
      <c r="G8" s="22"/>
      <c r="H8" s="22"/>
      <c r="I8" s="22"/>
      <c r="J8" s="22"/>
      <c r="K8" s="22"/>
    </row>
    <row r="9" spans="1:11" x14ac:dyDescent="0.6">
      <c r="A9" s="91" t="s">
        <v>19</v>
      </c>
      <c r="B9" s="32"/>
      <c r="C9" s="32"/>
      <c r="D9" s="94"/>
      <c r="E9" s="22"/>
      <c r="F9" s="22"/>
      <c r="G9" s="22"/>
      <c r="H9" s="22"/>
      <c r="I9" s="22"/>
      <c r="J9" s="22"/>
      <c r="K9" s="22"/>
    </row>
    <row r="10" spans="1:11" x14ac:dyDescent="0.6">
      <c r="A10" s="91" t="s">
        <v>17</v>
      </c>
      <c r="B10" s="32"/>
      <c r="C10" s="32"/>
      <c r="D10" s="94"/>
      <c r="E10" s="26"/>
      <c r="F10" s="26"/>
      <c r="G10" s="22"/>
      <c r="H10" s="22"/>
      <c r="I10" s="22"/>
      <c r="J10" s="22"/>
      <c r="K10" s="22"/>
    </row>
    <row r="11" spans="1:11" x14ac:dyDescent="0.6">
      <c r="A11" s="91" t="s">
        <v>4</v>
      </c>
      <c r="B11" s="32"/>
      <c r="C11" s="32"/>
      <c r="D11" s="94"/>
      <c r="E11" s="22"/>
      <c r="F11" s="22"/>
      <c r="G11" s="22"/>
      <c r="H11" s="22"/>
      <c r="I11" s="22"/>
      <c r="J11" s="22"/>
      <c r="K11" s="22"/>
    </row>
    <row r="12" spans="1:11" x14ac:dyDescent="0.6">
      <c r="A12" s="91" t="s">
        <v>69</v>
      </c>
      <c r="B12" s="32"/>
      <c r="C12" s="32"/>
      <c r="D12" s="94"/>
      <c r="E12" s="22"/>
      <c r="F12" s="22"/>
      <c r="G12" s="22"/>
      <c r="H12" s="22"/>
      <c r="I12" s="22"/>
      <c r="J12" s="22"/>
      <c r="K12" s="22"/>
    </row>
    <row r="13" spans="1:11" x14ac:dyDescent="0.6">
      <c r="A13" s="91" t="s">
        <v>5</v>
      </c>
      <c r="B13" s="22"/>
      <c r="C13" s="22"/>
      <c r="D13" s="117"/>
      <c r="E13" s="22"/>
      <c r="F13" s="22"/>
      <c r="G13" s="22"/>
      <c r="H13" s="22"/>
      <c r="I13" s="22"/>
      <c r="J13" s="22"/>
      <c r="K13" s="22"/>
    </row>
    <row r="14" spans="1:11" x14ac:dyDescent="0.6">
      <c r="E14" s="22"/>
      <c r="F14" s="22"/>
      <c r="G14" s="22"/>
      <c r="H14" s="22"/>
      <c r="I14" s="22"/>
      <c r="J14" s="22"/>
      <c r="K14" s="22"/>
    </row>
    <row r="15" spans="1:11" x14ac:dyDescent="0.6">
      <c r="A15" s="91" t="s">
        <v>6</v>
      </c>
      <c r="B15" s="32"/>
      <c r="C15" s="32"/>
      <c r="D15" s="94"/>
      <c r="E15" s="22"/>
      <c r="F15" s="22"/>
      <c r="G15" s="22"/>
      <c r="H15" s="22"/>
      <c r="I15" s="22"/>
      <c r="J15" s="22"/>
      <c r="K15" s="22"/>
    </row>
    <row r="16" spans="1:11" x14ac:dyDescent="0.6">
      <c r="A16" s="91" t="s">
        <v>7</v>
      </c>
      <c r="B16" s="32"/>
      <c r="C16" s="32"/>
      <c r="D16" s="94"/>
      <c r="E16" s="22"/>
      <c r="F16" s="22"/>
      <c r="G16" s="22"/>
      <c r="H16" s="22"/>
      <c r="I16" s="22"/>
      <c r="J16" s="22"/>
      <c r="K16" s="22"/>
    </row>
    <row r="17" spans="1:11" x14ac:dyDescent="0.6">
      <c r="A17" s="91" t="s">
        <v>8</v>
      </c>
      <c r="B17" s="32"/>
      <c r="C17" s="32"/>
      <c r="D17" s="94"/>
      <c r="E17" s="22"/>
      <c r="F17" s="22"/>
      <c r="G17" s="22"/>
      <c r="H17" s="22"/>
      <c r="I17" s="22"/>
      <c r="J17" s="22"/>
      <c r="K17" s="22"/>
    </row>
    <row r="18" spans="1:11" x14ac:dyDescent="0.6">
      <c r="A18" s="91" t="s">
        <v>9</v>
      </c>
      <c r="B18" s="32"/>
      <c r="C18" s="32"/>
      <c r="D18" s="94"/>
      <c r="E18" s="22"/>
      <c r="F18" s="22"/>
      <c r="G18" s="22"/>
      <c r="H18" s="22"/>
      <c r="I18" s="22"/>
      <c r="J18" s="22"/>
      <c r="K18" s="22"/>
    </row>
    <row r="19" spans="1:11" x14ac:dyDescent="0.6">
      <c r="A19" s="91" t="s">
        <v>10</v>
      </c>
      <c r="B19" s="32"/>
      <c r="C19" s="32"/>
      <c r="D19" s="94"/>
      <c r="E19" s="22"/>
      <c r="F19" s="22"/>
      <c r="G19" s="22"/>
      <c r="H19" s="22"/>
      <c r="I19" s="22"/>
      <c r="J19" s="22"/>
      <c r="K19" s="22"/>
    </row>
    <row r="20" spans="1:11" x14ac:dyDescent="0.6">
      <c r="A20" s="91" t="s">
        <v>11</v>
      </c>
      <c r="B20" s="32"/>
      <c r="C20" s="32"/>
      <c r="D20" s="94"/>
      <c r="E20" s="22"/>
      <c r="F20" s="22"/>
      <c r="G20" s="22"/>
      <c r="H20" s="22"/>
      <c r="I20" s="22"/>
      <c r="J20" s="22"/>
      <c r="K20" s="22"/>
    </row>
    <row r="21" spans="1:11" x14ac:dyDescent="0.6">
      <c r="A21" s="91" t="s">
        <v>12</v>
      </c>
      <c r="B21" s="117"/>
      <c r="C21" s="117"/>
      <c r="D21" s="117"/>
      <c r="E21" s="22"/>
      <c r="F21" s="22"/>
      <c r="G21" s="22"/>
      <c r="H21" s="22"/>
      <c r="I21" s="22"/>
      <c r="J21" s="22"/>
      <c r="K21" s="22"/>
    </row>
    <row r="22" spans="1:11" x14ac:dyDescent="0.6">
      <c r="B22" s="122"/>
      <c r="C22" s="122"/>
      <c r="E22" s="23"/>
      <c r="F22" s="23"/>
      <c r="G22" s="23"/>
      <c r="H22" s="23"/>
      <c r="I22" s="23"/>
      <c r="J22" s="23"/>
      <c r="K22" s="23"/>
    </row>
    <row r="23" spans="1:11" x14ac:dyDescent="0.6">
      <c r="A23" s="92" t="s">
        <v>42</v>
      </c>
      <c r="B23" s="125"/>
      <c r="C23" s="125"/>
      <c r="D23" s="107"/>
      <c r="E23" s="24"/>
      <c r="F23" s="24"/>
      <c r="G23" s="25"/>
      <c r="H23" s="25"/>
      <c r="I23" s="25"/>
      <c r="J23" s="25"/>
      <c r="K23" s="25"/>
    </row>
    <row r="24" spans="1:11" x14ac:dyDescent="0.6">
      <c r="A24" s="105" t="s">
        <v>16</v>
      </c>
      <c r="B24" s="11"/>
      <c r="C24" s="11"/>
      <c r="D24" s="108"/>
      <c r="E24" s="24"/>
      <c r="F24" s="24"/>
      <c r="G24" s="24"/>
      <c r="H24" s="24"/>
      <c r="I24" s="24"/>
      <c r="J24" s="24"/>
      <c r="K24" s="24"/>
    </row>
    <row r="25" spans="1:11" x14ac:dyDescent="0.6">
      <c r="A25" s="119"/>
      <c r="B25" s="119"/>
      <c r="C25" s="119"/>
      <c r="D25" s="119"/>
      <c r="E25" s="133"/>
      <c r="F25" s="133"/>
      <c r="G25" s="133"/>
      <c r="H25" s="133"/>
      <c r="I25" s="133"/>
      <c r="J25" s="133"/>
      <c r="K25" s="133"/>
    </row>
    <row r="26" spans="1:11" x14ac:dyDescent="0.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</row>
    <row r="27" spans="1:11" x14ac:dyDescent="0.6">
      <c r="A27" s="91" t="s">
        <v>26</v>
      </c>
      <c r="B27" s="2"/>
      <c r="C27" s="2"/>
      <c r="D27" s="89"/>
      <c r="E27" s="3"/>
      <c r="F27" s="3"/>
      <c r="G27" s="3"/>
      <c r="H27" s="3"/>
      <c r="I27" s="3"/>
      <c r="J27" s="3"/>
      <c r="K27" s="3"/>
    </row>
    <row r="28" spans="1:11" x14ac:dyDescent="0.6">
      <c r="A28" s="91" t="s">
        <v>27</v>
      </c>
      <c r="B28" s="2"/>
      <c r="C28" s="2"/>
      <c r="D28" s="110"/>
      <c r="E28" s="3"/>
      <c r="F28" s="3"/>
      <c r="G28" s="3"/>
      <c r="H28" s="3"/>
      <c r="I28" s="3"/>
      <c r="J28" s="3"/>
      <c r="K28" s="3"/>
    </row>
    <row r="29" spans="1:11" x14ac:dyDescent="0.6">
      <c r="A29" s="91" t="s">
        <v>30</v>
      </c>
      <c r="B29" s="2"/>
      <c r="C29" s="2"/>
      <c r="D29" s="89"/>
      <c r="E29" s="18"/>
      <c r="F29" s="3"/>
      <c r="G29" s="3"/>
      <c r="H29" s="3"/>
      <c r="I29" s="3"/>
      <c r="J29" s="3"/>
      <c r="K29" s="3"/>
    </row>
    <row r="30" spans="1:11" x14ac:dyDescent="0.6">
      <c r="A30" s="91" t="s">
        <v>71</v>
      </c>
      <c r="B30" s="2"/>
      <c r="C30" s="2"/>
      <c r="D30" s="89"/>
      <c r="E30" s="18"/>
      <c r="F30" s="3"/>
      <c r="G30" s="3"/>
      <c r="H30" s="3"/>
      <c r="I30" s="3"/>
      <c r="J30" s="3"/>
      <c r="K30" s="3"/>
    </row>
    <row r="31" spans="1:11" x14ac:dyDescent="0.6">
      <c r="A31" s="134" t="s">
        <v>28</v>
      </c>
      <c r="B31" s="135"/>
      <c r="C31" s="135"/>
      <c r="D31" s="135"/>
      <c r="E31" s="127"/>
      <c r="F31" s="127"/>
      <c r="G31" s="127"/>
      <c r="H31" s="127"/>
      <c r="I31" s="127"/>
      <c r="J31" s="127"/>
      <c r="K31" s="3"/>
    </row>
    <row r="32" spans="1:11" x14ac:dyDescent="0.6">
      <c r="A32" s="91"/>
      <c r="B32" s="122"/>
      <c r="C32" s="122"/>
      <c r="D32" s="122"/>
      <c r="E32" s="122"/>
      <c r="F32" s="122"/>
      <c r="G32" s="122"/>
      <c r="H32" s="122"/>
      <c r="I32" s="89"/>
      <c r="J32" s="40"/>
    </row>
    <row r="33" spans="1:13" x14ac:dyDescent="0.6">
      <c r="A33" s="131" t="s">
        <v>33</v>
      </c>
      <c r="B33" s="121"/>
      <c r="C33" s="151"/>
      <c r="D33" s="136"/>
      <c r="E33" s="86"/>
      <c r="F33" s="86"/>
      <c r="G33" s="86"/>
      <c r="H33" s="168"/>
      <c r="J33" s="37"/>
      <c r="K33" s="37"/>
    </row>
    <row r="34" spans="1:13" x14ac:dyDescent="0.6">
      <c r="A34" s="91" t="s">
        <v>6</v>
      </c>
      <c r="B34" s="30"/>
      <c r="C34" s="30"/>
      <c r="D34" s="112"/>
      <c r="E34" s="112"/>
      <c r="F34" s="112"/>
      <c r="G34" s="35"/>
      <c r="H34" s="169"/>
      <c r="J34" s="37"/>
      <c r="K34" s="37"/>
    </row>
    <row r="35" spans="1:13" x14ac:dyDescent="0.6">
      <c r="A35" s="91" t="s">
        <v>7</v>
      </c>
      <c r="B35" s="30"/>
      <c r="C35" s="30"/>
      <c r="D35" s="112"/>
      <c r="E35" s="33"/>
      <c r="F35" s="33"/>
      <c r="G35" s="35"/>
      <c r="H35" s="169"/>
      <c r="J35" s="37"/>
      <c r="K35" s="37"/>
    </row>
    <row r="36" spans="1:13" x14ac:dyDescent="0.6">
      <c r="A36" s="91" t="s">
        <v>8</v>
      </c>
      <c r="B36" s="30"/>
      <c r="C36" s="30"/>
      <c r="D36" s="112"/>
      <c r="E36" s="112"/>
      <c r="F36" s="112"/>
      <c r="G36" s="35"/>
      <c r="H36" s="169"/>
      <c r="J36" s="37"/>
      <c r="K36" s="37"/>
    </row>
    <row r="37" spans="1:13" x14ac:dyDescent="0.6">
      <c r="A37" s="91" t="s">
        <v>9</v>
      </c>
      <c r="B37" s="30"/>
      <c r="C37" s="30"/>
      <c r="D37" s="112"/>
      <c r="E37" s="112"/>
      <c r="F37" s="112"/>
      <c r="G37" s="35"/>
      <c r="H37" s="169"/>
      <c r="J37" s="37"/>
      <c r="K37" s="37"/>
    </row>
    <row r="38" spans="1:13" x14ac:dyDescent="0.6">
      <c r="A38" s="91" t="s">
        <v>10</v>
      </c>
      <c r="B38" s="30"/>
      <c r="C38" s="30"/>
      <c r="D38" s="112"/>
      <c r="E38" s="33"/>
      <c r="F38" s="33"/>
      <c r="G38" s="35"/>
      <c r="H38" s="169"/>
      <c r="J38" s="37"/>
      <c r="K38" s="37"/>
    </row>
    <row r="39" spans="1:13" x14ac:dyDescent="0.6">
      <c r="A39" s="91" t="s">
        <v>11</v>
      </c>
      <c r="B39" s="30"/>
      <c r="C39" s="30"/>
      <c r="D39" s="112"/>
      <c r="E39" s="33"/>
      <c r="F39" s="33"/>
      <c r="G39" s="34"/>
      <c r="H39" s="170"/>
      <c r="J39" s="37"/>
      <c r="K39" s="37"/>
      <c r="L39" s="37"/>
      <c r="M39" s="37"/>
    </row>
    <row r="40" spans="1:13" x14ac:dyDescent="0.6">
      <c r="B40" s="96"/>
      <c r="C40" s="96"/>
      <c r="E40" s="1"/>
      <c r="F40" s="1"/>
      <c r="G40" s="1"/>
      <c r="H40" s="1"/>
      <c r="J40" s="37"/>
      <c r="K40" s="37"/>
      <c r="L40" s="37"/>
      <c r="M40" s="37"/>
    </row>
    <row r="41" spans="1:13" x14ac:dyDescent="0.6">
      <c r="A41" s="91" t="s">
        <v>35</v>
      </c>
      <c r="B41" s="30"/>
      <c r="C41" s="151"/>
      <c r="D41" s="112"/>
      <c r="E41" s="35"/>
      <c r="F41" s="35"/>
      <c r="G41" s="35"/>
      <c r="H41" s="35"/>
      <c r="J41" s="37"/>
      <c r="K41" s="37"/>
      <c r="L41" s="37"/>
      <c r="M41" s="37"/>
    </row>
    <row r="42" spans="1:13" x14ac:dyDescent="0.6">
      <c r="A42" s="91" t="s">
        <v>26</v>
      </c>
      <c r="B42" s="2"/>
      <c r="C42" s="2"/>
      <c r="D42" s="89"/>
      <c r="E42" s="2"/>
      <c r="F42" s="2"/>
      <c r="G42" s="35"/>
      <c r="H42" s="35"/>
      <c r="J42" s="37"/>
      <c r="K42" s="37"/>
      <c r="L42" s="37"/>
      <c r="M42" s="37"/>
    </row>
    <row r="43" spans="1:13" x14ac:dyDescent="0.6">
      <c r="A43" s="91" t="s">
        <v>28</v>
      </c>
      <c r="B43" s="30"/>
      <c r="C43" s="30"/>
      <c r="D43" s="112"/>
      <c r="E43" s="30"/>
      <c r="F43" s="30"/>
      <c r="G43" s="35"/>
      <c r="H43" s="35"/>
      <c r="J43" s="37"/>
      <c r="K43" s="37"/>
      <c r="L43" s="37"/>
      <c r="M43" s="37"/>
    </row>
    <row r="44" spans="1:13" x14ac:dyDescent="0.6">
      <c r="A44" s="91" t="s">
        <v>19</v>
      </c>
      <c r="B44" s="30"/>
      <c r="C44" s="30"/>
      <c r="D44" s="112"/>
      <c r="E44" s="30"/>
      <c r="F44" s="30"/>
      <c r="G44" s="35"/>
      <c r="H44" s="35"/>
      <c r="J44" s="37"/>
      <c r="K44" s="37"/>
      <c r="L44" s="37"/>
      <c r="M44" s="37"/>
    </row>
    <row r="45" spans="1:13" x14ac:dyDescent="0.6">
      <c r="A45" s="91" t="s">
        <v>37</v>
      </c>
      <c r="B45" s="30"/>
      <c r="C45" s="30"/>
      <c r="D45" s="112"/>
      <c r="E45" s="112"/>
      <c r="F45" s="112"/>
      <c r="G45" s="35"/>
      <c r="H45" s="38"/>
      <c r="J45" s="37"/>
      <c r="K45" s="37"/>
      <c r="L45" s="37"/>
      <c r="M45" s="37"/>
    </row>
    <row r="46" spans="1:13" x14ac:dyDescent="0.6">
      <c r="A46" s="91" t="s">
        <v>38</v>
      </c>
      <c r="B46" s="30"/>
      <c r="C46" s="30"/>
      <c r="D46" s="112"/>
      <c r="E46" s="30"/>
      <c r="F46" s="30"/>
      <c r="G46" s="34"/>
      <c r="H46" s="35"/>
      <c r="J46" s="37"/>
      <c r="K46" s="37"/>
      <c r="L46" s="37"/>
      <c r="M46" s="37"/>
    </row>
    <row r="47" spans="1:13" x14ac:dyDescent="0.6">
      <c r="A47" s="105" t="s">
        <v>39</v>
      </c>
      <c r="B47" s="3"/>
      <c r="C47" s="3"/>
      <c r="D47" s="110"/>
      <c r="E47" s="32"/>
      <c r="F47" s="32"/>
      <c r="G47" s="35"/>
      <c r="H47" s="2"/>
      <c r="J47" s="37"/>
      <c r="K47" s="37"/>
      <c r="L47" s="37"/>
      <c r="M47" s="37"/>
    </row>
    <row r="48" spans="1:13" x14ac:dyDescent="0.6">
      <c r="J48" s="37"/>
      <c r="K48" s="37"/>
      <c r="L48" s="37"/>
      <c r="M48" s="37"/>
    </row>
    <row r="49" spans="10:13" x14ac:dyDescent="0.6">
      <c r="J49" s="37"/>
      <c r="K49" s="37"/>
      <c r="L49" s="37"/>
      <c r="M49" s="37"/>
    </row>
  </sheetData>
  <mergeCells count="1">
    <mergeCell ref="H33:H39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K47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6" width="30.5" customWidth="1"/>
    <col min="7" max="7" width="21.5" customWidth="1"/>
    <col min="8" max="8" width="23.75" customWidth="1"/>
    <col min="9" max="9" width="18.875" customWidth="1"/>
    <col min="10" max="11" width="10.875" bestFit="1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56">
        <v>2023</v>
      </c>
      <c r="E3" s="12">
        <v>2022</v>
      </c>
      <c r="F3" s="12">
        <v>2021</v>
      </c>
      <c r="G3" s="12">
        <v>2020</v>
      </c>
      <c r="H3" s="12">
        <v>2019</v>
      </c>
      <c r="I3" s="12">
        <v>2018</v>
      </c>
      <c r="J3" s="12">
        <v>2017</v>
      </c>
      <c r="K3" s="12">
        <v>2016</v>
      </c>
    </row>
    <row r="4" spans="1:11" x14ac:dyDescent="0.6">
      <c r="A4" s="2" t="s">
        <v>0</v>
      </c>
      <c r="B4" s="32" t="s">
        <v>74</v>
      </c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44"/>
      <c r="C22" s="44"/>
      <c r="D22" s="44"/>
      <c r="E22" s="44"/>
      <c r="F22" s="44"/>
      <c r="G22" s="44"/>
      <c r="H22" s="44"/>
      <c r="I22" s="44"/>
      <c r="J22" s="1"/>
      <c r="K22" s="1"/>
    </row>
    <row r="23" spans="1:11" x14ac:dyDescent="0.6">
      <c r="A23" s="10" t="s">
        <v>42</v>
      </c>
      <c r="B23" s="12"/>
      <c r="C23" s="19"/>
      <c r="D23" s="19"/>
      <c r="E23" s="11"/>
      <c r="F23" s="11"/>
      <c r="G23" s="12"/>
      <c r="H23" s="12"/>
      <c r="I23" s="12"/>
      <c r="J23" s="11"/>
      <c r="K23" s="19"/>
    </row>
    <row r="24" spans="1:11" x14ac:dyDescent="0.6">
      <c r="A24" s="137" t="s">
        <v>16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1:11" x14ac:dyDescent="0.6">
      <c r="A25" s="129"/>
      <c r="B25" s="138"/>
      <c r="C25" s="138"/>
      <c r="D25" s="138"/>
      <c r="E25" s="138"/>
      <c r="F25" s="138"/>
      <c r="G25" s="138"/>
      <c r="H25" s="138"/>
      <c r="I25" s="138"/>
      <c r="J25" s="138"/>
      <c r="K25" s="130"/>
    </row>
    <row r="26" spans="1:11" x14ac:dyDescent="0.6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</row>
    <row r="27" spans="1:11" x14ac:dyDescent="0.6">
      <c r="A27" s="98" t="s">
        <v>26</v>
      </c>
      <c r="B27" s="98"/>
      <c r="C27" s="98"/>
      <c r="D27" s="98"/>
      <c r="E27" s="132"/>
      <c r="F27" s="132"/>
      <c r="G27" s="132"/>
      <c r="H27" s="132"/>
      <c r="I27" s="132"/>
      <c r="J27" s="132"/>
      <c r="K27" s="132"/>
    </row>
    <row r="28" spans="1:11" x14ac:dyDescent="0.6">
      <c r="A28" s="2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6">
      <c r="A29" s="2" t="s">
        <v>30</v>
      </c>
      <c r="B29" s="2"/>
      <c r="C29" s="2"/>
      <c r="D29" s="2"/>
      <c r="E29" s="18"/>
      <c r="F29" s="3"/>
      <c r="G29" s="3"/>
      <c r="H29" s="3"/>
      <c r="I29" s="3"/>
      <c r="J29" s="3"/>
      <c r="K29" s="3"/>
    </row>
    <row r="30" spans="1:11" x14ac:dyDescent="0.6">
      <c r="A30" s="2" t="s">
        <v>71</v>
      </c>
      <c r="B30" s="2"/>
      <c r="C30" s="2"/>
      <c r="D30" s="2"/>
      <c r="E30" s="18"/>
      <c r="F30" s="3"/>
      <c r="G30" s="3"/>
      <c r="H30" s="3"/>
      <c r="I30" s="3"/>
      <c r="J30" s="3"/>
      <c r="K30" s="3"/>
    </row>
    <row r="31" spans="1:11" x14ac:dyDescent="0.6">
      <c r="A31" s="2" t="s">
        <v>28</v>
      </c>
      <c r="B31" s="32"/>
      <c r="C31" s="32"/>
      <c r="D31" s="32"/>
      <c r="E31" s="3"/>
      <c r="F31" s="3"/>
      <c r="G31" s="3"/>
      <c r="H31" s="3"/>
      <c r="I31" s="3"/>
      <c r="J31" s="3"/>
      <c r="K31" s="3"/>
    </row>
    <row r="33" spans="1:9" x14ac:dyDescent="0.6">
      <c r="A33" s="2" t="s">
        <v>33</v>
      </c>
      <c r="B33" s="30"/>
      <c r="C33" s="150"/>
      <c r="D33" s="30"/>
      <c r="E33" s="35"/>
      <c r="F33" s="35"/>
      <c r="G33" s="35"/>
      <c r="H33" s="35"/>
      <c r="I33" s="35"/>
    </row>
    <row r="34" spans="1:9" x14ac:dyDescent="0.6">
      <c r="A34" s="2" t="s">
        <v>6</v>
      </c>
      <c r="B34" s="30"/>
      <c r="C34" s="30"/>
      <c r="D34" s="30"/>
      <c r="E34" s="30"/>
      <c r="F34" s="30"/>
      <c r="G34" s="30"/>
      <c r="H34" s="35"/>
      <c r="I34" s="35"/>
    </row>
    <row r="35" spans="1:9" x14ac:dyDescent="0.6">
      <c r="A35" s="2" t="s">
        <v>7</v>
      </c>
      <c r="B35" s="30"/>
      <c r="C35" s="30"/>
      <c r="D35" s="30"/>
      <c r="E35" s="158"/>
      <c r="F35" s="32"/>
      <c r="G35" s="33"/>
      <c r="H35" s="35"/>
      <c r="I35" s="35"/>
    </row>
    <row r="36" spans="1:9" x14ac:dyDescent="0.6">
      <c r="A36" s="2" t="s">
        <v>8</v>
      </c>
      <c r="B36" s="30"/>
      <c r="C36" s="30"/>
      <c r="D36" s="30"/>
      <c r="E36" s="30"/>
      <c r="F36" s="30"/>
      <c r="G36" s="30"/>
      <c r="H36" s="35"/>
      <c r="I36" s="35"/>
    </row>
    <row r="37" spans="1:9" x14ac:dyDescent="0.6">
      <c r="A37" s="2" t="s">
        <v>9</v>
      </c>
      <c r="B37" s="30"/>
      <c r="C37" s="30"/>
      <c r="D37" s="30"/>
      <c r="E37" s="30"/>
      <c r="F37" s="30"/>
      <c r="G37" s="30"/>
      <c r="H37" s="35"/>
      <c r="I37" s="35"/>
    </row>
    <row r="38" spans="1:9" x14ac:dyDescent="0.6">
      <c r="A38" s="2" t="s">
        <v>10</v>
      </c>
      <c r="B38" s="30"/>
      <c r="C38" s="30"/>
      <c r="D38" s="30"/>
      <c r="E38" s="158"/>
      <c r="F38" s="32"/>
      <c r="G38" s="33"/>
      <c r="H38" s="35"/>
      <c r="I38" s="35"/>
    </row>
    <row r="39" spans="1:9" x14ac:dyDescent="0.6">
      <c r="A39" s="2" t="s">
        <v>11</v>
      </c>
      <c r="B39" s="30"/>
      <c r="C39" s="30"/>
      <c r="D39" s="30"/>
      <c r="E39" s="33"/>
      <c r="F39" s="32"/>
      <c r="G39" s="33"/>
      <c r="H39" s="34"/>
      <c r="I39" s="35"/>
    </row>
    <row r="40" spans="1:9" x14ac:dyDescent="0.6">
      <c r="B40" s="1"/>
      <c r="C40" s="1"/>
      <c r="D40" s="1"/>
      <c r="E40" s="1"/>
      <c r="F40" s="1"/>
      <c r="G40" s="1"/>
    </row>
    <row r="41" spans="1:9" x14ac:dyDescent="0.6">
      <c r="A41" s="2" t="s">
        <v>35</v>
      </c>
      <c r="B41" s="30"/>
      <c r="C41" s="150"/>
      <c r="D41" s="30"/>
      <c r="E41" s="35"/>
      <c r="F41" s="35"/>
      <c r="G41" s="35"/>
      <c r="H41" s="35"/>
    </row>
    <row r="42" spans="1:9" x14ac:dyDescent="0.6">
      <c r="A42" s="2" t="s">
        <v>26</v>
      </c>
      <c r="B42" s="2"/>
      <c r="C42" s="2"/>
      <c r="D42" s="2"/>
      <c r="E42" s="2"/>
      <c r="F42" s="2"/>
      <c r="G42" s="35"/>
      <c r="H42" s="35"/>
    </row>
    <row r="43" spans="1:9" x14ac:dyDescent="0.6">
      <c r="A43" s="2" t="s">
        <v>28</v>
      </c>
      <c r="B43" s="30"/>
      <c r="C43" s="30"/>
      <c r="D43" s="30"/>
      <c r="E43" s="30"/>
      <c r="F43" s="30"/>
      <c r="G43" s="35"/>
      <c r="H43" s="35"/>
    </row>
    <row r="44" spans="1:9" x14ac:dyDescent="0.6">
      <c r="A44" s="2" t="s">
        <v>19</v>
      </c>
      <c r="B44" s="30"/>
      <c r="C44" s="30"/>
      <c r="D44" s="30"/>
      <c r="E44" s="30"/>
      <c r="F44" s="30"/>
      <c r="G44" s="35"/>
      <c r="H44" s="35"/>
    </row>
    <row r="45" spans="1:9" x14ac:dyDescent="0.6">
      <c r="A45" s="2" t="s">
        <v>37</v>
      </c>
      <c r="B45" s="30"/>
      <c r="C45" s="30"/>
      <c r="D45" s="30"/>
      <c r="E45" s="30"/>
      <c r="F45" s="30"/>
      <c r="G45" s="35"/>
      <c r="H45" s="38"/>
    </row>
    <row r="46" spans="1:9" x14ac:dyDescent="0.6">
      <c r="A46" s="2" t="s">
        <v>38</v>
      </c>
      <c r="B46" s="30"/>
      <c r="C46" s="30"/>
      <c r="D46" s="30"/>
      <c r="E46" s="30"/>
      <c r="F46" s="30"/>
      <c r="G46" s="34"/>
      <c r="H46" s="35"/>
    </row>
    <row r="47" spans="1:9" x14ac:dyDescent="0.6">
      <c r="A47" s="4" t="s">
        <v>39</v>
      </c>
      <c r="B47" s="3"/>
      <c r="C47" s="3"/>
      <c r="D47" s="30"/>
      <c r="E47" s="30"/>
      <c r="F47" s="30"/>
      <c r="G47" s="34"/>
      <c r="H47" s="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K47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6" width="30.5" customWidth="1"/>
    <col min="7" max="7" width="19.375" customWidth="1"/>
    <col min="8" max="8" width="17.375" customWidth="1"/>
    <col min="9" max="9" width="27.625" bestFit="1" customWidth="1"/>
    <col min="10" max="11" width="14.5" customWidth="1"/>
  </cols>
  <sheetData>
    <row r="2" spans="1:11" x14ac:dyDescent="0.6">
      <c r="K2" s="8" t="s">
        <v>13</v>
      </c>
    </row>
    <row r="3" spans="1:11" x14ac:dyDescent="0.6">
      <c r="A3" s="50"/>
      <c r="B3" s="87">
        <v>2025</v>
      </c>
      <c r="C3" s="85">
        <v>2024</v>
      </c>
      <c r="D3" s="56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1" x14ac:dyDescent="0.6">
      <c r="A4" s="50" t="s">
        <v>0</v>
      </c>
      <c r="B4" s="51" t="s">
        <v>74</v>
      </c>
      <c r="C4" s="51"/>
      <c r="D4" s="51"/>
      <c r="E4" s="51"/>
      <c r="F4" s="51"/>
      <c r="G4" s="52"/>
      <c r="H4" s="52"/>
      <c r="I4" s="52"/>
      <c r="J4" s="52"/>
      <c r="K4" s="52"/>
    </row>
    <row r="5" spans="1:11" x14ac:dyDescent="0.6">
      <c r="A5" s="50" t="s">
        <v>1</v>
      </c>
      <c r="B5" s="33"/>
      <c r="C5" s="33"/>
      <c r="D5" s="33"/>
      <c r="E5" s="53"/>
      <c r="F5" s="53"/>
      <c r="G5" s="53"/>
      <c r="H5" s="53"/>
      <c r="I5" s="53"/>
      <c r="J5" s="53"/>
      <c r="K5" s="53"/>
    </row>
    <row r="6" spans="1:11" x14ac:dyDescent="0.6">
      <c r="A6" s="50" t="s">
        <v>2</v>
      </c>
      <c r="B6" s="33"/>
      <c r="C6" s="33"/>
      <c r="D6" s="33"/>
      <c r="E6" s="53"/>
      <c r="F6" s="53"/>
      <c r="G6" s="53"/>
      <c r="H6" s="53"/>
      <c r="I6" s="53"/>
      <c r="J6" s="53"/>
      <c r="K6" s="53"/>
    </row>
    <row r="7" spans="1:11" x14ac:dyDescent="0.6">
      <c r="A7" s="50" t="s">
        <v>3</v>
      </c>
      <c r="B7" s="33"/>
      <c r="C7" s="33"/>
      <c r="D7" s="33"/>
      <c r="E7" s="53"/>
      <c r="F7" s="53"/>
      <c r="G7" s="53"/>
      <c r="H7" s="53"/>
      <c r="I7" s="53"/>
      <c r="J7" s="53"/>
      <c r="K7" s="53"/>
    </row>
    <row r="8" spans="1:11" x14ac:dyDescent="0.6">
      <c r="A8" s="50" t="s">
        <v>18</v>
      </c>
      <c r="B8" s="33"/>
      <c r="C8" s="33"/>
      <c r="D8" s="33"/>
      <c r="E8" s="53"/>
      <c r="F8" s="53"/>
      <c r="G8" s="53"/>
      <c r="H8" s="53"/>
      <c r="I8" s="53"/>
      <c r="J8" s="53"/>
      <c r="K8" s="53"/>
    </row>
    <row r="9" spans="1:11" x14ac:dyDescent="0.6">
      <c r="A9" s="50" t="s">
        <v>19</v>
      </c>
      <c r="B9" s="33"/>
      <c r="C9" s="33"/>
      <c r="D9" s="33"/>
      <c r="E9" s="53"/>
      <c r="F9" s="53"/>
      <c r="G9" s="53"/>
      <c r="H9" s="53"/>
      <c r="I9" s="53"/>
      <c r="J9" s="53"/>
      <c r="K9" s="53"/>
    </row>
    <row r="10" spans="1:11" x14ac:dyDescent="0.6">
      <c r="A10" s="50" t="s">
        <v>17</v>
      </c>
      <c r="B10" s="33"/>
      <c r="C10" s="33"/>
      <c r="D10" s="33"/>
      <c r="E10" s="54"/>
      <c r="F10" s="54"/>
      <c r="G10" s="53"/>
      <c r="H10" s="53"/>
      <c r="I10" s="53"/>
      <c r="J10" s="53"/>
      <c r="K10" s="53"/>
    </row>
    <row r="11" spans="1:11" x14ac:dyDescent="0.6">
      <c r="A11" s="50" t="s">
        <v>4</v>
      </c>
      <c r="B11" s="33"/>
      <c r="C11" s="33"/>
      <c r="D11" s="33"/>
      <c r="E11" s="53"/>
      <c r="F11" s="53"/>
      <c r="G11" s="53"/>
      <c r="H11" s="53"/>
      <c r="I11" s="53"/>
      <c r="J11" s="53"/>
      <c r="K11" s="53"/>
    </row>
    <row r="12" spans="1:11" x14ac:dyDescent="0.6">
      <c r="A12" s="87" t="s">
        <v>69</v>
      </c>
      <c r="B12" s="33"/>
      <c r="C12" s="33"/>
      <c r="D12" s="33"/>
      <c r="E12" s="53"/>
      <c r="F12" s="53"/>
      <c r="G12" s="53"/>
      <c r="H12" s="53"/>
      <c r="I12" s="53"/>
      <c r="J12" s="53"/>
      <c r="K12" s="53"/>
    </row>
    <row r="13" spans="1:11" x14ac:dyDescent="0.6">
      <c r="A13" s="50" t="s">
        <v>5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spans="1:11" x14ac:dyDescent="0.6">
      <c r="A14" s="14"/>
      <c r="B14" s="14"/>
      <c r="C14" s="14"/>
      <c r="D14" s="14"/>
      <c r="E14" s="53"/>
      <c r="F14" s="53"/>
      <c r="G14" s="53"/>
      <c r="H14" s="53"/>
      <c r="I14" s="53"/>
      <c r="J14" s="53"/>
      <c r="K14" s="53"/>
    </row>
    <row r="15" spans="1:11" x14ac:dyDescent="0.6">
      <c r="A15" s="50" t="s">
        <v>6</v>
      </c>
      <c r="B15" s="33"/>
      <c r="C15" s="33"/>
      <c r="D15" s="33"/>
      <c r="E15" s="53"/>
      <c r="F15" s="53"/>
      <c r="G15" s="53"/>
      <c r="H15" s="53"/>
      <c r="I15" s="53"/>
      <c r="J15" s="53"/>
      <c r="K15" s="53"/>
    </row>
    <row r="16" spans="1:11" x14ac:dyDescent="0.6">
      <c r="A16" s="50" t="s">
        <v>7</v>
      </c>
      <c r="B16" s="33"/>
      <c r="C16" s="33"/>
      <c r="D16" s="33"/>
      <c r="E16" s="53"/>
      <c r="F16" s="53"/>
      <c r="G16" s="53"/>
      <c r="H16" s="53"/>
      <c r="I16" s="53"/>
      <c r="J16" s="53"/>
      <c r="K16" s="53"/>
    </row>
    <row r="17" spans="1:11" x14ac:dyDescent="0.6">
      <c r="A17" s="50" t="s">
        <v>8</v>
      </c>
      <c r="B17" s="33"/>
      <c r="C17" s="33"/>
      <c r="D17" s="33"/>
      <c r="E17" s="53"/>
      <c r="F17" s="53"/>
      <c r="G17" s="53"/>
      <c r="H17" s="53"/>
      <c r="I17" s="53"/>
      <c r="J17" s="53"/>
      <c r="K17" s="53"/>
    </row>
    <row r="18" spans="1:11" x14ac:dyDescent="0.6">
      <c r="A18" s="50" t="s">
        <v>9</v>
      </c>
      <c r="B18" s="33"/>
      <c r="C18" s="33"/>
      <c r="D18" s="33"/>
      <c r="E18" s="53"/>
      <c r="F18" s="53"/>
      <c r="G18" s="53"/>
      <c r="H18" s="53"/>
      <c r="I18" s="53"/>
      <c r="J18" s="53"/>
      <c r="K18" s="53"/>
    </row>
    <row r="19" spans="1:11" x14ac:dyDescent="0.6">
      <c r="A19" s="50" t="s">
        <v>10</v>
      </c>
      <c r="B19" s="33"/>
      <c r="C19" s="33"/>
      <c r="D19" s="33"/>
      <c r="E19" s="53"/>
      <c r="F19" s="53"/>
      <c r="G19" s="53"/>
      <c r="H19" s="53"/>
      <c r="I19" s="53"/>
      <c r="J19" s="53"/>
      <c r="K19" s="53"/>
    </row>
    <row r="20" spans="1:11" x14ac:dyDescent="0.6">
      <c r="A20" s="50" t="s">
        <v>11</v>
      </c>
      <c r="B20" s="33"/>
      <c r="C20" s="33"/>
      <c r="D20" s="33"/>
      <c r="E20" s="53"/>
      <c r="F20" s="53"/>
      <c r="G20" s="53"/>
      <c r="H20" s="53"/>
      <c r="I20" s="53"/>
      <c r="J20" s="53"/>
      <c r="K20" s="53"/>
    </row>
    <row r="21" spans="1:11" x14ac:dyDescent="0.6">
      <c r="A21" s="50" t="s">
        <v>12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2" spans="1:11" x14ac:dyDescent="0.6">
      <c r="B22" s="44"/>
      <c r="C22" s="44"/>
      <c r="D22" s="44"/>
      <c r="E22" s="44"/>
      <c r="F22" s="44"/>
      <c r="G22" s="44"/>
      <c r="H22" s="44"/>
      <c r="I22" s="44"/>
      <c r="J22" s="27"/>
      <c r="K22" s="27"/>
    </row>
    <row r="23" spans="1:11" x14ac:dyDescent="0.6">
      <c r="A23" s="10" t="s">
        <v>42</v>
      </c>
      <c r="B23" s="123"/>
      <c r="C23" s="19"/>
      <c r="D23" s="19"/>
      <c r="E23" s="123"/>
      <c r="F23" s="123"/>
      <c r="G23" s="124"/>
      <c r="H23" s="124"/>
      <c r="I23" s="124"/>
      <c r="J23" s="123"/>
      <c r="K23" s="123"/>
    </row>
    <row r="24" spans="1:11" x14ac:dyDescent="0.6">
      <c r="A24" s="4" t="s">
        <v>16</v>
      </c>
      <c r="B24" s="123"/>
      <c r="C24" s="19"/>
      <c r="D24" s="19"/>
      <c r="E24" s="123"/>
      <c r="F24" s="123"/>
      <c r="G24" s="123"/>
      <c r="H24" s="123"/>
      <c r="I24" s="123"/>
      <c r="J24" s="123"/>
      <c r="K24" s="123"/>
    </row>
    <row r="25" spans="1:11" x14ac:dyDescent="0.6">
      <c r="A25" s="4"/>
      <c r="B25" s="4"/>
      <c r="C25" s="4"/>
      <c r="D25" s="4"/>
      <c r="E25" s="28"/>
      <c r="F25" s="28"/>
      <c r="G25" s="28"/>
      <c r="H25" s="28"/>
      <c r="I25" s="28"/>
      <c r="J25" s="28"/>
      <c r="K25" s="28"/>
    </row>
    <row r="26" spans="1:11" x14ac:dyDescent="0.6">
      <c r="E26" s="27"/>
      <c r="F26" s="27"/>
      <c r="G26" s="27"/>
      <c r="H26" s="27"/>
      <c r="I26" s="27"/>
      <c r="J26" s="27"/>
      <c r="K26" s="27"/>
    </row>
    <row r="27" spans="1:11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1" x14ac:dyDescent="0.6">
      <c r="A28" s="2" t="s">
        <v>27</v>
      </c>
      <c r="B28" s="3"/>
      <c r="C28" s="3"/>
      <c r="D28" s="3"/>
      <c r="E28" s="29"/>
      <c r="F28" s="29"/>
      <c r="G28" s="29"/>
      <c r="H28" s="29"/>
      <c r="I28" s="29"/>
      <c r="J28" s="29"/>
      <c r="K28" s="29"/>
    </row>
    <row r="29" spans="1:11" x14ac:dyDescent="0.6">
      <c r="A29" s="2" t="s">
        <v>30</v>
      </c>
      <c r="B29" s="3"/>
      <c r="C29" s="3"/>
      <c r="D29" s="3"/>
      <c r="E29" s="18"/>
      <c r="F29" s="29"/>
      <c r="G29" s="29"/>
      <c r="H29" s="29"/>
      <c r="I29" s="29"/>
      <c r="J29" s="29"/>
      <c r="K29" s="29"/>
    </row>
    <row r="30" spans="1:11" x14ac:dyDescent="0.6">
      <c r="A30" s="2" t="s">
        <v>71</v>
      </c>
      <c r="B30" s="3"/>
      <c r="C30" s="3"/>
      <c r="D30" s="3"/>
      <c r="E30" s="18"/>
      <c r="F30" s="29"/>
      <c r="G30" s="29"/>
      <c r="H30" s="29"/>
      <c r="I30" s="29"/>
      <c r="J30" s="29"/>
      <c r="K30" s="29"/>
    </row>
    <row r="31" spans="1:11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8" x14ac:dyDescent="0.6">
      <c r="A33" s="2" t="s">
        <v>33</v>
      </c>
      <c r="B33" s="150"/>
      <c r="C33" s="150"/>
      <c r="D33" s="30"/>
      <c r="E33" s="74"/>
      <c r="F33" s="74"/>
      <c r="G33" s="74"/>
      <c r="H33" s="35"/>
    </row>
    <row r="34" spans="1:8" ht="16.5" customHeight="1" x14ac:dyDescent="0.6">
      <c r="A34" s="2" t="s">
        <v>6</v>
      </c>
      <c r="B34" s="47"/>
      <c r="C34" s="47"/>
      <c r="D34" s="171"/>
      <c r="E34" s="152"/>
      <c r="F34" s="152"/>
      <c r="G34" s="74"/>
      <c r="H34" s="35"/>
    </row>
    <row r="35" spans="1:8" x14ac:dyDescent="0.6">
      <c r="A35" s="2" t="s">
        <v>7</v>
      </c>
      <c r="B35" s="47"/>
      <c r="C35" s="47"/>
      <c r="D35" s="172"/>
      <c r="E35" s="158"/>
      <c r="F35" s="33"/>
      <c r="G35" s="74"/>
      <c r="H35" s="35"/>
    </row>
    <row r="36" spans="1:8" x14ac:dyDescent="0.6">
      <c r="A36" s="2" t="s">
        <v>8</v>
      </c>
      <c r="B36" s="47"/>
      <c r="C36" s="47"/>
      <c r="D36" s="172"/>
      <c r="E36" s="153"/>
      <c r="F36" s="155"/>
      <c r="G36" s="74"/>
      <c r="H36" s="35"/>
    </row>
    <row r="37" spans="1:8" x14ac:dyDescent="0.6">
      <c r="A37" s="2" t="s">
        <v>9</v>
      </c>
      <c r="B37" s="47"/>
      <c r="C37" s="47"/>
      <c r="D37" s="172"/>
      <c r="E37" s="153"/>
      <c r="F37" s="155"/>
      <c r="G37" s="74"/>
      <c r="H37" s="35"/>
    </row>
    <row r="38" spans="1:8" x14ac:dyDescent="0.6">
      <c r="A38" s="2" t="s">
        <v>10</v>
      </c>
      <c r="B38" s="47"/>
      <c r="C38" s="47"/>
      <c r="D38" s="172"/>
      <c r="E38" s="158"/>
      <c r="F38" s="158"/>
      <c r="G38" s="74"/>
      <c r="H38" s="35"/>
    </row>
    <row r="39" spans="1:8" x14ac:dyDescent="0.6">
      <c r="A39" s="2" t="s">
        <v>11</v>
      </c>
      <c r="B39" s="47"/>
      <c r="C39" s="47"/>
      <c r="D39" s="173"/>
      <c r="E39" s="33"/>
      <c r="F39" s="33"/>
      <c r="G39" s="34"/>
      <c r="H39" s="35"/>
    </row>
    <row r="40" spans="1:8" x14ac:dyDescent="0.6">
      <c r="E40" s="1"/>
      <c r="F40" s="1"/>
      <c r="G40" s="1"/>
      <c r="H40" s="1"/>
    </row>
    <row r="41" spans="1:8" x14ac:dyDescent="0.6">
      <c r="A41" s="2" t="s">
        <v>35</v>
      </c>
      <c r="B41" s="150"/>
      <c r="C41" s="150"/>
      <c r="D41" s="30"/>
      <c r="E41" s="74"/>
      <c r="F41" s="74"/>
      <c r="G41" s="74"/>
      <c r="H41" s="35"/>
    </row>
    <row r="42" spans="1:8" ht="16.5" customHeight="1" x14ac:dyDescent="0.6">
      <c r="A42" s="2" t="s">
        <v>26</v>
      </c>
      <c r="B42" s="47"/>
      <c r="C42" s="47"/>
      <c r="D42" s="171"/>
      <c r="E42" s="2"/>
      <c r="F42" s="2"/>
      <c r="G42" s="74"/>
      <c r="H42" s="35"/>
    </row>
    <row r="43" spans="1:8" x14ac:dyDescent="0.6">
      <c r="A43" s="2" t="s">
        <v>28</v>
      </c>
      <c r="B43" s="47"/>
      <c r="C43" s="47"/>
      <c r="D43" s="172"/>
      <c r="E43" s="30"/>
      <c r="F43" s="30"/>
      <c r="G43" s="74"/>
      <c r="H43" s="35"/>
    </row>
    <row r="44" spans="1:8" x14ac:dyDescent="0.6">
      <c r="A44" s="2" t="s">
        <v>19</v>
      </c>
      <c r="B44" s="47"/>
      <c r="C44" s="47"/>
      <c r="D44" s="172"/>
      <c r="E44" s="30"/>
      <c r="F44" s="30"/>
      <c r="G44" s="74"/>
      <c r="H44" s="35"/>
    </row>
    <row r="45" spans="1:8" x14ac:dyDescent="0.6">
      <c r="A45" s="2" t="s">
        <v>37</v>
      </c>
      <c r="B45" s="47"/>
      <c r="C45" s="47"/>
      <c r="D45" s="172"/>
      <c r="E45" s="153"/>
      <c r="F45" s="155"/>
      <c r="G45" s="74"/>
      <c r="H45" s="38"/>
    </row>
    <row r="46" spans="1:8" x14ac:dyDescent="0.6">
      <c r="A46" s="2" t="s">
        <v>38</v>
      </c>
      <c r="B46" s="47"/>
      <c r="C46" s="47"/>
      <c r="D46" s="172"/>
      <c r="E46" s="30"/>
      <c r="F46" s="30"/>
      <c r="G46" s="34"/>
      <c r="H46" s="35"/>
    </row>
    <row r="47" spans="1:8" x14ac:dyDescent="0.6">
      <c r="A47" s="4" t="s">
        <v>39</v>
      </c>
      <c r="B47" s="47"/>
      <c r="C47" s="47"/>
      <c r="D47" s="173"/>
      <c r="E47" s="32"/>
      <c r="F47" s="32"/>
      <c r="G47" s="74"/>
      <c r="H47" s="2"/>
    </row>
  </sheetData>
  <mergeCells count="2">
    <mergeCell ref="D34:D39"/>
    <mergeCell ref="D42:D47"/>
  </mergeCells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L49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9.125" customWidth="1"/>
    <col min="6" max="6" width="21.25" bestFit="1" customWidth="1"/>
    <col min="7" max="8" width="10.875" bestFit="1" customWidth="1"/>
    <col min="9" max="9" width="12.125" customWidth="1"/>
    <col min="10" max="11" width="10.875" bestFit="1" customWidth="1"/>
    <col min="12" max="12" width="9.375" bestFit="1" customWidth="1"/>
  </cols>
  <sheetData>
    <row r="2" spans="1:12" x14ac:dyDescent="0.6">
      <c r="K2" s="8" t="s">
        <v>13</v>
      </c>
    </row>
    <row r="3" spans="1:12" x14ac:dyDescent="0.6">
      <c r="A3" s="2"/>
      <c r="B3" s="87">
        <v>2025</v>
      </c>
      <c r="C3" s="85">
        <v>2024</v>
      </c>
      <c r="D3" s="56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2" x14ac:dyDescent="0.6">
      <c r="A4" s="91" t="s">
        <v>0</v>
      </c>
      <c r="B4" s="97" t="s">
        <v>74</v>
      </c>
      <c r="C4" s="97"/>
      <c r="D4" s="44"/>
      <c r="E4" s="7"/>
      <c r="F4" s="7"/>
      <c r="G4" s="5"/>
      <c r="H4" s="5"/>
      <c r="I4" s="5"/>
      <c r="J4" s="5"/>
      <c r="K4" s="5"/>
    </row>
    <row r="5" spans="1:12" x14ac:dyDescent="0.6">
      <c r="A5" s="91" t="s">
        <v>1</v>
      </c>
      <c r="B5" s="32"/>
      <c r="C5" s="32"/>
      <c r="D5" s="93"/>
      <c r="E5" s="5"/>
      <c r="F5" s="5"/>
      <c r="G5" s="5"/>
      <c r="H5" s="5"/>
      <c r="I5" s="5"/>
      <c r="J5" s="5"/>
      <c r="K5" s="5"/>
    </row>
    <row r="6" spans="1:12" x14ac:dyDescent="0.6">
      <c r="A6" s="91" t="s">
        <v>2</v>
      </c>
      <c r="B6" s="32"/>
      <c r="C6" s="32"/>
      <c r="D6" s="94"/>
      <c r="E6" s="5"/>
      <c r="F6" s="5"/>
      <c r="G6" s="5"/>
      <c r="H6" s="5"/>
      <c r="I6" s="5"/>
      <c r="J6" s="5"/>
      <c r="K6" s="5"/>
    </row>
    <row r="7" spans="1:12" x14ac:dyDescent="0.6">
      <c r="A7" s="91" t="s">
        <v>3</v>
      </c>
      <c r="B7" s="32"/>
      <c r="C7" s="32"/>
      <c r="D7" s="94"/>
      <c r="E7" s="5"/>
      <c r="F7" s="5"/>
      <c r="G7" s="5"/>
      <c r="H7" s="5"/>
      <c r="I7" s="5"/>
      <c r="J7" s="5"/>
      <c r="K7" s="5"/>
    </row>
    <row r="8" spans="1:12" x14ac:dyDescent="0.6">
      <c r="A8" s="91" t="s">
        <v>18</v>
      </c>
      <c r="B8" s="32"/>
      <c r="C8" s="32"/>
      <c r="D8" s="94"/>
      <c r="E8" s="5"/>
      <c r="F8" s="5"/>
      <c r="G8" s="5"/>
      <c r="H8" s="5"/>
      <c r="I8" s="5"/>
      <c r="J8" s="5"/>
      <c r="K8" s="5"/>
    </row>
    <row r="9" spans="1:12" x14ac:dyDescent="0.6">
      <c r="A9" s="91" t="s">
        <v>19</v>
      </c>
      <c r="B9" s="32"/>
      <c r="C9" s="32"/>
      <c r="D9" s="94"/>
      <c r="E9" s="5"/>
      <c r="F9" s="5"/>
      <c r="G9" s="5"/>
      <c r="H9" s="5"/>
      <c r="I9" s="5"/>
      <c r="J9" s="5"/>
      <c r="K9" s="5"/>
    </row>
    <row r="10" spans="1:12" x14ac:dyDescent="0.6">
      <c r="A10" s="91" t="s">
        <v>17</v>
      </c>
      <c r="B10" s="32"/>
      <c r="C10" s="32"/>
      <c r="D10" s="94"/>
      <c r="E10" s="7"/>
      <c r="F10" s="7"/>
      <c r="G10" s="5"/>
      <c r="H10" s="5"/>
      <c r="I10" s="5"/>
      <c r="J10" s="5"/>
      <c r="K10" s="5"/>
    </row>
    <row r="11" spans="1:12" x14ac:dyDescent="0.6">
      <c r="A11" s="91" t="s">
        <v>4</v>
      </c>
      <c r="B11" s="32"/>
      <c r="C11" s="32"/>
      <c r="D11" s="94"/>
      <c r="E11" s="5"/>
      <c r="F11" s="5"/>
      <c r="G11" s="5"/>
      <c r="H11" s="5"/>
      <c r="I11" s="5"/>
      <c r="J11" s="5"/>
      <c r="K11" s="5"/>
    </row>
    <row r="12" spans="1:12" x14ac:dyDescent="0.6">
      <c r="A12" s="91" t="s">
        <v>69</v>
      </c>
      <c r="B12" s="32"/>
      <c r="C12" s="32"/>
      <c r="D12" s="94"/>
      <c r="E12" s="5"/>
      <c r="F12" s="5"/>
      <c r="G12" s="5"/>
      <c r="H12" s="5"/>
      <c r="I12" s="5"/>
      <c r="J12" s="5"/>
      <c r="K12" s="5"/>
    </row>
    <row r="13" spans="1:12" x14ac:dyDescent="0.6">
      <c r="A13" s="134" t="s">
        <v>5</v>
      </c>
      <c r="B13" s="140"/>
      <c r="C13" s="140"/>
      <c r="D13" s="141"/>
      <c r="E13" s="140"/>
      <c r="F13" s="140"/>
      <c r="G13" s="140"/>
      <c r="H13" s="140"/>
      <c r="I13" s="140"/>
      <c r="J13" s="140"/>
      <c r="K13" s="140"/>
    </row>
    <row r="14" spans="1:12" x14ac:dyDescent="0.6">
      <c r="A14" s="91"/>
      <c r="B14" s="145"/>
      <c r="C14" s="145"/>
      <c r="D14" s="122"/>
      <c r="E14" s="146"/>
      <c r="F14" s="146"/>
      <c r="G14" s="146"/>
      <c r="H14" s="146"/>
      <c r="I14" s="146"/>
      <c r="J14" s="146"/>
      <c r="K14" s="95"/>
    </row>
    <row r="15" spans="1:12" x14ac:dyDescent="0.6">
      <c r="A15" s="131" t="s">
        <v>6</v>
      </c>
      <c r="B15" s="142"/>
      <c r="C15" s="142"/>
      <c r="D15" s="143"/>
      <c r="E15" s="144"/>
      <c r="F15" s="144"/>
      <c r="G15" s="144"/>
      <c r="H15" s="144"/>
      <c r="I15" s="144"/>
      <c r="J15" s="144"/>
      <c r="K15" s="144"/>
      <c r="L15" s="44" t="e">
        <f>AVERAGE(E15:I15)</f>
        <v>#DIV/0!</v>
      </c>
    </row>
    <row r="16" spans="1:12" x14ac:dyDescent="0.6">
      <c r="A16" s="91" t="s">
        <v>7</v>
      </c>
      <c r="B16" s="32"/>
      <c r="C16" s="32"/>
      <c r="D16" s="94"/>
      <c r="E16" s="5"/>
      <c r="F16" s="5"/>
      <c r="G16" s="5"/>
      <c r="H16" s="5"/>
      <c r="I16" s="5"/>
      <c r="J16" s="5"/>
      <c r="K16" s="5"/>
      <c r="L16" s="44"/>
    </row>
    <row r="17" spans="1:12" x14ac:dyDescent="0.6">
      <c r="A17" s="91" t="s">
        <v>8</v>
      </c>
      <c r="B17" s="32"/>
      <c r="C17" s="32"/>
      <c r="D17" s="94"/>
      <c r="E17" s="5"/>
      <c r="F17" s="5"/>
      <c r="G17" s="5"/>
      <c r="H17" s="5"/>
      <c r="I17" s="5"/>
      <c r="J17" s="5"/>
      <c r="K17" s="5"/>
      <c r="L17" s="44"/>
    </row>
    <row r="18" spans="1:12" x14ac:dyDescent="0.6">
      <c r="A18" s="91" t="s">
        <v>9</v>
      </c>
      <c r="B18" s="32"/>
      <c r="C18" s="32"/>
      <c r="D18" s="94"/>
      <c r="E18" s="5"/>
      <c r="F18" s="5"/>
      <c r="G18" s="5"/>
      <c r="H18" s="5"/>
      <c r="I18" s="5"/>
      <c r="J18" s="5"/>
      <c r="K18" s="5"/>
      <c r="L18" s="44"/>
    </row>
    <row r="19" spans="1:12" x14ac:dyDescent="0.6">
      <c r="A19" s="91" t="s">
        <v>10</v>
      </c>
      <c r="B19" s="32"/>
      <c r="C19" s="32"/>
      <c r="D19" s="94"/>
      <c r="E19" s="5"/>
      <c r="F19" s="5"/>
      <c r="G19" s="5"/>
      <c r="H19" s="5"/>
      <c r="I19" s="5"/>
      <c r="J19" s="5"/>
      <c r="K19" s="5"/>
      <c r="L19" s="44"/>
    </row>
    <row r="20" spans="1:12" x14ac:dyDescent="0.6">
      <c r="A20" s="91" t="s">
        <v>11</v>
      </c>
      <c r="B20" s="32"/>
      <c r="C20" s="32"/>
      <c r="D20" s="94"/>
      <c r="E20" s="5"/>
      <c r="F20" s="5"/>
      <c r="G20" s="5"/>
      <c r="H20" s="5"/>
      <c r="I20" s="5"/>
      <c r="J20" s="5"/>
      <c r="K20" s="5"/>
      <c r="L20" s="44"/>
    </row>
    <row r="21" spans="1:12" x14ac:dyDescent="0.6">
      <c r="A21" s="134" t="s">
        <v>12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</row>
    <row r="22" spans="1:12" x14ac:dyDescent="0.6">
      <c r="A22" s="91"/>
      <c r="B22" s="145"/>
      <c r="C22" s="145"/>
      <c r="D22" s="145"/>
      <c r="E22" s="145"/>
      <c r="F22" s="145"/>
      <c r="G22" s="145"/>
      <c r="H22" s="145"/>
      <c r="I22" s="145"/>
      <c r="J22" s="122"/>
      <c r="K22" s="89"/>
    </row>
    <row r="23" spans="1:12" x14ac:dyDescent="0.6">
      <c r="A23" s="147" t="s">
        <v>42</v>
      </c>
      <c r="B23" s="148"/>
      <c r="C23" s="148"/>
      <c r="D23" s="128"/>
      <c r="E23" s="86"/>
      <c r="F23" s="86"/>
      <c r="G23" s="149"/>
      <c r="H23" s="149"/>
      <c r="I23" s="149"/>
      <c r="J23" s="86"/>
      <c r="K23" s="86"/>
    </row>
    <row r="24" spans="1:12" x14ac:dyDescent="0.6">
      <c r="A24" s="154" t="s">
        <v>16</v>
      </c>
      <c r="B24" s="14"/>
      <c r="C24" s="14"/>
    </row>
    <row r="25" spans="1:12" x14ac:dyDescent="0.6">
      <c r="A25" s="154" t="s">
        <v>70</v>
      </c>
      <c r="D25" s="14"/>
      <c r="E25" s="14"/>
      <c r="F25" s="14"/>
      <c r="G25" s="14"/>
      <c r="H25" s="14"/>
      <c r="I25" s="14"/>
      <c r="J25" s="14"/>
      <c r="K25" s="14"/>
    </row>
    <row r="27" spans="1:12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2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2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2" x14ac:dyDescent="0.6">
      <c r="A30" s="2" t="s">
        <v>71</v>
      </c>
      <c r="B30" s="2"/>
      <c r="C30" s="2"/>
      <c r="D30" s="2"/>
      <c r="E30" s="18"/>
      <c r="F30" s="29"/>
      <c r="G30" s="29"/>
      <c r="H30" s="29"/>
      <c r="I30" s="29"/>
      <c r="J30" s="29"/>
      <c r="K30" s="29"/>
    </row>
    <row r="31" spans="1:12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6" x14ac:dyDescent="0.6">
      <c r="A33" s="2" t="s">
        <v>33</v>
      </c>
      <c r="B33" s="150"/>
      <c r="C33" s="150"/>
      <c r="D33" s="30"/>
      <c r="E33" s="39"/>
    </row>
    <row r="34" spans="1:6" x14ac:dyDescent="0.6">
      <c r="A34" s="2" t="s">
        <v>6</v>
      </c>
      <c r="B34" s="2"/>
      <c r="C34" s="2"/>
      <c r="D34" s="47"/>
      <c r="E34" s="47"/>
      <c r="F34" s="47"/>
    </row>
    <row r="35" spans="1:6" x14ac:dyDescent="0.6">
      <c r="A35" s="2" t="s">
        <v>7</v>
      </c>
      <c r="B35" s="2"/>
      <c r="C35" s="2"/>
      <c r="D35" s="30"/>
      <c r="E35" s="39"/>
    </row>
    <row r="36" spans="1:6" x14ac:dyDescent="0.6">
      <c r="A36" s="2" t="s">
        <v>8</v>
      </c>
      <c r="B36" s="2"/>
      <c r="C36" s="2"/>
      <c r="D36" s="30"/>
      <c r="E36" s="30"/>
      <c r="F36" s="30"/>
    </row>
    <row r="37" spans="1:6" x14ac:dyDescent="0.6">
      <c r="A37" s="2" t="s">
        <v>9</v>
      </c>
      <c r="B37" s="2"/>
      <c r="C37" s="2"/>
      <c r="D37" s="30"/>
      <c r="E37" s="30"/>
      <c r="F37" s="30"/>
    </row>
    <row r="38" spans="1:6" x14ac:dyDescent="0.6">
      <c r="A38" s="2" t="s">
        <v>10</v>
      </c>
      <c r="B38" s="2"/>
      <c r="C38" s="2"/>
      <c r="D38" s="30"/>
      <c r="E38" s="39"/>
    </row>
    <row r="39" spans="1:6" x14ac:dyDescent="0.6">
      <c r="A39" s="2" t="s">
        <v>11</v>
      </c>
      <c r="B39" s="2"/>
      <c r="C39" s="2"/>
      <c r="D39" s="30"/>
      <c r="E39" s="34"/>
    </row>
    <row r="40" spans="1:6" x14ac:dyDescent="0.6">
      <c r="D40" s="1"/>
    </row>
    <row r="41" spans="1:6" x14ac:dyDescent="0.6">
      <c r="A41" s="2" t="s">
        <v>35</v>
      </c>
      <c r="B41" s="150"/>
      <c r="C41" s="150"/>
      <c r="D41" s="30"/>
      <c r="E41" s="39"/>
    </row>
    <row r="42" spans="1:6" x14ac:dyDescent="0.6">
      <c r="A42" s="2" t="s">
        <v>26</v>
      </c>
      <c r="B42" s="2"/>
      <c r="C42" s="2"/>
      <c r="D42" s="47"/>
      <c r="E42" s="39"/>
    </row>
    <row r="43" spans="1:6" x14ac:dyDescent="0.6">
      <c r="A43" s="2" t="s">
        <v>28</v>
      </c>
      <c r="B43" s="2"/>
      <c r="C43" s="2"/>
      <c r="D43" s="30"/>
      <c r="E43" s="39"/>
    </row>
    <row r="44" spans="1:6" x14ac:dyDescent="0.6">
      <c r="A44" s="2" t="s">
        <v>19</v>
      </c>
      <c r="B44" s="2"/>
      <c r="C44" s="2"/>
      <c r="D44" s="30"/>
      <c r="E44" s="39"/>
    </row>
    <row r="45" spans="1:6" x14ac:dyDescent="0.6">
      <c r="A45" s="2" t="s">
        <v>37</v>
      </c>
      <c r="B45" s="2"/>
      <c r="C45" s="2"/>
      <c r="D45" s="30"/>
      <c r="E45" s="30"/>
      <c r="F45" s="30"/>
    </row>
    <row r="46" spans="1:6" x14ac:dyDescent="0.6">
      <c r="A46" s="2" t="s">
        <v>38</v>
      </c>
      <c r="B46" s="2"/>
      <c r="C46" s="2"/>
      <c r="D46" s="30"/>
      <c r="E46" s="74"/>
    </row>
    <row r="47" spans="1:6" x14ac:dyDescent="0.6">
      <c r="A47" s="4" t="s">
        <v>39</v>
      </c>
      <c r="B47" s="4"/>
      <c r="C47" s="4"/>
      <c r="D47" s="30"/>
      <c r="E47" s="74"/>
    </row>
    <row r="49" spans="1:1" x14ac:dyDescent="0.6">
      <c r="A49" t="s">
        <v>62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K47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5.375" customWidth="1"/>
    <col min="6" max="6" width="13.75" customWidth="1"/>
    <col min="7" max="7" width="14.625" customWidth="1"/>
    <col min="8" max="8" width="19" customWidth="1"/>
    <col min="9" max="9" width="13.875" customWidth="1"/>
    <col min="10" max="10" width="12.375" customWidth="1"/>
    <col min="11" max="11" width="12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56">
        <v>2023</v>
      </c>
      <c r="E3" s="4">
        <v>2022</v>
      </c>
      <c r="F3" s="4">
        <v>2021</v>
      </c>
      <c r="G3" s="4">
        <v>2020</v>
      </c>
      <c r="H3" s="4">
        <v>2019</v>
      </c>
      <c r="I3" s="4">
        <v>2018</v>
      </c>
      <c r="J3" s="4">
        <v>2017</v>
      </c>
      <c r="K3" s="4">
        <v>2016</v>
      </c>
    </row>
    <row r="4" spans="1:11" x14ac:dyDescent="0.6">
      <c r="A4" s="2" t="s">
        <v>0</v>
      </c>
      <c r="B4" s="32" t="s">
        <v>75</v>
      </c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B14" s="44"/>
      <c r="C14" s="44"/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44"/>
      <c r="C22" s="44"/>
      <c r="D22" s="44"/>
      <c r="E22" s="44"/>
      <c r="F22" s="44"/>
      <c r="G22" s="44"/>
      <c r="H22" s="44"/>
      <c r="I22" s="44"/>
    </row>
    <row r="23" spans="1:11" x14ac:dyDescent="0.6">
      <c r="A23" s="2" t="s">
        <v>25</v>
      </c>
      <c r="B23" s="87"/>
      <c r="C23" s="85"/>
      <c r="D23" s="85"/>
      <c r="E23" s="85"/>
      <c r="F23" s="85"/>
      <c r="G23" s="85"/>
      <c r="H23" s="85"/>
      <c r="I23" s="85"/>
      <c r="J23" s="85"/>
      <c r="K23" s="85"/>
    </row>
    <row r="24" spans="1:11" x14ac:dyDescent="0.6">
      <c r="A24" s="119"/>
      <c r="B24" s="14"/>
      <c r="C24" s="162"/>
      <c r="D24" s="162"/>
      <c r="E24" s="162"/>
      <c r="F24" s="162"/>
      <c r="G24" s="162"/>
      <c r="H24" s="162"/>
      <c r="I24" s="162"/>
      <c r="J24" s="162"/>
      <c r="K24" s="162"/>
    </row>
    <row r="25" spans="1:11" x14ac:dyDescent="0.6">
      <c r="A25" s="119" t="s">
        <v>70</v>
      </c>
      <c r="C25" s="162"/>
      <c r="D25" s="162"/>
      <c r="E25" s="162"/>
      <c r="F25" s="162"/>
      <c r="G25" s="162"/>
      <c r="H25" s="162"/>
      <c r="I25" s="162"/>
      <c r="J25" s="162"/>
      <c r="K25" s="162"/>
    </row>
    <row r="27" spans="1:11" x14ac:dyDescent="0.6">
      <c r="A27" s="2" t="s">
        <v>26</v>
      </c>
      <c r="B27" s="2"/>
      <c r="C27" s="2"/>
      <c r="D27" s="29"/>
      <c r="E27" s="29"/>
      <c r="F27" s="29"/>
      <c r="G27" s="29"/>
      <c r="H27" s="29"/>
      <c r="I27" s="29"/>
      <c r="J27" s="29"/>
    </row>
    <row r="28" spans="1:11" x14ac:dyDescent="0.6">
      <c r="A28" s="2" t="s">
        <v>27</v>
      </c>
      <c r="B28" s="2"/>
      <c r="C28" s="2"/>
      <c r="D28" s="29"/>
      <c r="E28" s="29"/>
      <c r="F28" s="29"/>
      <c r="G28" s="29"/>
      <c r="H28" s="29"/>
      <c r="I28" s="29"/>
      <c r="J28" s="29"/>
    </row>
    <row r="29" spans="1:11" x14ac:dyDescent="0.6">
      <c r="A29" s="2" t="s">
        <v>30</v>
      </c>
      <c r="B29" s="2"/>
      <c r="C29" s="2"/>
      <c r="D29" s="18"/>
      <c r="E29" s="29"/>
      <c r="F29" s="29"/>
      <c r="G29" s="29"/>
      <c r="H29" s="29"/>
      <c r="I29" s="29"/>
      <c r="J29" s="29"/>
    </row>
    <row r="30" spans="1:11" x14ac:dyDescent="0.6">
      <c r="A30" s="2" t="s">
        <v>71</v>
      </c>
      <c r="B30" s="3"/>
      <c r="C30" s="2"/>
      <c r="D30" s="18"/>
      <c r="E30" s="29"/>
      <c r="F30" s="29"/>
      <c r="G30" s="29"/>
      <c r="H30" s="29"/>
      <c r="I30" s="29"/>
      <c r="J30" s="29"/>
    </row>
    <row r="31" spans="1:11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</row>
    <row r="33" spans="1:7" x14ac:dyDescent="0.6">
      <c r="A33" s="2" t="s">
        <v>33</v>
      </c>
      <c r="B33" s="150"/>
      <c r="C33" s="30"/>
      <c r="D33" s="30"/>
      <c r="E33" s="39"/>
      <c r="F33" s="39"/>
      <c r="G33" s="39"/>
    </row>
    <row r="34" spans="1:7" x14ac:dyDescent="0.6">
      <c r="A34" s="2" t="s">
        <v>6</v>
      </c>
      <c r="B34" s="2"/>
      <c r="C34" s="2"/>
      <c r="D34" s="47"/>
      <c r="E34" s="47"/>
      <c r="F34" s="47"/>
      <c r="G34" s="39"/>
    </row>
    <row r="35" spans="1:7" x14ac:dyDescent="0.6">
      <c r="A35" s="2" t="s">
        <v>7</v>
      </c>
      <c r="B35" s="2"/>
      <c r="C35" s="2"/>
      <c r="D35" s="30"/>
      <c r="E35" s="30"/>
      <c r="F35" s="30"/>
      <c r="G35" s="39"/>
    </row>
    <row r="36" spans="1:7" x14ac:dyDescent="0.6">
      <c r="A36" s="2" t="s">
        <v>8</v>
      </c>
      <c r="B36" s="2"/>
      <c r="C36" s="2"/>
      <c r="D36" s="30"/>
      <c r="E36" s="30"/>
      <c r="F36" s="30"/>
      <c r="G36" s="39"/>
    </row>
    <row r="37" spans="1:7" x14ac:dyDescent="0.6">
      <c r="A37" s="2" t="s">
        <v>9</v>
      </c>
      <c r="B37" s="2"/>
      <c r="C37" s="2"/>
      <c r="D37" s="30"/>
      <c r="E37" s="30"/>
      <c r="F37" s="30"/>
      <c r="G37" s="39"/>
    </row>
    <row r="38" spans="1:7" x14ac:dyDescent="0.6">
      <c r="A38" s="2" t="s">
        <v>10</v>
      </c>
      <c r="B38" s="2"/>
      <c r="C38" s="2"/>
      <c r="D38" s="30"/>
      <c r="E38" s="33"/>
      <c r="F38" s="30"/>
      <c r="G38" s="39"/>
    </row>
    <row r="39" spans="1:7" x14ac:dyDescent="0.6">
      <c r="A39" s="2" t="s">
        <v>11</v>
      </c>
      <c r="B39" s="2"/>
      <c r="C39" s="2"/>
      <c r="D39" s="30"/>
      <c r="E39" s="30"/>
      <c r="F39" s="30"/>
      <c r="G39" s="34"/>
    </row>
    <row r="40" spans="1:7" x14ac:dyDescent="0.6">
      <c r="D40" s="1"/>
      <c r="E40" s="1"/>
      <c r="F40" s="1"/>
    </row>
    <row r="41" spans="1:7" x14ac:dyDescent="0.6">
      <c r="A41" s="2" t="s">
        <v>35</v>
      </c>
      <c r="B41" s="150"/>
      <c r="C41" s="30"/>
      <c r="D41" s="30"/>
      <c r="E41" s="39"/>
      <c r="F41" s="39"/>
      <c r="G41" s="39"/>
    </row>
    <row r="42" spans="1:7" x14ac:dyDescent="0.6">
      <c r="A42" s="2" t="s">
        <v>26</v>
      </c>
      <c r="B42" s="2"/>
      <c r="C42" s="2"/>
      <c r="D42" s="47"/>
      <c r="E42" s="39"/>
      <c r="F42" s="47"/>
      <c r="G42" s="39"/>
    </row>
    <row r="43" spans="1:7" x14ac:dyDescent="0.6">
      <c r="A43" s="2" t="s">
        <v>28</v>
      </c>
      <c r="B43" s="2"/>
      <c r="C43" s="2"/>
      <c r="D43" s="30"/>
      <c r="E43" s="33"/>
      <c r="F43" s="33"/>
      <c r="G43" s="39"/>
    </row>
    <row r="44" spans="1:7" x14ac:dyDescent="0.6">
      <c r="A44" s="2" t="s">
        <v>19</v>
      </c>
      <c r="B44" s="2"/>
      <c r="C44" s="2"/>
      <c r="D44" s="30"/>
      <c r="E44" s="30"/>
      <c r="F44" s="30"/>
      <c r="G44" s="39"/>
    </row>
    <row r="45" spans="1:7" x14ac:dyDescent="0.6">
      <c r="A45" s="2" t="s">
        <v>37</v>
      </c>
      <c r="B45" s="2"/>
      <c r="C45" s="2"/>
      <c r="D45" s="30"/>
      <c r="E45" s="30"/>
      <c r="F45" s="30"/>
      <c r="G45" s="39"/>
    </row>
    <row r="46" spans="1:7" x14ac:dyDescent="0.6">
      <c r="A46" s="2" t="s">
        <v>38</v>
      </c>
      <c r="B46" s="2"/>
      <c r="C46" s="2"/>
      <c r="D46" s="30"/>
      <c r="E46" s="30"/>
      <c r="F46" s="30"/>
      <c r="G46" s="34"/>
    </row>
    <row r="47" spans="1:7" x14ac:dyDescent="0.6">
      <c r="A47" s="4" t="s">
        <v>39</v>
      </c>
      <c r="B47" s="4"/>
      <c r="C47" s="4"/>
      <c r="D47" s="30"/>
      <c r="E47" s="30"/>
      <c r="F47" s="30"/>
      <c r="G47" s="3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Q47"/>
  <sheetViews>
    <sheetView zoomScale="70" zoomScaleNormal="70" workbookViewId="0">
      <selection activeCell="B35" sqref="B35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3.25" customWidth="1"/>
    <col min="6" max="6" width="15.75" customWidth="1"/>
    <col min="7" max="7" width="17.875" customWidth="1"/>
    <col min="8" max="8" width="16.5" customWidth="1"/>
    <col min="9" max="9" width="12.125" customWidth="1"/>
    <col min="10" max="11" width="10.875" bestFit="1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56">
        <v>2023</v>
      </c>
      <c r="E3" s="4">
        <v>2022</v>
      </c>
      <c r="F3" s="4">
        <v>2021</v>
      </c>
      <c r="G3" s="4">
        <v>2020</v>
      </c>
      <c r="H3" s="4">
        <v>2019</v>
      </c>
      <c r="I3" s="4">
        <v>2018</v>
      </c>
      <c r="J3" s="4">
        <v>2017</v>
      </c>
      <c r="K3" s="4">
        <v>2016</v>
      </c>
    </row>
    <row r="4" spans="1:11" x14ac:dyDescent="0.6">
      <c r="A4" s="2" t="s">
        <v>0</v>
      </c>
      <c r="B4" s="32" t="s">
        <v>75</v>
      </c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7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7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7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7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7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7" x14ac:dyDescent="0.6">
      <c r="B22" s="44"/>
      <c r="C22" s="44"/>
      <c r="D22" s="44"/>
      <c r="E22" s="44"/>
      <c r="F22" s="44"/>
      <c r="G22" s="44"/>
      <c r="H22" s="44"/>
      <c r="I22" s="44"/>
    </row>
    <row r="23" spans="1:17" x14ac:dyDescent="0.6">
      <c r="A23" s="2" t="s">
        <v>25</v>
      </c>
      <c r="B23" s="87"/>
      <c r="C23" s="85"/>
      <c r="D23" s="85"/>
      <c r="E23" s="85"/>
      <c r="F23" s="85"/>
      <c r="G23" s="85"/>
      <c r="H23" s="85"/>
      <c r="I23" s="85"/>
      <c r="J23" s="85"/>
      <c r="K23" s="85"/>
    </row>
    <row r="24" spans="1:17" x14ac:dyDescent="0.6">
      <c r="A24" s="119" t="s">
        <v>70</v>
      </c>
      <c r="C24" s="162"/>
      <c r="D24" s="162"/>
      <c r="E24" s="162"/>
      <c r="F24" s="162"/>
      <c r="G24" s="162"/>
      <c r="H24" s="162"/>
      <c r="I24" s="162"/>
      <c r="J24" s="162"/>
      <c r="K24" s="162"/>
      <c r="Q24">
        <f>38/22</f>
        <v>1.7272727272727273</v>
      </c>
    </row>
    <row r="27" spans="1:17" x14ac:dyDescent="0.6">
      <c r="A27" s="2" t="s">
        <v>26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7" x14ac:dyDescent="0.6">
      <c r="A28" s="2" t="s">
        <v>27</v>
      </c>
      <c r="B28" s="29"/>
      <c r="C28" s="29"/>
      <c r="D28" s="29"/>
      <c r="E28" s="29"/>
      <c r="F28" s="29"/>
      <c r="G28" s="29"/>
      <c r="H28" s="29"/>
      <c r="I28" s="29"/>
      <c r="J28" s="29"/>
    </row>
    <row r="29" spans="1:17" x14ac:dyDescent="0.6">
      <c r="A29" s="2" t="s">
        <v>30</v>
      </c>
      <c r="B29" s="18"/>
      <c r="C29" s="18"/>
      <c r="D29" s="18"/>
      <c r="E29" s="29"/>
      <c r="F29" s="29"/>
      <c r="G29" s="29"/>
      <c r="H29" s="29"/>
      <c r="I29" s="29"/>
      <c r="J29" s="29"/>
    </row>
    <row r="30" spans="1:17" x14ac:dyDescent="0.6">
      <c r="A30" s="2" t="s">
        <v>71</v>
      </c>
      <c r="B30" s="76"/>
      <c r="C30" s="18"/>
      <c r="D30" s="18"/>
      <c r="E30" s="29"/>
      <c r="F30" s="29"/>
      <c r="G30" s="29"/>
      <c r="H30" s="29"/>
      <c r="I30" s="29"/>
      <c r="J30" s="29"/>
    </row>
    <row r="31" spans="1:17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</row>
    <row r="33" spans="1:7" x14ac:dyDescent="0.6">
      <c r="A33" s="2" t="s">
        <v>33</v>
      </c>
      <c r="B33" s="30"/>
      <c r="C33" s="30"/>
      <c r="D33" s="30"/>
      <c r="E33" s="39"/>
      <c r="F33" s="39"/>
      <c r="G33" s="39"/>
    </row>
    <row r="34" spans="1:7" x14ac:dyDescent="0.6">
      <c r="A34" s="2" t="s">
        <v>6</v>
      </c>
      <c r="B34" s="47"/>
      <c r="C34" s="47"/>
      <c r="D34" s="47"/>
      <c r="E34" s="47"/>
      <c r="F34" s="47"/>
      <c r="G34" s="39"/>
    </row>
    <row r="35" spans="1:7" x14ac:dyDescent="0.6">
      <c r="A35" s="2" t="s">
        <v>7</v>
      </c>
      <c r="B35" s="30"/>
      <c r="C35" s="30"/>
      <c r="D35" s="30"/>
      <c r="E35" s="30"/>
      <c r="F35" s="30"/>
      <c r="G35" s="39"/>
    </row>
    <row r="36" spans="1:7" x14ac:dyDescent="0.6">
      <c r="A36" s="2" t="s">
        <v>8</v>
      </c>
      <c r="B36" s="30"/>
      <c r="C36" s="30"/>
      <c r="D36" s="30"/>
      <c r="E36" s="30"/>
      <c r="F36" s="30"/>
      <c r="G36" s="39"/>
    </row>
    <row r="37" spans="1:7" x14ac:dyDescent="0.6">
      <c r="A37" s="2" t="s">
        <v>9</v>
      </c>
      <c r="B37" s="30"/>
      <c r="C37" s="30"/>
      <c r="D37" s="30"/>
      <c r="E37" s="30"/>
      <c r="F37" s="30"/>
      <c r="G37" s="39"/>
    </row>
    <row r="38" spans="1:7" x14ac:dyDescent="0.6">
      <c r="A38" s="2" t="s">
        <v>10</v>
      </c>
      <c r="B38" s="30"/>
      <c r="C38" s="30"/>
      <c r="D38" s="30"/>
      <c r="E38" s="30"/>
      <c r="F38" s="30"/>
      <c r="G38" s="39"/>
    </row>
    <row r="39" spans="1:7" x14ac:dyDescent="0.6">
      <c r="A39" s="2" t="s">
        <v>11</v>
      </c>
      <c r="B39" s="30"/>
      <c r="C39" s="30"/>
      <c r="D39" s="30"/>
      <c r="E39" s="30"/>
      <c r="F39" s="30"/>
      <c r="G39" s="34"/>
    </row>
    <row r="40" spans="1:7" x14ac:dyDescent="0.6">
      <c r="B40" s="49"/>
      <c r="C40" s="49"/>
      <c r="D40" s="49"/>
      <c r="E40" s="49"/>
      <c r="F40" s="49"/>
    </row>
    <row r="41" spans="1:7" x14ac:dyDescent="0.6">
      <c r="A41" s="2" t="s">
        <v>35</v>
      </c>
      <c r="B41" s="30"/>
      <c r="C41" s="30"/>
      <c r="D41" s="30"/>
      <c r="E41" s="39"/>
      <c r="F41" s="39"/>
      <c r="G41" s="39"/>
    </row>
    <row r="42" spans="1:7" x14ac:dyDescent="0.6">
      <c r="A42" s="2" t="s">
        <v>26</v>
      </c>
      <c r="B42" s="47"/>
      <c r="C42" s="47"/>
      <c r="D42" s="47"/>
      <c r="E42" s="39"/>
      <c r="F42" s="47"/>
      <c r="G42" s="39"/>
    </row>
    <row r="43" spans="1:7" x14ac:dyDescent="0.6">
      <c r="A43" s="2" t="s">
        <v>28</v>
      </c>
      <c r="B43" s="30"/>
      <c r="C43" s="30"/>
      <c r="D43" s="30"/>
      <c r="E43" s="33"/>
      <c r="F43" s="33"/>
      <c r="G43" s="39"/>
    </row>
    <row r="44" spans="1:7" x14ac:dyDescent="0.6">
      <c r="A44" s="2" t="s">
        <v>19</v>
      </c>
      <c r="B44" s="30"/>
      <c r="C44" s="30"/>
      <c r="D44" s="30"/>
      <c r="E44" s="30"/>
      <c r="F44" s="30"/>
      <c r="G44" s="39"/>
    </row>
    <row r="45" spans="1:7" x14ac:dyDescent="0.6">
      <c r="A45" s="2" t="s">
        <v>37</v>
      </c>
      <c r="B45" s="30"/>
      <c r="C45" s="30"/>
      <c r="D45" s="30"/>
      <c r="E45" s="30"/>
      <c r="F45" s="30"/>
      <c r="G45" s="39"/>
    </row>
    <row r="46" spans="1:7" x14ac:dyDescent="0.6">
      <c r="A46" s="2" t="s">
        <v>38</v>
      </c>
      <c r="B46" s="30"/>
      <c r="C46" s="30"/>
      <c r="D46" s="30"/>
      <c r="E46" s="30"/>
      <c r="F46" s="30"/>
      <c r="G46" s="34"/>
    </row>
    <row r="47" spans="1:7" x14ac:dyDescent="0.6">
      <c r="A47" s="4" t="s">
        <v>39</v>
      </c>
      <c r="B47" s="30"/>
      <c r="C47" s="30"/>
      <c r="D47" s="30"/>
      <c r="E47" s="30"/>
      <c r="F47" s="30"/>
      <c r="G47" s="39"/>
    </row>
  </sheetData>
  <phoneticPr fontId="2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3:I24"/>
  <sheetViews>
    <sheetView workbookViewId="0">
      <selection activeCell="C15" sqref="C15"/>
    </sheetView>
  </sheetViews>
  <sheetFormatPr defaultRowHeight="16.899999999999999" x14ac:dyDescent="0.6"/>
  <cols>
    <col min="1" max="1" width="30.875" bestFit="1" customWidth="1"/>
    <col min="2" max="2" width="14.375" bestFit="1" customWidth="1"/>
    <col min="3" max="4" width="15" customWidth="1"/>
    <col min="5" max="9" width="10.875" bestFit="1" customWidth="1"/>
  </cols>
  <sheetData>
    <row r="3" spans="1:9" x14ac:dyDescent="0.6">
      <c r="B3" s="14" t="s">
        <v>68</v>
      </c>
      <c r="C3" s="14" t="s">
        <v>67</v>
      </c>
      <c r="D3" s="14" t="s">
        <v>61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</row>
    <row r="4" spans="1:9" x14ac:dyDescent="0.6">
      <c r="A4" s="2" t="s">
        <v>0</v>
      </c>
      <c r="B4" s="32">
        <f>강남!B4+수원!B4+광주전남!B4</f>
        <v>0</v>
      </c>
      <c r="C4" s="32">
        <f>강남!C4+수원!C4+대구!C4+청주!C4+광주전남!C4</f>
        <v>0</v>
      </c>
      <c r="D4" s="32">
        <f>강남!D4+수원!D4+대구!D4+청주!D4+광주전남!D4</f>
        <v>0</v>
      </c>
      <c r="E4" s="32">
        <f>강남!E4+수원!E4+대구!E4+청주!E4+광주전남!E4</f>
        <v>0</v>
      </c>
      <c r="F4" s="32">
        <f>강남!F4+수원!F4+대구!F4+청주!F4+광주전남!F4</f>
        <v>0</v>
      </c>
      <c r="G4" s="32">
        <f>강남!G4+수원!G4+대구!G4+청주!G4+광주전남!G4</f>
        <v>0</v>
      </c>
      <c r="H4" s="32">
        <f>강남!H4+수원!H4+대구!H4+청주!H4+광주전남!H4</f>
        <v>0</v>
      </c>
      <c r="I4" s="32">
        <f>강남!I4+수원!I4+대구!I4+청주!I4+광주전남!I4</f>
        <v>0</v>
      </c>
    </row>
    <row r="5" spans="1:9" x14ac:dyDescent="0.6">
      <c r="A5" s="2" t="s">
        <v>1</v>
      </c>
      <c r="B5" s="32">
        <f>강남!B5+수원!B5+광주전남!B5</f>
        <v>0</v>
      </c>
      <c r="C5" s="32">
        <f>강남!C5+수원!C5+대구!C5+청주!C5+광주전남!C5</f>
        <v>0</v>
      </c>
      <c r="D5" s="32">
        <f>강남!D5+수원!D5+대구!D5+청주!D5+광주전남!D5</f>
        <v>0</v>
      </c>
      <c r="E5" s="32">
        <f>강남!E5+수원!E5+대구!E5+청주!E5+광주전남!E5</f>
        <v>0</v>
      </c>
      <c r="F5" s="32">
        <f>강남!F5+수원!F5+대구!F5+청주!F5+광주전남!F5</f>
        <v>0</v>
      </c>
      <c r="G5" s="32">
        <f>강남!G5+수원!G5+대구!G5+청주!G5+광주전남!G5</f>
        <v>0</v>
      </c>
      <c r="H5" s="32">
        <f>강남!H5+수원!H5+대구!H5+청주!H5+광주전남!H5</f>
        <v>0</v>
      </c>
      <c r="I5" s="32">
        <f>강남!I5+수원!I5+대구!I5+청주!I5+광주전남!I5</f>
        <v>0</v>
      </c>
    </row>
    <row r="6" spans="1:9" x14ac:dyDescent="0.6">
      <c r="A6" s="2" t="s">
        <v>2</v>
      </c>
      <c r="B6" s="32">
        <f>강남!B6+수원!B6+광주전남!B6</f>
        <v>0</v>
      </c>
      <c r="C6" s="32">
        <f>강남!C6+수원!C6+대구!C6+청주!C6+광주전남!C6</f>
        <v>0</v>
      </c>
      <c r="D6" s="32">
        <f>강남!D6+수원!D6+대구!D6+청주!D6+광주전남!D6</f>
        <v>0</v>
      </c>
      <c r="E6" s="32">
        <f>강남!E6+수원!E6+대구!E6+청주!E6+광주전남!E6</f>
        <v>0</v>
      </c>
      <c r="F6" s="32">
        <f>강남!F6+수원!F6+대구!F6+청주!F6+광주전남!F6</f>
        <v>0</v>
      </c>
      <c r="G6" s="32">
        <f>강남!G6+수원!G6+대구!G6+청주!G6+광주전남!G6</f>
        <v>0</v>
      </c>
      <c r="H6" s="32">
        <f>강남!H6+수원!H6+대구!H6+청주!H6+광주전남!H6</f>
        <v>0</v>
      </c>
      <c r="I6" s="32">
        <f>강남!I6+수원!I6+대구!I6+청주!I6+광주전남!I6</f>
        <v>0</v>
      </c>
    </row>
    <row r="7" spans="1:9" x14ac:dyDescent="0.6">
      <c r="A7" s="2" t="s">
        <v>3</v>
      </c>
      <c r="B7" s="32">
        <f>강남!B7+수원!B7+광주전남!B7</f>
        <v>0</v>
      </c>
      <c r="C7" s="32">
        <f>강남!C7+수원!C7+대구!C7+청주!C7+광주전남!C7</f>
        <v>0</v>
      </c>
      <c r="D7" s="32">
        <f>강남!D7+수원!D7+대구!D7+청주!D7+광주전남!D7</f>
        <v>0</v>
      </c>
      <c r="E7" s="32">
        <f>강남!E7+수원!E7+대구!E7+청주!E7+광주전남!E7</f>
        <v>0</v>
      </c>
      <c r="F7" s="32">
        <f>강남!F7+수원!F7+대구!F7+청주!F7+광주전남!F7</f>
        <v>0</v>
      </c>
      <c r="G7" s="32">
        <f>강남!G7+수원!G7+대구!G7+청주!G7+광주전남!G7</f>
        <v>0</v>
      </c>
      <c r="H7" s="32">
        <f>강남!H7+수원!H7+대구!H7+청주!H7+광주전남!H7</f>
        <v>0</v>
      </c>
      <c r="I7" s="32">
        <f>강남!I7+수원!I7+대구!I7+청주!I7+광주전남!I7</f>
        <v>0</v>
      </c>
    </row>
    <row r="8" spans="1:9" x14ac:dyDescent="0.6">
      <c r="A8" s="2" t="s">
        <v>18</v>
      </c>
      <c r="B8" s="32">
        <f>강남!B8+수원!B8+광주전남!B8</f>
        <v>0</v>
      </c>
      <c r="C8" s="32">
        <f>강남!C8+수원!C8+대구!C8+청주!C8+광주전남!C8</f>
        <v>0</v>
      </c>
      <c r="D8" s="32">
        <f>강남!D8+수원!D8+대구!D8+청주!D8+광주전남!D8</f>
        <v>0</v>
      </c>
      <c r="E8" s="32">
        <f>강남!E8+수원!E8+대구!E8+청주!E8+광주전남!E8</f>
        <v>0</v>
      </c>
      <c r="F8" s="32">
        <f>강남!F8+수원!F8+대구!F8+청주!F8+광주전남!F8</f>
        <v>0</v>
      </c>
      <c r="G8" s="32">
        <f>강남!G8+수원!G8+대구!G8+청주!G8+광주전남!G8</f>
        <v>0</v>
      </c>
      <c r="H8" s="32">
        <f>강남!H8+수원!H8+대구!H8+청주!H8+광주전남!H8</f>
        <v>0</v>
      </c>
      <c r="I8" s="32">
        <f>강남!I8+수원!I8+대구!I8+청주!I8+광주전남!I8</f>
        <v>0</v>
      </c>
    </row>
    <row r="9" spans="1:9" x14ac:dyDescent="0.6">
      <c r="A9" s="2" t="s">
        <v>19</v>
      </c>
      <c r="B9" s="32">
        <f>강남!B9+수원!B9+광주전남!B9</f>
        <v>0</v>
      </c>
      <c r="C9" s="32">
        <f>강남!C9+수원!C9+대구!C9+청주!C9+광주전남!C9</f>
        <v>0</v>
      </c>
      <c r="D9" s="32">
        <f>강남!D10+수원!D9+대구!D9+청주!D9+광주전남!D9</f>
        <v>0</v>
      </c>
      <c r="E9" s="32">
        <f>강남!E9+수원!E9+대구!E9+청주!E9+광주전남!E9</f>
        <v>0</v>
      </c>
      <c r="F9" s="32">
        <f>강남!F9+수원!F9+대구!F9+청주!F9+광주전남!F9</f>
        <v>0</v>
      </c>
      <c r="G9" s="32">
        <f>강남!G9+수원!G9+대구!G9+청주!G9+광주전남!G9</f>
        <v>0</v>
      </c>
      <c r="H9" s="32">
        <f>강남!H9+수원!H9+대구!H9+청주!H9+광주전남!H9</f>
        <v>0</v>
      </c>
      <c r="I9" s="32">
        <f>강남!I9+수원!I9+대구!I9+청주!I9+광주전남!I9</f>
        <v>0</v>
      </c>
    </row>
    <row r="10" spans="1:9" x14ac:dyDescent="0.6">
      <c r="A10" s="2" t="s">
        <v>17</v>
      </c>
      <c r="B10" s="32">
        <f>강남!B10+수원!B10+광주전남!B10</f>
        <v>0</v>
      </c>
      <c r="C10" s="32">
        <f>강남!C10+수원!C10+대구!C10+청주!C10+광주전남!C10</f>
        <v>0</v>
      </c>
      <c r="D10" s="32">
        <f>강남!D11+수원!D10+대구!D10+청주!D10+광주전남!D10</f>
        <v>0</v>
      </c>
      <c r="E10" s="32">
        <f>강남!E10+수원!E10+대구!E10+청주!E10+광주전남!E10</f>
        <v>0</v>
      </c>
      <c r="F10" s="32">
        <f>강남!F10+수원!F10+대구!F10+청주!F10+광주전남!F10</f>
        <v>0</v>
      </c>
      <c r="G10" s="32">
        <f>강남!G10+수원!G10+대구!G10+청주!G10+광주전남!G10</f>
        <v>0</v>
      </c>
      <c r="H10" s="32">
        <f>강남!H10+수원!H10+대구!H10+청주!H10+광주전남!H10</f>
        <v>0</v>
      </c>
      <c r="I10" s="32">
        <f>강남!I10+수원!I10+대구!I10+청주!I10+광주전남!I10</f>
        <v>0</v>
      </c>
    </row>
    <row r="11" spans="1:9" x14ac:dyDescent="0.6">
      <c r="A11" s="2" t="s">
        <v>4</v>
      </c>
      <c r="B11" s="32">
        <f>강남!B11+수원!B11+광주전남!B11</f>
        <v>0</v>
      </c>
      <c r="C11" s="32">
        <f>강남!C11+수원!C11+대구!C11+청주!C11+광주전남!C11</f>
        <v>0</v>
      </c>
      <c r="D11" s="32">
        <f>강남!D11+수원!D11+대구!D11+청주!D11+광주전남!D11</f>
        <v>0</v>
      </c>
      <c r="E11" s="32">
        <f>강남!E11+수원!E11+대구!E11+청주!E11+광주전남!E11</f>
        <v>0</v>
      </c>
      <c r="F11" s="32">
        <f>강남!F11+수원!F11+대구!F11+청주!F11+광주전남!F11</f>
        <v>0</v>
      </c>
      <c r="G11" s="32">
        <f>강남!G11+수원!G11+대구!G11+청주!G11+광주전남!G11</f>
        <v>0</v>
      </c>
      <c r="H11" s="32">
        <f>강남!H11+수원!H11+대구!H11+청주!H11+광주전남!H11</f>
        <v>0</v>
      </c>
      <c r="I11" s="32">
        <f>강남!I11+수원!I11+대구!I11+청주!I11+광주전남!I11</f>
        <v>0</v>
      </c>
    </row>
    <row r="12" spans="1:9" x14ac:dyDescent="0.6">
      <c r="A12" s="2" t="s">
        <v>69</v>
      </c>
      <c r="B12" s="32">
        <f>강남!B12+수원!B12+광주전남!B12</f>
        <v>0</v>
      </c>
      <c r="C12" s="32">
        <f>강남!C13+수원!C13+대구!C13+청주!C13+광주전남!C13</f>
        <v>0</v>
      </c>
      <c r="D12" s="32">
        <f>강남!D13+수원!D13+대구!D13+청주!D13+광주전남!D13</f>
        <v>0</v>
      </c>
      <c r="E12" s="32">
        <f>강남!E13+수원!E13+대구!E13+청주!E13+광주전남!E13</f>
        <v>0</v>
      </c>
      <c r="F12" s="32">
        <f>강남!F13+수원!F13+대구!F13+청주!F13+광주전남!F13</f>
        <v>0</v>
      </c>
      <c r="G12" s="32">
        <f>강남!G13+수원!G13+대구!G13+청주!G13+광주전남!G13</f>
        <v>0</v>
      </c>
      <c r="H12" s="32">
        <f>강남!H13+수원!H13+대구!H13+청주!H13+광주전남!H13</f>
        <v>0</v>
      </c>
      <c r="I12" s="32">
        <f>강남!I13+수원!I13+대구!I13+청주!I13+광주전남!I13</f>
        <v>0</v>
      </c>
    </row>
    <row r="13" spans="1:9" x14ac:dyDescent="0.6">
      <c r="A13" s="2" t="s">
        <v>5</v>
      </c>
      <c r="B13" s="32">
        <f>강남!B13+수원!B13+광주전남!B13</f>
        <v>0</v>
      </c>
      <c r="C13" s="32">
        <f>강남!C13+수원!C13+대구!C13+청주!C13+광주전남!C13</f>
        <v>0</v>
      </c>
      <c r="D13" s="32">
        <f>강남!D13+수원!D13+대구!D13+청주!D13+광주전남!D13</f>
        <v>0</v>
      </c>
      <c r="E13" s="32">
        <f>강남!E13+수원!E13+대구!E13+청주!E13+광주전남!E13</f>
        <v>0</v>
      </c>
      <c r="F13" s="32">
        <f>강남!F13+수원!F13+대구!F13+청주!F13+광주전남!F13</f>
        <v>0</v>
      </c>
      <c r="G13" s="32">
        <f>강남!G13+수원!G13+대구!G13+청주!G13+광주전남!G13</f>
        <v>0</v>
      </c>
      <c r="H13" s="32">
        <f>강남!H13+수원!H13+대구!H13+청주!H13+광주전남!H13</f>
        <v>0</v>
      </c>
      <c r="I13" s="32">
        <f>강남!I13+수원!I13+대구!I13+청주!I13+광주전남!I13</f>
        <v>0</v>
      </c>
    </row>
    <row r="14" spans="1:9" x14ac:dyDescent="0.6">
      <c r="A14" s="2"/>
      <c r="B14" s="32"/>
      <c r="C14" s="32">
        <f>강남!C14+수원!C14+대구!C14+청주!C14+광주전남!C14</f>
        <v>0</v>
      </c>
      <c r="D14" s="2"/>
      <c r="E14" s="2"/>
      <c r="F14" s="2"/>
      <c r="G14" s="2"/>
      <c r="H14" s="2"/>
      <c r="I14" s="2"/>
    </row>
    <row r="15" spans="1:9" x14ac:dyDescent="0.6">
      <c r="A15" s="2" t="s">
        <v>6</v>
      </c>
      <c r="B15" s="32">
        <f>강남!B15+수원!B15+광주전남!B15</f>
        <v>0</v>
      </c>
      <c r="C15" s="32">
        <f>강남!C15+수원!C15+대구!C15+청주!C15+광주전남!C15</f>
        <v>0</v>
      </c>
      <c r="D15" s="32">
        <f>강남!D15+수원!D15+대구!D15+청주!D15+광주전남!D15</f>
        <v>0</v>
      </c>
      <c r="E15" s="32">
        <f>강남!E15+수원!E15+대구!E15+청주!E15+광주전남!E15</f>
        <v>0</v>
      </c>
      <c r="F15" s="32">
        <f>강남!F15+수원!F15+대구!F15+청주!F15+광주전남!F15</f>
        <v>0</v>
      </c>
      <c r="G15" s="32">
        <f>강남!G15+수원!G15+대구!G15+청주!G15+광주전남!G15</f>
        <v>0</v>
      </c>
      <c r="H15" s="32">
        <f>강남!H15+수원!H15+대구!H15+청주!H15+광주전남!H15</f>
        <v>0</v>
      </c>
      <c r="I15" s="32">
        <f>강남!I15+수원!I15+대구!I15+청주!I15+광주전남!I15</f>
        <v>0</v>
      </c>
    </row>
    <row r="16" spans="1:9" x14ac:dyDescent="0.6">
      <c r="A16" s="2" t="s">
        <v>7</v>
      </c>
      <c r="B16" s="32">
        <f>강남!B16+수원!B16+광주전남!B16</f>
        <v>0</v>
      </c>
      <c r="C16" s="32">
        <f>강남!C16+수원!C16+대구!C16+청주!C16+광주전남!C16</f>
        <v>0</v>
      </c>
      <c r="D16" s="32">
        <f>강남!D16+수원!D16+대구!D16+청주!D16+광주전남!D16</f>
        <v>0</v>
      </c>
      <c r="E16" s="32">
        <f>강남!E16+수원!E16+대구!E16+청주!E16+광주전남!E16</f>
        <v>0</v>
      </c>
      <c r="F16" s="32">
        <f>강남!F16+수원!F16+대구!F16+청주!F16+광주전남!F16</f>
        <v>0</v>
      </c>
      <c r="G16" s="32">
        <f>강남!G16+수원!G16+대구!G16+청주!G16+광주전남!G16</f>
        <v>0</v>
      </c>
      <c r="H16" s="32">
        <f>강남!H16+수원!H16+대구!H16+청주!H16+광주전남!H16</f>
        <v>0</v>
      </c>
      <c r="I16" s="32">
        <f>강남!I16+수원!I16+대구!I16+청주!I16+광주전남!I16</f>
        <v>0</v>
      </c>
    </row>
    <row r="17" spans="1:9" x14ac:dyDescent="0.6">
      <c r="A17" s="2" t="s">
        <v>8</v>
      </c>
      <c r="B17" s="32">
        <f>강남!B17+수원!B17+광주전남!B17</f>
        <v>0</v>
      </c>
      <c r="C17" s="32">
        <f>강남!C17+수원!C17+대구!C17+청주!C17+광주전남!C17</f>
        <v>0</v>
      </c>
      <c r="D17" s="32">
        <f>강남!D17+수원!D17+대구!D17+청주!D17+광주전남!D17</f>
        <v>0</v>
      </c>
      <c r="E17" s="32">
        <f>강남!E17+수원!E17+대구!E17+청주!E17+광주전남!E17</f>
        <v>0</v>
      </c>
      <c r="F17" s="32">
        <f>강남!F17+수원!F17+대구!F17+청주!F17+광주전남!F17</f>
        <v>0</v>
      </c>
      <c r="G17" s="32">
        <f>강남!G17+수원!G17+대구!G17+청주!G17+광주전남!G17</f>
        <v>0</v>
      </c>
      <c r="H17" s="32">
        <f>강남!H17+수원!H17+대구!H17+청주!H17+광주전남!H17</f>
        <v>0</v>
      </c>
      <c r="I17" s="32">
        <f>강남!I17+수원!I17+대구!I17+청주!I17+광주전남!I17</f>
        <v>0</v>
      </c>
    </row>
    <row r="18" spans="1:9" x14ac:dyDescent="0.6">
      <c r="A18" s="2" t="s">
        <v>9</v>
      </c>
      <c r="B18" s="32">
        <f>강남!B18+수원!B18+광주전남!B18</f>
        <v>0</v>
      </c>
      <c r="C18" s="32">
        <f>강남!C18+수원!C18+대구!C18+청주!C18+광주전남!C18</f>
        <v>0</v>
      </c>
      <c r="D18" s="32">
        <f>강남!D18+수원!D18+대구!D18+청주!D18+광주전남!D18</f>
        <v>0</v>
      </c>
      <c r="E18" s="32">
        <f>강남!E18+수원!E18+대구!E18+청주!E18+광주전남!E18</f>
        <v>0</v>
      </c>
      <c r="F18" s="32">
        <f>강남!F18+수원!F18+대구!F18+청주!F18+광주전남!F18</f>
        <v>0</v>
      </c>
      <c r="G18" s="32">
        <f>강남!G18+수원!G18+대구!G18+청주!G18+광주전남!G18</f>
        <v>0</v>
      </c>
      <c r="H18" s="32">
        <f>강남!H18+수원!H18+대구!H18+청주!H18+광주전남!H18</f>
        <v>0</v>
      </c>
      <c r="I18" s="32">
        <f>강남!I18+수원!I18+대구!I18+청주!I18+광주전남!I18</f>
        <v>0</v>
      </c>
    </row>
    <row r="19" spans="1:9" x14ac:dyDescent="0.6">
      <c r="A19" s="2" t="s">
        <v>10</v>
      </c>
      <c r="B19" s="32">
        <f>강남!B19+수원!B19+광주전남!B19</f>
        <v>0</v>
      </c>
      <c r="C19" s="32">
        <f>강남!C19+수원!C19+대구!C19+청주!C19+광주전남!C19</f>
        <v>0</v>
      </c>
      <c r="D19" s="32">
        <f>강남!D19+수원!D19+대구!D19+청주!D19+광주전남!D19</f>
        <v>0</v>
      </c>
      <c r="E19" s="32">
        <f>강남!E19+수원!E19+대구!E19+청주!E19+광주전남!E19</f>
        <v>0</v>
      </c>
      <c r="F19" s="32">
        <f>강남!F19+수원!F19+대구!F19+청주!F19+광주전남!F19</f>
        <v>0</v>
      </c>
      <c r="G19" s="32">
        <f>강남!G19+수원!G19+대구!G19+청주!G19+광주전남!G19</f>
        <v>0</v>
      </c>
      <c r="H19" s="32">
        <f>강남!H19+수원!H19+대구!H19+청주!H19+광주전남!H19</f>
        <v>0</v>
      </c>
      <c r="I19" s="32">
        <f>강남!I19+수원!I19+대구!I19+청주!I19+광주전남!I19</f>
        <v>0</v>
      </c>
    </row>
    <row r="20" spans="1:9" x14ac:dyDescent="0.6">
      <c r="A20" s="2" t="s">
        <v>11</v>
      </c>
      <c r="B20" s="32">
        <f>강남!B20+수원!B20+광주전남!B20</f>
        <v>0</v>
      </c>
      <c r="C20" s="32">
        <f>강남!C20+수원!C20+대구!C20+청주!C20+광주전남!C20</f>
        <v>0</v>
      </c>
      <c r="D20" s="32">
        <f>강남!D20+수원!D20+대구!D20+청주!D20+광주전남!D20</f>
        <v>0</v>
      </c>
      <c r="E20" s="32">
        <f>강남!E20+수원!E20+대구!E20+청주!E20+광주전남!E20</f>
        <v>0</v>
      </c>
      <c r="F20" s="32">
        <f>강남!F20+수원!F20+대구!F20+청주!F20+광주전남!F20</f>
        <v>0</v>
      </c>
      <c r="G20" s="32">
        <f>강남!G20+수원!G20+대구!G20+청주!G20+광주전남!G20</f>
        <v>0</v>
      </c>
      <c r="H20" s="32">
        <f>강남!H20+수원!H20+대구!H20+청주!H20+광주전남!H20</f>
        <v>0</v>
      </c>
      <c r="I20" s="32">
        <f>강남!I20+수원!I20+대구!I20+청주!I20+광주전남!I20</f>
        <v>0</v>
      </c>
    </row>
    <row r="21" spans="1:9" x14ac:dyDescent="0.6">
      <c r="A21" s="2" t="s">
        <v>12</v>
      </c>
      <c r="B21" s="32">
        <f>강남!B21+수원!B21+광주전남!B21</f>
        <v>0</v>
      </c>
      <c r="C21" s="32">
        <f>강남!C21+수원!C21+대구!C21+청주!C21+광주전남!C21</f>
        <v>0</v>
      </c>
      <c r="D21" s="32">
        <f>강남!D21+수원!D21+대구!D21+청주!D21+광주전남!D21</f>
        <v>0</v>
      </c>
      <c r="E21" s="32">
        <f>강남!E21+수원!E21+대구!E21+청주!E21+광주전남!E21</f>
        <v>0</v>
      </c>
      <c r="F21" s="32">
        <f>강남!F21+수원!F21+대구!F21+청주!F21+광주전남!F21</f>
        <v>0</v>
      </c>
      <c r="G21" s="32">
        <f>강남!G21+수원!G21+대구!G21+청주!G21+광주전남!G21</f>
        <v>0</v>
      </c>
      <c r="H21" s="32">
        <f>강남!H21+수원!H21+대구!H21+청주!H21+광주전남!H21</f>
        <v>0</v>
      </c>
      <c r="I21" s="32">
        <f>강남!I21+수원!I21+대구!I21+청주!I21+광주전남!I21</f>
        <v>0</v>
      </c>
    </row>
    <row r="24" spans="1:9" x14ac:dyDescent="0.6">
      <c r="B24" t="s">
        <v>73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</sheetPr>
  <dimension ref="A2:K49"/>
  <sheetViews>
    <sheetView zoomScale="85" zoomScaleNormal="85" workbookViewId="0">
      <selection activeCell="B4" sqref="B4:K47"/>
    </sheetView>
  </sheetViews>
  <sheetFormatPr defaultRowHeight="16.899999999999999" x14ac:dyDescent="0.6"/>
  <cols>
    <col min="1" max="1" width="30.5" bestFit="1" customWidth="1"/>
    <col min="2" max="3" width="30.5" customWidth="1"/>
    <col min="4" max="4" width="30.5" style="69" customWidth="1"/>
    <col min="5" max="5" width="15.875" customWidth="1"/>
    <col min="6" max="6" width="21.125" customWidth="1"/>
    <col min="7" max="7" width="22" customWidth="1"/>
    <col min="8" max="8" width="21.625" customWidth="1"/>
    <col min="9" max="9" width="20.75" customWidth="1"/>
    <col min="10" max="10" width="16" customWidth="1"/>
    <col min="11" max="11" width="11.75" customWidth="1"/>
  </cols>
  <sheetData>
    <row r="2" spans="1:11" x14ac:dyDescent="0.6">
      <c r="K2" s="8" t="s">
        <v>13</v>
      </c>
    </row>
    <row r="3" spans="1:11" x14ac:dyDescent="0.6">
      <c r="A3" s="2"/>
      <c r="B3" s="70">
        <v>2025</v>
      </c>
      <c r="C3" s="70">
        <v>2024</v>
      </c>
      <c r="D3" s="70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1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44"/>
      <c r="C9" s="44"/>
      <c r="D9" s="44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B14" s="69"/>
      <c r="C14" s="69"/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44"/>
      <c r="C22" s="44"/>
      <c r="D22" s="44"/>
      <c r="E22" s="44"/>
      <c r="F22" s="44"/>
      <c r="G22" s="44"/>
      <c r="H22" s="44"/>
      <c r="I22" s="44"/>
    </row>
    <row r="23" spans="1:11" x14ac:dyDescent="0.6">
      <c r="A23" s="10" t="s">
        <v>23</v>
      </c>
      <c r="B23" s="77"/>
      <c r="C23" s="77"/>
      <c r="D23" s="77"/>
      <c r="E23" s="15"/>
      <c r="F23" s="15"/>
      <c r="G23" s="15"/>
      <c r="H23" s="15"/>
      <c r="I23" s="15"/>
      <c r="J23" s="15"/>
      <c r="K23" s="15"/>
    </row>
    <row r="24" spans="1:11" x14ac:dyDescent="0.6">
      <c r="A24" s="10" t="s">
        <v>24</v>
      </c>
      <c r="B24" s="77"/>
      <c r="C24" s="77"/>
      <c r="D24" s="77"/>
      <c r="E24" s="15"/>
      <c r="F24" s="15"/>
      <c r="G24" s="15"/>
      <c r="H24" s="15"/>
      <c r="I24" s="15"/>
      <c r="J24" s="15"/>
      <c r="K24" s="15"/>
    </row>
    <row r="25" spans="1:11" x14ac:dyDescent="0.6">
      <c r="B25" s="69"/>
      <c r="C25" s="69"/>
    </row>
    <row r="26" spans="1:11" x14ac:dyDescent="0.6">
      <c r="B26" s="1"/>
      <c r="C26" s="1"/>
      <c r="D26" s="1"/>
    </row>
    <row r="27" spans="1:11" x14ac:dyDescent="0.6">
      <c r="A27" s="2" t="s">
        <v>26</v>
      </c>
      <c r="B27" s="3"/>
      <c r="C27" s="3"/>
      <c r="D27" s="3"/>
      <c r="E27" s="29"/>
      <c r="F27" s="29"/>
      <c r="G27" s="29"/>
      <c r="H27" s="29"/>
      <c r="I27" s="29"/>
      <c r="J27" s="29"/>
      <c r="K27" s="29"/>
    </row>
    <row r="28" spans="1:11" x14ac:dyDescent="0.6">
      <c r="A28" s="2" t="s">
        <v>27</v>
      </c>
      <c r="B28" s="3"/>
      <c r="C28" s="3"/>
      <c r="D28" s="3"/>
      <c r="E28" s="29"/>
      <c r="F28" s="29"/>
      <c r="G28" s="29"/>
      <c r="H28" s="29"/>
      <c r="I28" s="29"/>
      <c r="J28" s="29"/>
      <c r="K28" s="29"/>
    </row>
    <row r="29" spans="1:11" x14ac:dyDescent="0.6">
      <c r="A29" s="2" t="s">
        <v>30</v>
      </c>
      <c r="B29" s="3"/>
      <c r="C29" s="3"/>
      <c r="D29" s="3"/>
      <c r="E29" s="18"/>
      <c r="F29" s="29"/>
      <c r="G29" s="29"/>
      <c r="H29" s="29"/>
      <c r="I29" s="29"/>
      <c r="J29" s="29"/>
      <c r="K29" s="29"/>
    </row>
    <row r="30" spans="1:11" x14ac:dyDescent="0.6">
      <c r="A30" s="2" t="s">
        <v>71</v>
      </c>
      <c r="B30" s="3"/>
      <c r="C30" s="3"/>
      <c r="D30" s="3"/>
      <c r="E30" s="18"/>
      <c r="F30" s="29"/>
      <c r="G30" s="29"/>
      <c r="H30" s="29"/>
      <c r="I30" s="29"/>
      <c r="J30" s="29"/>
      <c r="K30" s="29"/>
    </row>
    <row r="31" spans="1:11" x14ac:dyDescent="0.6">
      <c r="A31" s="2" t="s">
        <v>28</v>
      </c>
      <c r="B31" s="3"/>
      <c r="C31" s="3"/>
      <c r="D31" s="3"/>
      <c r="E31" s="29"/>
      <c r="F31" s="29"/>
      <c r="G31" s="29"/>
      <c r="H31" s="29"/>
      <c r="I31" s="29"/>
      <c r="J31" s="29"/>
      <c r="K31" s="29"/>
    </row>
    <row r="32" spans="1:11" x14ac:dyDescent="0.6">
      <c r="B32" s="69"/>
      <c r="C32" s="69"/>
    </row>
    <row r="33" spans="1:9" x14ac:dyDescent="0.6">
      <c r="A33" s="2" t="s">
        <v>33</v>
      </c>
      <c r="B33" s="30"/>
      <c r="C33" s="30"/>
      <c r="D33" s="30"/>
      <c r="E33" s="39"/>
      <c r="F33" s="39"/>
      <c r="H33" s="43"/>
      <c r="I33" s="43"/>
    </row>
    <row r="34" spans="1:9" ht="16.5" customHeight="1" x14ac:dyDescent="0.6">
      <c r="A34" s="2" t="s">
        <v>6</v>
      </c>
      <c r="B34" s="45"/>
      <c r="C34" s="45"/>
      <c r="D34" s="45"/>
      <c r="E34" s="45"/>
      <c r="F34" s="39"/>
      <c r="H34" s="43"/>
      <c r="I34" s="43"/>
    </row>
    <row r="35" spans="1:9" x14ac:dyDescent="0.6">
      <c r="A35" s="2" t="s">
        <v>7</v>
      </c>
      <c r="B35" s="46"/>
      <c r="C35" s="46"/>
      <c r="D35" s="46"/>
      <c r="E35" s="33"/>
      <c r="F35" s="39"/>
      <c r="H35" s="43"/>
      <c r="I35" s="43"/>
    </row>
    <row r="36" spans="1:9" x14ac:dyDescent="0.6">
      <c r="A36" s="2" t="s">
        <v>8</v>
      </c>
      <c r="B36" s="46"/>
      <c r="C36" s="46"/>
      <c r="D36" s="46"/>
      <c r="E36" s="46"/>
      <c r="F36" s="39"/>
      <c r="H36" s="43"/>
      <c r="I36" s="43"/>
    </row>
    <row r="37" spans="1:9" x14ac:dyDescent="0.6">
      <c r="A37" s="2" t="s">
        <v>9</v>
      </c>
      <c r="B37" s="46"/>
      <c r="C37" s="46"/>
      <c r="D37" s="46"/>
      <c r="E37" s="46"/>
      <c r="F37" s="39"/>
      <c r="H37" s="43"/>
      <c r="I37" s="43"/>
    </row>
    <row r="38" spans="1:9" x14ac:dyDescent="0.6">
      <c r="A38" s="2" t="s">
        <v>10</v>
      </c>
      <c r="B38" s="45"/>
      <c r="C38" s="45"/>
      <c r="D38" s="45"/>
      <c r="E38" s="45"/>
      <c r="F38" s="39"/>
      <c r="H38" s="43"/>
      <c r="I38" s="43"/>
    </row>
    <row r="39" spans="1:9" x14ac:dyDescent="0.6">
      <c r="A39" s="2" t="s">
        <v>11</v>
      </c>
      <c r="B39" s="46"/>
      <c r="C39" s="46"/>
      <c r="D39" s="46"/>
      <c r="E39" s="46"/>
      <c r="F39" s="34"/>
      <c r="H39" s="43"/>
      <c r="I39" s="43"/>
    </row>
    <row r="40" spans="1:9" x14ac:dyDescent="0.6">
      <c r="B40" s="1"/>
      <c r="C40" s="1"/>
      <c r="D40" s="1"/>
      <c r="E40" s="1"/>
      <c r="H40" s="43"/>
      <c r="I40" s="43"/>
    </row>
    <row r="41" spans="1:9" x14ac:dyDescent="0.6">
      <c r="A41" s="2" t="s">
        <v>35</v>
      </c>
      <c r="B41" s="30"/>
      <c r="C41" s="30"/>
      <c r="D41" s="30"/>
      <c r="E41" s="39"/>
      <c r="F41" s="39"/>
      <c r="H41" s="43"/>
      <c r="I41" s="43"/>
    </row>
    <row r="42" spans="1:9" x14ac:dyDescent="0.6">
      <c r="A42" s="2" t="s">
        <v>26</v>
      </c>
      <c r="B42" s="45"/>
      <c r="C42" s="45"/>
      <c r="D42" s="45"/>
      <c r="E42" s="2"/>
      <c r="F42" s="39"/>
      <c r="H42" s="43"/>
      <c r="I42" s="43"/>
    </row>
    <row r="43" spans="1:9" x14ac:dyDescent="0.6">
      <c r="A43" s="2" t="s">
        <v>28</v>
      </c>
      <c r="B43" s="46"/>
      <c r="C43" s="46"/>
      <c r="D43" s="46"/>
      <c r="E43" s="30"/>
      <c r="F43" s="39"/>
      <c r="H43" s="43"/>
      <c r="I43" s="43"/>
    </row>
    <row r="44" spans="1:9" x14ac:dyDescent="0.6">
      <c r="A44" s="2" t="s">
        <v>19</v>
      </c>
      <c r="B44" s="46"/>
      <c r="C44" s="46"/>
      <c r="D44" s="46"/>
      <c r="E44" s="30"/>
      <c r="F44" s="39"/>
      <c r="H44" s="43"/>
      <c r="I44" s="43"/>
    </row>
    <row r="45" spans="1:9" x14ac:dyDescent="0.6">
      <c r="A45" s="2" t="s">
        <v>37</v>
      </c>
      <c r="B45" s="46"/>
      <c r="C45" s="46"/>
      <c r="D45" s="46"/>
      <c r="E45" s="46"/>
      <c r="F45" s="39"/>
      <c r="H45" s="43"/>
      <c r="I45" s="43"/>
    </row>
    <row r="46" spans="1:9" x14ac:dyDescent="0.6">
      <c r="A46" s="2" t="s">
        <v>38</v>
      </c>
      <c r="B46" s="46"/>
      <c r="C46" s="46"/>
      <c r="D46" s="46"/>
      <c r="E46" s="46"/>
      <c r="F46" s="34"/>
      <c r="H46" s="43"/>
      <c r="I46" s="43"/>
    </row>
    <row r="47" spans="1:9" x14ac:dyDescent="0.6">
      <c r="A47" s="4" t="s">
        <v>39</v>
      </c>
      <c r="B47" s="32"/>
      <c r="C47" s="32"/>
      <c r="D47" s="32"/>
      <c r="E47" s="32"/>
      <c r="F47" s="39"/>
      <c r="H47" s="43"/>
      <c r="I47" s="43"/>
    </row>
    <row r="49" spans="1:1" x14ac:dyDescent="0.6">
      <c r="A49" t="s">
        <v>48</v>
      </c>
    </row>
  </sheetData>
  <phoneticPr fontId="2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</sheetPr>
  <dimension ref="A2:K49"/>
  <sheetViews>
    <sheetView zoomScale="70" zoomScaleNormal="70" workbookViewId="0">
      <selection activeCell="C11" sqref="C11"/>
    </sheetView>
  </sheetViews>
  <sheetFormatPr defaultRowHeight="16.899999999999999" x14ac:dyDescent="0.6"/>
  <cols>
    <col min="1" max="1" width="30.5" bestFit="1" customWidth="1"/>
    <col min="2" max="3" width="30.5" customWidth="1"/>
    <col min="4" max="4" width="21.375" customWidth="1"/>
    <col min="5" max="5" width="17.875" customWidth="1"/>
    <col min="6" max="6" width="17.5" customWidth="1"/>
    <col min="7" max="7" width="23.375" customWidth="1"/>
    <col min="8" max="8" width="25.75" customWidth="1"/>
    <col min="9" max="9" width="14.875" customWidth="1"/>
    <col min="10" max="10" width="16" customWidth="1"/>
    <col min="11" max="11" width="18.125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56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1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44"/>
      <c r="C22" s="44"/>
      <c r="D22" s="44"/>
      <c r="E22" s="44"/>
      <c r="F22" s="44"/>
      <c r="G22" s="44"/>
      <c r="H22" s="44"/>
      <c r="I22" s="44"/>
    </row>
    <row r="23" spans="1:11" x14ac:dyDescent="0.6">
      <c r="A23" s="2" t="s">
        <v>20</v>
      </c>
      <c r="B23" s="87"/>
      <c r="C23" s="85"/>
      <c r="D23" s="85"/>
      <c r="E23" s="85"/>
      <c r="F23" s="85"/>
      <c r="G23" s="85"/>
      <c r="H23" s="85"/>
      <c r="I23" s="85"/>
      <c r="J23" s="85"/>
      <c r="K23" s="85"/>
    </row>
    <row r="27" spans="1:11" x14ac:dyDescent="0.6">
      <c r="A27" s="2" t="s">
        <v>26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1" x14ac:dyDescent="0.6">
      <c r="A28" s="2" t="s">
        <v>27</v>
      </c>
      <c r="B28" s="29"/>
      <c r="C28" s="29"/>
      <c r="D28" s="29"/>
      <c r="E28" s="29"/>
      <c r="F28" s="29"/>
      <c r="G28" s="29"/>
      <c r="H28" s="29"/>
      <c r="I28" s="29"/>
      <c r="J28" s="29"/>
    </row>
    <row r="29" spans="1:11" x14ac:dyDescent="0.6">
      <c r="A29" s="2" t="s">
        <v>30</v>
      </c>
      <c r="B29" s="18"/>
      <c r="C29" s="18"/>
      <c r="D29" s="18"/>
      <c r="E29" s="29"/>
      <c r="F29" s="29"/>
      <c r="G29" s="29"/>
      <c r="H29" s="29"/>
      <c r="I29" s="29"/>
      <c r="J29" s="29"/>
    </row>
    <row r="30" spans="1:11" x14ac:dyDescent="0.6">
      <c r="A30" s="2" t="s">
        <v>71</v>
      </c>
      <c r="B30" s="18"/>
      <c r="C30" s="18"/>
      <c r="D30" s="18"/>
      <c r="E30" s="29"/>
      <c r="F30" s="29"/>
      <c r="G30" s="29"/>
      <c r="H30" s="29"/>
      <c r="I30" s="29"/>
      <c r="J30" s="29"/>
    </row>
    <row r="31" spans="1:11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</row>
    <row r="33" spans="1:7" x14ac:dyDescent="0.6">
      <c r="A33" s="2" t="s">
        <v>33</v>
      </c>
      <c r="B33" s="30"/>
      <c r="C33" s="150"/>
      <c r="D33" s="30"/>
      <c r="E33" s="39"/>
      <c r="F33" s="39"/>
      <c r="G33" s="39"/>
    </row>
    <row r="34" spans="1:7" x14ac:dyDescent="0.6">
      <c r="A34" s="2" t="s">
        <v>6</v>
      </c>
      <c r="B34" s="47"/>
      <c r="C34" s="47"/>
      <c r="D34" s="47"/>
      <c r="E34" s="47"/>
      <c r="F34" s="47"/>
      <c r="G34" s="39"/>
    </row>
    <row r="35" spans="1:7" x14ac:dyDescent="0.6">
      <c r="A35" s="2" t="s">
        <v>7</v>
      </c>
      <c r="B35" s="30"/>
      <c r="C35" s="30"/>
      <c r="D35" s="30"/>
      <c r="E35" s="30"/>
      <c r="F35" s="30"/>
      <c r="G35" s="39"/>
    </row>
    <row r="36" spans="1:7" x14ac:dyDescent="0.6">
      <c r="A36" s="2" t="s">
        <v>8</v>
      </c>
      <c r="B36" s="30"/>
      <c r="C36" s="30"/>
      <c r="D36" s="30"/>
      <c r="E36" s="30"/>
      <c r="F36" s="30"/>
      <c r="G36" s="39"/>
    </row>
    <row r="37" spans="1:7" x14ac:dyDescent="0.6">
      <c r="A37" s="2" t="s">
        <v>9</v>
      </c>
      <c r="B37" s="30"/>
      <c r="C37" s="30"/>
      <c r="D37" s="30"/>
      <c r="E37" s="30"/>
      <c r="F37" s="30"/>
      <c r="G37" s="39"/>
    </row>
    <row r="38" spans="1:7" x14ac:dyDescent="0.6">
      <c r="A38" s="2" t="s">
        <v>10</v>
      </c>
      <c r="B38" s="30"/>
      <c r="C38" s="30"/>
      <c r="D38" s="30"/>
      <c r="E38" s="33"/>
      <c r="F38" s="30"/>
      <c r="G38" s="39"/>
    </row>
    <row r="39" spans="1:7" x14ac:dyDescent="0.6">
      <c r="A39" s="2" t="s">
        <v>11</v>
      </c>
      <c r="B39" s="30"/>
      <c r="C39" s="30"/>
      <c r="D39" s="30"/>
      <c r="E39" s="30"/>
      <c r="F39" s="30"/>
      <c r="G39" s="34"/>
    </row>
    <row r="40" spans="1:7" x14ac:dyDescent="0.6">
      <c r="B40" s="1"/>
      <c r="C40" s="1"/>
      <c r="D40" s="1"/>
      <c r="E40" s="1"/>
      <c r="F40" s="1"/>
    </row>
    <row r="41" spans="1:7" x14ac:dyDescent="0.6">
      <c r="A41" s="2" t="s">
        <v>35</v>
      </c>
      <c r="B41" s="30"/>
      <c r="C41" s="150"/>
      <c r="D41" s="30"/>
      <c r="E41" s="39"/>
      <c r="F41" s="39"/>
      <c r="G41" s="39"/>
    </row>
    <row r="42" spans="1:7" x14ac:dyDescent="0.6">
      <c r="A42" s="2" t="s">
        <v>26</v>
      </c>
      <c r="B42" s="47"/>
      <c r="C42" s="47"/>
      <c r="D42" s="47"/>
      <c r="E42" s="39"/>
      <c r="F42" s="47"/>
      <c r="G42" s="39"/>
    </row>
    <row r="43" spans="1:7" x14ac:dyDescent="0.6">
      <c r="A43" s="2" t="s">
        <v>28</v>
      </c>
      <c r="B43" s="30"/>
      <c r="C43" s="30"/>
      <c r="D43" s="30"/>
      <c r="E43" s="33"/>
      <c r="F43" s="33"/>
      <c r="G43" s="39"/>
    </row>
    <row r="44" spans="1:7" x14ac:dyDescent="0.6">
      <c r="A44" s="2" t="s">
        <v>19</v>
      </c>
      <c r="B44" s="30"/>
      <c r="C44" s="30"/>
      <c r="D44" s="30"/>
      <c r="E44" s="30"/>
      <c r="F44" s="30"/>
      <c r="G44" s="39"/>
    </row>
    <row r="45" spans="1:7" x14ac:dyDescent="0.6">
      <c r="A45" s="2" t="s">
        <v>37</v>
      </c>
      <c r="B45" s="30"/>
      <c r="C45" s="30"/>
      <c r="D45" s="30"/>
      <c r="E45" s="30"/>
      <c r="F45" s="30"/>
      <c r="G45" s="39"/>
    </row>
    <row r="46" spans="1:7" x14ac:dyDescent="0.6">
      <c r="A46" s="2" t="s">
        <v>38</v>
      </c>
      <c r="B46" s="30"/>
      <c r="C46" s="30"/>
      <c r="D46" s="30"/>
      <c r="E46" s="30"/>
      <c r="F46" s="30"/>
      <c r="G46" s="34"/>
    </row>
    <row r="47" spans="1:7" x14ac:dyDescent="0.6">
      <c r="A47" s="4" t="s">
        <v>39</v>
      </c>
      <c r="B47" s="30"/>
      <c r="C47" s="30"/>
      <c r="D47" s="30"/>
      <c r="E47" s="30"/>
      <c r="F47" s="30"/>
      <c r="G47" s="39"/>
    </row>
    <row r="49" spans="1:1" x14ac:dyDescent="0.6">
      <c r="A49" t="s">
        <v>63</v>
      </c>
    </row>
  </sheetData>
  <phoneticPr fontId="2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2:S50"/>
  <sheetViews>
    <sheetView topLeftCell="A16" zoomScale="70" zoomScaleNormal="70" workbookViewId="0">
      <selection activeCell="D34" sqref="D34:I47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3.5" customWidth="1"/>
    <col min="6" max="6" width="14.625" customWidth="1"/>
    <col min="7" max="7" width="16.25" bestFit="1" customWidth="1"/>
    <col min="8" max="8" width="20.25" customWidth="1"/>
    <col min="9" max="9" width="12.125" customWidth="1"/>
    <col min="10" max="11" width="10.875" bestFit="1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1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44"/>
      <c r="C22" s="44"/>
      <c r="D22" s="44"/>
      <c r="E22" s="44"/>
      <c r="F22" s="44"/>
      <c r="G22" s="44"/>
      <c r="H22" s="44"/>
      <c r="I22" s="44"/>
    </row>
    <row r="23" spans="1:11" x14ac:dyDescent="0.6">
      <c r="A23" s="2" t="s">
        <v>21</v>
      </c>
      <c r="B23" s="150"/>
      <c r="C23" s="85"/>
      <c r="D23" s="85"/>
      <c r="E23" s="85"/>
      <c r="F23" s="85"/>
      <c r="G23" s="85"/>
      <c r="H23" s="85"/>
      <c r="I23" s="85"/>
      <c r="J23" s="85"/>
      <c r="K23" s="85"/>
    </row>
    <row r="24" spans="1:11" x14ac:dyDescent="0.6">
      <c r="A24" s="2" t="s">
        <v>22</v>
      </c>
      <c r="B24" s="150"/>
      <c r="C24" s="85"/>
      <c r="D24" s="85"/>
      <c r="E24" s="85"/>
      <c r="F24" s="85"/>
      <c r="G24" s="85"/>
      <c r="H24" s="85"/>
      <c r="I24" s="85"/>
      <c r="J24" s="85"/>
      <c r="K24" s="85"/>
    </row>
    <row r="27" spans="1:11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1" x14ac:dyDescent="0.6">
      <c r="A28" s="2" t="s">
        <v>27</v>
      </c>
      <c r="B28" s="2"/>
      <c r="C28" s="2"/>
      <c r="D28" s="2"/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</row>
    <row r="29" spans="1:11" x14ac:dyDescent="0.6">
      <c r="A29" s="2" t="s">
        <v>30</v>
      </c>
      <c r="B29" s="2"/>
      <c r="C29" s="2"/>
      <c r="D29" s="2"/>
      <c r="E29" s="18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</row>
    <row r="30" spans="1:11" x14ac:dyDescent="0.6">
      <c r="A30" s="2" t="s">
        <v>71</v>
      </c>
      <c r="B30" s="3">
        <v>1099587</v>
      </c>
      <c r="C30" s="2"/>
      <c r="D30" s="2"/>
      <c r="E30" s="18"/>
      <c r="F30" s="29"/>
      <c r="G30" s="29"/>
      <c r="H30" s="29"/>
      <c r="I30" s="29"/>
      <c r="J30" s="29"/>
      <c r="K30" s="29"/>
    </row>
    <row r="31" spans="1:11" x14ac:dyDescent="0.6">
      <c r="A31" s="2" t="s">
        <v>28</v>
      </c>
      <c r="B31" s="29">
        <f>B7-B29-B28+B30</f>
        <v>1099587</v>
      </c>
      <c r="C31" s="29">
        <f t="shared" ref="C31:K31" si="0">C7-C29-C28</f>
        <v>0</v>
      </c>
      <c r="D31" s="29">
        <f t="shared" si="0"/>
        <v>0</v>
      </c>
      <c r="E31" s="29">
        <f t="shared" si="0"/>
        <v>0</v>
      </c>
      <c r="F31" s="29">
        <f t="shared" si="0"/>
        <v>0</v>
      </c>
      <c r="G31" s="29">
        <f t="shared" si="0"/>
        <v>0</v>
      </c>
      <c r="H31" s="29">
        <f t="shared" si="0"/>
        <v>0</v>
      </c>
      <c r="I31" s="29">
        <f t="shared" si="0"/>
        <v>0</v>
      </c>
      <c r="J31" s="29">
        <f t="shared" si="0"/>
        <v>0</v>
      </c>
      <c r="K31" s="29">
        <f t="shared" si="0"/>
        <v>0</v>
      </c>
    </row>
    <row r="33" spans="1:19" x14ac:dyDescent="0.6">
      <c r="A33" s="2" t="s">
        <v>33</v>
      </c>
      <c r="B33" s="150"/>
      <c r="C33" s="150"/>
      <c r="D33" s="30" t="s">
        <v>49</v>
      </c>
      <c r="E33" s="78" t="s">
        <v>50</v>
      </c>
      <c r="F33" s="78" t="s">
        <v>51</v>
      </c>
      <c r="G33" s="78" t="s">
        <v>34</v>
      </c>
      <c r="O33">
        <v>33</v>
      </c>
      <c r="P33">
        <v>24</v>
      </c>
      <c r="Q33">
        <v>44</v>
      </c>
      <c r="R33">
        <v>31</v>
      </c>
      <c r="S33">
        <v>26</v>
      </c>
    </row>
    <row r="34" spans="1:19" ht="16.5" customHeight="1" x14ac:dyDescent="0.6">
      <c r="A34" s="2" t="s">
        <v>6</v>
      </c>
      <c r="B34" s="47"/>
      <c r="C34" s="47"/>
      <c r="D34" s="47"/>
      <c r="E34" s="83"/>
      <c r="F34" s="47"/>
      <c r="G34" s="78"/>
      <c r="O34">
        <v>38</v>
      </c>
      <c r="P34">
        <v>23</v>
      </c>
      <c r="Q34">
        <v>37</v>
      </c>
      <c r="R34">
        <v>27</v>
      </c>
      <c r="S34">
        <v>0</v>
      </c>
    </row>
    <row r="35" spans="1:19" x14ac:dyDescent="0.6">
      <c r="A35" s="2" t="s">
        <v>7</v>
      </c>
      <c r="B35" s="30"/>
      <c r="C35" s="30"/>
      <c r="D35" s="30"/>
      <c r="E35" s="81"/>
      <c r="F35" s="30"/>
      <c r="G35" s="78"/>
      <c r="P35">
        <v>22</v>
      </c>
      <c r="Q35">
        <v>36</v>
      </c>
      <c r="R35">
        <v>27</v>
      </c>
      <c r="S35">
        <v>26</v>
      </c>
    </row>
    <row r="36" spans="1:19" x14ac:dyDescent="0.6">
      <c r="A36" s="2" t="s">
        <v>8</v>
      </c>
      <c r="B36" s="30"/>
      <c r="C36" s="30"/>
      <c r="D36" s="30"/>
      <c r="E36" s="81"/>
      <c r="F36" s="30"/>
      <c r="G36" s="78"/>
      <c r="O36">
        <f>AVERAGE(O33:O35)</f>
        <v>35.5</v>
      </c>
      <c r="P36">
        <f t="shared" ref="P36:S36" si="1">AVERAGE(P33:P35)</f>
        <v>23</v>
      </c>
      <c r="Q36">
        <f t="shared" si="1"/>
        <v>39</v>
      </c>
      <c r="R36">
        <f t="shared" si="1"/>
        <v>28.333333333333332</v>
      </c>
      <c r="S36">
        <f t="shared" si="1"/>
        <v>17.333333333333332</v>
      </c>
    </row>
    <row r="37" spans="1:19" x14ac:dyDescent="0.6">
      <c r="A37" s="2" t="s">
        <v>9</v>
      </c>
      <c r="B37" s="30"/>
      <c r="C37" s="30"/>
      <c r="D37" s="30"/>
      <c r="E37" s="81"/>
      <c r="F37" s="30"/>
      <c r="G37" s="78"/>
    </row>
    <row r="38" spans="1:19" x14ac:dyDescent="0.6">
      <c r="A38" s="2" t="s">
        <v>10</v>
      </c>
      <c r="B38" s="30"/>
      <c r="C38" s="30"/>
      <c r="D38" s="30"/>
      <c r="E38" s="81"/>
      <c r="F38" s="30"/>
      <c r="G38" s="78"/>
    </row>
    <row r="39" spans="1:19" x14ac:dyDescent="0.6">
      <c r="A39" s="2" t="s">
        <v>11</v>
      </c>
      <c r="B39" s="30"/>
      <c r="C39" s="30"/>
      <c r="D39" s="30"/>
      <c r="E39" s="82"/>
      <c r="F39" s="30"/>
      <c r="G39" s="34"/>
    </row>
    <row r="40" spans="1:19" x14ac:dyDescent="0.6">
      <c r="B40" s="1"/>
      <c r="C40" s="1"/>
      <c r="D40" s="1"/>
      <c r="E40" s="1"/>
      <c r="F40" s="1"/>
    </row>
    <row r="41" spans="1:19" x14ac:dyDescent="0.6">
      <c r="A41" s="2" t="s">
        <v>35</v>
      </c>
      <c r="B41" s="150"/>
      <c r="C41" s="150"/>
      <c r="D41" s="30"/>
      <c r="E41" s="78"/>
      <c r="F41" s="78"/>
      <c r="G41" s="78"/>
    </row>
    <row r="42" spans="1:19" ht="16.5" customHeight="1" x14ac:dyDescent="0.6">
      <c r="A42" s="2" t="s">
        <v>26</v>
      </c>
      <c r="B42" s="47"/>
      <c r="C42" s="47"/>
      <c r="D42" s="47"/>
      <c r="E42" s="84"/>
      <c r="F42" s="47"/>
      <c r="G42" s="78"/>
    </row>
    <row r="43" spans="1:19" x14ac:dyDescent="0.6">
      <c r="A43" s="2" t="s">
        <v>28</v>
      </c>
      <c r="B43" s="30"/>
      <c r="C43" s="30"/>
      <c r="D43" s="33"/>
      <c r="E43" s="79"/>
      <c r="F43" s="33"/>
      <c r="G43" s="78"/>
    </row>
    <row r="44" spans="1:19" x14ac:dyDescent="0.6">
      <c r="A44" s="2" t="s">
        <v>19</v>
      </c>
      <c r="B44" s="30"/>
      <c r="C44" s="30"/>
      <c r="D44" s="30"/>
      <c r="E44" s="79"/>
      <c r="F44" s="30"/>
      <c r="G44" s="78"/>
    </row>
    <row r="45" spans="1:19" x14ac:dyDescent="0.6">
      <c r="A45" s="2" t="s">
        <v>37</v>
      </c>
      <c r="B45" s="30"/>
      <c r="C45" s="30"/>
      <c r="D45" s="30"/>
      <c r="E45" s="79"/>
      <c r="F45" s="30"/>
      <c r="G45" s="78"/>
    </row>
    <row r="46" spans="1:19" x14ac:dyDescent="0.6">
      <c r="A46" s="2" t="s">
        <v>38</v>
      </c>
      <c r="B46" s="30"/>
      <c r="C46" s="30"/>
      <c r="D46" s="30"/>
      <c r="E46" s="79"/>
      <c r="F46" s="30"/>
      <c r="G46" s="34"/>
    </row>
    <row r="47" spans="1:19" x14ac:dyDescent="0.6">
      <c r="A47" s="4" t="s">
        <v>39</v>
      </c>
      <c r="B47" s="30"/>
      <c r="C47" s="30"/>
      <c r="D47" s="30"/>
      <c r="E47" s="80"/>
      <c r="F47" s="30"/>
      <c r="G47" s="78"/>
    </row>
    <row r="50" spans="5:5" x14ac:dyDescent="0.6">
      <c r="E50" t="s">
        <v>32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3:I21"/>
  <sheetViews>
    <sheetView workbookViewId="0">
      <selection activeCell="D26" sqref="D26"/>
    </sheetView>
  </sheetViews>
  <sheetFormatPr defaultRowHeight="16.899999999999999" x14ac:dyDescent="0.6"/>
  <cols>
    <col min="1" max="1" width="30.5" bestFit="1" customWidth="1"/>
    <col min="2" max="3" width="13.5" customWidth="1"/>
    <col min="4" max="6" width="11.875" bestFit="1" customWidth="1"/>
    <col min="7" max="7" width="10.875" bestFit="1" customWidth="1"/>
    <col min="8" max="8" width="11.875" bestFit="1" customWidth="1"/>
    <col min="9" max="9" width="10.875" bestFit="1" customWidth="1"/>
  </cols>
  <sheetData>
    <row r="3" spans="1:9" x14ac:dyDescent="0.6">
      <c r="A3" s="2"/>
      <c r="B3" s="87" t="s">
        <v>68</v>
      </c>
      <c r="C3" s="85" t="s">
        <v>67</v>
      </c>
      <c r="D3" s="85" t="s">
        <v>61</v>
      </c>
      <c r="E3" s="85" t="s">
        <v>54</v>
      </c>
      <c r="F3" s="85" t="s">
        <v>55</v>
      </c>
      <c r="G3" s="85" t="s">
        <v>56</v>
      </c>
      <c r="H3" s="85" t="s">
        <v>57</v>
      </c>
      <c r="I3" s="85" t="s">
        <v>58</v>
      </c>
    </row>
    <row r="4" spans="1:9" x14ac:dyDescent="0.6">
      <c r="A4" s="2" t="s">
        <v>0</v>
      </c>
      <c r="B4" s="32">
        <f>중앙!B4+분당!B4+고양!B4+용인!B4+세종!B4+김해!B4+평택!B4</f>
        <v>0</v>
      </c>
      <c r="C4" s="32">
        <f>중앙!C4+분당!C4+고양!C4+용인!C4+세종!C4+김해!C4+평택!C4</f>
        <v>0</v>
      </c>
      <c r="D4" s="32">
        <f>중앙!D4+분당!D4+고양!D4+용인!D4+세종!D4+김해!D4+평택!D4</f>
        <v>0</v>
      </c>
      <c r="E4" s="32">
        <f>중앙!E4+분당!E4+고양!E4+용인!E4+세종!E4+김해!E4+양산!E4+평택!E4</f>
        <v>0</v>
      </c>
      <c r="F4" s="32">
        <f>중앙!F4+분당!F4+고양!F4+용인!F4+세종!F4+김해!F4+양산!F4+평택!F4</f>
        <v>0</v>
      </c>
      <c r="G4" s="32">
        <f>중앙!G4+분당!G4+고양!G4+용인!G4+세종!G4+김해!G4+양산!G4+평택!G4</f>
        <v>0</v>
      </c>
      <c r="H4" s="32">
        <f>중앙!H4+분당!H4+고양!H4+용인!H4+세종!H4+김해!H4+양산!H4+평택!H4</f>
        <v>0</v>
      </c>
      <c r="I4" s="32">
        <f>중앙!I4+분당!I4+고양!I4+용인!I4+세종!I4+김해!I4+양산!I4+평택!I4</f>
        <v>0</v>
      </c>
    </row>
    <row r="5" spans="1:9" x14ac:dyDescent="0.6">
      <c r="A5" s="2" t="s">
        <v>1</v>
      </c>
      <c r="B5" s="32">
        <f>중앙!B5+분당!B5+고양!B5+용인!B5+세종!B5+김해!B5+평택!B5</f>
        <v>0</v>
      </c>
      <c r="C5" s="32">
        <f>중앙!C5+분당!C5+고양!C5+용인!C5+세종!C5+김해!C5+평택!C5</f>
        <v>0</v>
      </c>
      <c r="D5" s="32">
        <f>중앙!D5+분당!D5+고양!D5+용인!D5+세종!D5+김해!D5+평택!D5</f>
        <v>0</v>
      </c>
      <c r="E5" s="32">
        <f>중앙!E5+분당!E5+고양!E5+용인!E5+세종!E5+김해!E5+양산!E5+평택!E5</f>
        <v>0</v>
      </c>
      <c r="F5" s="32">
        <f>중앙!F5+분당!F5+고양!F5+용인!F5+세종!F5+김해!F5+양산!F5+평택!F5</f>
        <v>0</v>
      </c>
      <c r="G5" s="32">
        <f>중앙!G5+분당!G5+고양!G5+용인!G5+세종!G5+김해!G5+양산!G5+평택!G5</f>
        <v>0</v>
      </c>
      <c r="H5" s="32">
        <f>중앙!H5+분당!H5+고양!H5+용인!H5+세종!H5+김해!H5+양산!H5+평택!H5</f>
        <v>0</v>
      </c>
      <c r="I5" s="32">
        <f>중앙!I5+분당!I5+고양!I5+용인!I5+세종!I5+김해!I5+양산!I5+평택!I5</f>
        <v>0</v>
      </c>
    </row>
    <row r="6" spans="1:9" x14ac:dyDescent="0.6">
      <c r="A6" s="2" t="s">
        <v>2</v>
      </c>
      <c r="B6" s="32">
        <f>중앙!B6+분당!B6+고양!B6+용인!B6+세종!B6+김해!B6+평택!B6</f>
        <v>0</v>
      </c>
      <c r="C6" s="32">
        <f>중앙!C6+분당!C6+고양!C6+용인!C6+세종!C6+김해!C6+평택!C6</f>
        <v>0</v>
      </c>
      <c r="D6" s="32">
        <f>중앙!D6+분당!D6+고양!D6+용인!D6+세종!D6+김해!D6+평택!D6</f>
        <v>0</v>
      </c>
      <c r="E6" s="32">
        <f>중앙!E6+분당!E6+고양!E6+용인!E6+세종!E6+김해!E6+양산!E6+평택!E6</f>
        <v>0</v>
      </c>
      <c r="F6" s="32">
        <f>중앙!F6+분당!F6+고양!F6+용인!F6+세종!F6+김해!F6+양산!F6+평택!F6</f>
        <v>0</v>
      </c>
      <c r="G6" s="32">
        <f>중앙!G6+분당!G6+고양!G6+용인!G6+세종!G6+김해!G6+양산!G6+평택!G6</f>
        <v>0</v>
      </c>
      <c r="H6" s="32">
        <f>중앙!H6+분당!H6+고양!H6+용인!H6+세종!H6+김해!H6+양산!H6+평택!H6</f>
        <v>0</v>
      </c>
      <c r="I6" s="32">
        <f>중앙!I6+분당!I6+고양!I6+용인!I6+세종!I6+김해!I6+양산!I6+평택!I6</f>
        <v>0</v>
      </c>
    </row>
    <row r="7" spans="1:9" x14ac:dyDescent="0.6">
      <c r="A7" s="2" t="s">
        <v>3</v>
      </c>
      <c r="B7" s="32">
        <f>중앙!B7+분당!B7+고양!B7+용인!B7+세종!B7+김해!B7+평택!B7</f>
        <v>0</v>
      </c>
      <c r="C7" s="32">
        <f>중앙!C7+분당!C7+고양!C7+용인!C7+세종!C7+김해!C7+평택!C7</f>
        <v>0</v>
      </c>
      <c r="D7" s="32">
        <f>중앙!D7+분당!D7+고양!D7+용인!D7+세종!D7+김해!D7+평택!D7</f>
        <v>0</v>
      </c>
      <c r="E7" s="32">
        <f>중앙!E7+분당!E7+고양!E7+용인!E7+세종!E7+김해!E7+양산!E7+평택!E7</f>
        <v>0</v>
      </c>
      <c r="F7" s="32">
        <f>중앙!F7+분당!F7+고양!F7+용인!F7+세종!F7+김해!F7+양산!F7+평택!F7</f>
        <v>0</v>
      </c>
      <c r="G7" s="32">
        <f>중앙!G7+분당!G7+고양!G7+용인!G7+세종!G7+김해!G7+양산!G7+평택!G7</f>
        <v>0</v>
      </c>
      <c r="H7" s="32">
        <f>중앙!H7+분당!H7+고양!H7+용인!H7+세종!H7+김해!H7+양산!H7+평택!H7</f>
        <v>0</v>
      </c>
      <c r="I7" s="32">
        <f>중앙!I7+분당!I7+고양!I7+용인!I7+세종!I7+김해!I7+양산!I7+평택!I7</f>
        <v>0</v>
      </c>
    </row>
    <row r="8" spans="1:9" x14ac:dyDescent="0.6">
      <c r="A8" s="2" t="s">
        <v>18</v>
      </c>
      <c r="B8" s="32">
        <f>중앙!B8+분당!B8+고양!B8+용인!B8+세종!B8+김해!B8+평택!B8</f>
        <v>0</v>
      </c>
      <c r="C8" s="32">
        <f>중앙!C8+분당!C8+고양!C8+용인!C8+세종!C8+김해!C8+평택!C8</f>
        <v>0</v>
      </c>
      <c r="D8" s="32">
        <f>중앙!D8+분당!D8+고양!D8+용인!D8+세종!D8+김해!D8+평택!D8</f>
        <v>0</v>
      </c>
      <c r="E8" s="32">
        <f>중앙!E8+분당!E8+고양!E8+용인!E8+세종!E8+김해!E8+양산!E8+평택!E8</f>
        <v>0</v>
      </c>
      <c r="F8" s="32">
        <f>중앙!F8+분당!F8+고양!F8+용인!F8+세종!F8+김해!F8+양산!F8+평택!F8</f>
        <v>0</v>
      </c>
      <c r="G8" s="32">
        <f>중앙!G8+분당!G8+고양!G8+용인!G8+세종!G8+김해!G8+양산!G8+평택!G8</f>
        <v>0</v>
      </c>
      <c r="H8" s="32">
        <f>중앙!H8+분당!H8+고양!H8+용인!H8+세종!H8+김해!H8+양산!H8+평택!H8</f>
        <v>0</v>
      </c>
      <c r="I8" s="32">
        <f>중앙!I8+분당!I8+고양!I8+용인!I8+세종!I8+김해!I8+양산!I8+평택!I8</f>
        <v>0</v>
      </c>
    </row>
    <row r="9" spans="1:9" x14ac:dyDescent="0.6">
      <c r="A9" s="2" t="s">
        <v>19</v>
      </c>
      <c r="B9" s="32">
        <f>중앙!B9+분당!B9+고양!B9+용인!B9+세종!B9+김해!B9+평택!B9</f>
        <v>0</v>
      </c>
      <c r="C9" s="32">
        <f>중앙!C9+분당!C9+고양!C9+용인!C9+세종!C9+김해!C9+평택!C9</f>
        <v>0</v>
      </c>
      <c r="D9" s="32">
        <f>중앙!D9+분당!D9+고양!D9+용인!D9+세종!D9+김해!D9+평택!D9</f>
        <v>0</v>
      </c>
      <c r="E9" s="32">
        <f>중앙!E9+분당!E9+고양!E9+용인!E9+세종!E9+김해!E9+양산!E9+평택!E9</f>
        <v>0</v>
      </c>
      <c r="F9" s="32">
        <f>중앙!F9+분당!F9+고양!F9+용인!F9+세종!F9+김해!F9+양산!F9+평택!F9</f>
        <v>0</v>
      </c>
      <c r="G9" s="32">
        <f>중앙!G9+분당!G9+고양!G9+용인!G9+세종!G9+김해!G9+양산!G9+평택!G9</f>
        <v>0</v>
      </c>
      <c r="H9" s="32">
        <f>중앙!H9+분당!H9+고양!H9+용인!H9+세종!H9+김해!H9+양산!H9+평택!H9</f>
        <v>0</v>
      </c>
      <c r="I9" s="32">
        <f>중앙!I9+분당!I9+고양!I9+용인!I9+세종!I9+김해!I9+양산!I9+평택!I9</f>
        <v>0</v>
      </c>
    </row>
    <row r="10" spans="1:9" x14ac:dyDescent="0.6">
      <c r="A10" s="2" t="s">
        <v>17</v>
      </c>
      <c r="B10" s="32">
        <f>중앙!B10+분당!B10+고양!B10+용인!B10+세종!B10+김해!B10+평택!B10</f>
        <v>0</v>
      </c>
      <c r="C10" s="32">
        <f>중앙!C10+분당!C10+고양!C10+용인!C10+세종!C10+김해!C10+평택!C10</f>
        <v>0</v>
      </c>
      <c r="D10" s="32">
        <f>중앙!D10+분당!D10+고양!D10+용인!D10+세종!D10+김해!D10+평택!D10</f>
        <v>0</v>
      </c>
      <c r="E10" s="32">
        <f>중앙!E10+분당!E10+고양!E10+용인!E10+세종!E10+김해!E10+양산!E10+평택!E10</f>
        <v>0</v>
      </c>
      <c r="F10" s="32">
        <f>중앙!F10+분당!F10+고양!F10+용인!F10+세종!F10+김해!F10+양산!F10+평택!F10</f>
        <v>0</v>
      </c>
      <c r="G10" s="32">
        <f>중앙!G10+분당!G10+고양!G10+용인!G10+세종!G10+김해!G10+양산!G10+평택!G10</f>
        <v>0</v>
      </c>
      <c r="H10" s="32">
        <f>중앙!H10+분당!H10+고양!H10+용인!H10+세종!H10+김해!H10+양산!H10+평택!H10</f>
        <v>0</v>
      </c>
      <c r="I10" s="32">
        <f>중앙!I10+분당!I10+고양!I10+용인!I10+세종!I10+김해!I10+양산!I10+평택!I10</f>
        <v>0</v>
      </c>
    </row>
    <row r="11" spans="1:9" x14ac:dyDescent="0.6">
      <c r="A11" s="2" t="s">
        <v>4</v>
      </c>
      <c r="B11" s="32">
        <f>중앙!B11+분당!B11+고양!B11+용인!B11+세종!B11+김해!B11+평택!B11</f>
        <v>0</v>
      </c>
      <c r="C11" s="32">
        <f>중앙!C11+분당!C11+고양!C11+용인!C11+세종!C11+김해!C11+평택!C11</f>
        <v>0</v>
      </c>
      <c r="D11" s="32">
        <f>중앙!D11+분당!D11+고양!D11+용인!D11+세종!D11+김해!D11+평택!D11</f>
        <v>0</v>
      </c>
      <c r="E11" s="32">
        <f>중앙!E11+분당!E11+고양!E11+용인!E11+세종!E11+김해!E11+양산!E11+평택!E11</f>
        <v>0</v>
      </c>
      <c r="F11" s="32">
        <f>중앙!F11+분당!F11+고양!F11+용인!F11+세종!F11+김해!F11+양산!F11+평택!F11</f>
        <v>0</v>
      </c>
      <c r="G11" s="32">
        <f>중앙!G11+분당!G11+고양!G11+용인!G11+세종!G11+김해!G11+양산!G11+평택!G11</f>
        <v>0</v>
      </c>
      <c r="H11" s="32">
        <f>중앙!H11+분당!H11+고양!H11+용인!H11+세종!H11+김해!H11+양산!H11+평택!H11</f>
        <v>0</v>
      </c>
      <c r="I11" s="32">
        <f>중앙!I11+분당!I11+고양!I11+용인!I11+세종!I11+김해!I11+양산!I11+평택!I11</f>
        <v>0</v>
      </c>
    </row>
    <row r="12" spans="1:9" x14ac:dyDescent="0.6">
      <c r="A12" s="2" t="s">
        <v>69</v>
      </c>
      <c r="B12" s="32">
        <f>중앙!B13+분당!B13+고양!B13+용인!B13+세종!B13+김해!B13+평택!B13</f>
        <v>0</v>
      </c>
      <c r="C12" s="32">
        <f>중앙!C13+분당!C13+고양!C13+용인!C13+세종!C13+김해!C13+평택!C13</f>
        <v>0</v>
      </c>
      <c r="D12" s="32">
        <f>중앙!D13+분당!D13+고양!D13+용인!D13+세종!D13+김해!D13+평택!D13</f>
        <v>0</v>
      </c>
      <c r="E12" s="32">
        <f>중앙!E13+분당!E13+고양!E13+용인!E13+세종!E13+김해!E13+양산!E13+평택!E13</f>
        <v>0</v>
      </c>
      <c r="F12" s="32">
        <f>중앙!F13+분당!F13+고양!F13+용인!F13+세종!F13+김해!F13+양산!F13+평택!F13</f>
        <v>0</v>
      </c>
      <c r="G12" s="32">
        <f>중앙!G13+분당!G13+고양!G13+용인!G13+세종!G13+김해!G13+양산!G13+평택!G13</f>
        <v>0</v>
      </c>
      <c r="H12" s="32">
        <f>중앙!H13+분당!H13+고양!H13+용인!H13+세종!H13+김해!H13+양산!H13+평택!H13</f>
        <v>0</v>
      </c>
      <c r="I12" s="32">
        <f>중앙!I13+분당!I13+고양!I13+용인!I13+세종!I13+김해!I13+양산!I13+평택!I13</f>
        <v>0</v>
      </c>
    </row>
    <row r="13" spans="1:9" x14ac:dyDescent="0.6">
      <c r="A13" s="2" t="s">
        <v>5</v>
      </c>
      <c r="B13" s="32">
        <f>중앙!B13+분당!B13+고양!B13+용인!B13+세종!B13+김해!B13+평택!B13</f>
        <v>0</v>
      </c>
      <c r="C13" s="32">
        <f>중앙!C13+분당!C13+고양!C13+용인!C13+세종!C13+김해!C13+평택!C13</f>
        <v>0</v>
      </c>
      <c r="D13" s="32">
        <f>중앙!D13+분당!D13+고양!D13+용인!D13+세종!D13+김해!D13+평택!D13</f>
        <v>0</v>
      </c>
      <c r="E13" s="32">
        <f>중앙!E13+분당!E13+고양!E13+용인!E13+세종!E13+김해!E13+양산!E13+평택!E13</f>
        <v>0</v>
      </c>
      <c r="F13" s="32">
        <f>중앙!F13+분당!F13+고양!F13+용인!F13+세종!F13+김해!F13+양산!F13+평택!F13</f>
        <v>0</v>
      </c>
      <c r="G13" s="32">
        <f>중앙!G13+분당!G13+고양!G13+용인!G13+세종!G13+김해!G13+양산!G13+평택!G13</f>
        <v>0</v>
      </c>
      <c r="H13" s="32">
        <f>중앙!H13+분당!H13+고양!H13+용인!H13+세종!H13+김해!H13+양산!H13+평택!H13</f>
        <v>0</v>
      </c>
      <c r="I13" s="32">
        <f>중앙!I13+분당!I13+고양!I13+용인!I13+세종!I13+김해!I13+양산!I13+평택!I13</f>
        <v>0</v>
      </c>
    </row>
    <row r="14" spans="1:9" x14ac:dyDescent="0.6">
      <c r="A14" s="2"/>
      <c r="B14" s="32">
        <f>중앙!B14+분당!B14+고양!B14+용인!B14+세종!B14+김해!B14+평택!B14</f>
        <v>0</v>
      </c>
      <c r="C14" s="32">
        <f>중앙!C14+분당!C14+고양!C14+용인!C14+세종!C14+김해!C14+평택!C14</f>
        <v>0</v>
      </c>
      <c r="D14" s="2"/>
      <c r="E14" s="32">
        <f>중앙!E14+분당!E14+고양!E14+용인!E14+세종!E14+김해!E14+양산!E14+평택!E14</f>
        <v>0</v>
      </c>
      <c r="F14" s="32">
        <f>중앙!F14+분당!F14+고양!F14+용인!F14+세종!F14+김해!F14+양산!F14+평택!F14</f>
        <v>0</v>
      </c>
      <c r="G14" s="32">
        <f>중앙!G14+분당!G14+고양!G14+용인!G14+세종!G14+김해!G14+양산!G14+평택!G14</f>
        <v>0</v>
      </c>
      <c r="H14" s="32">
        <f>중앙!H14+분당!H14+고양!H14+용인!H14+세종!H14+김해!H14+양산!H14+평택!H14</f>
        <v>0</v>
      </c>
      <c r="I14" s="32">
        <f>중앙!I14+분당!I14+고양!I14+용인!I14+세종!I14+김해!I14+양산!I14+평택!I14</f>
        <v>0</v>
      </c>
    </row>
    <row r="15" spans="1:9" x14ac:dyDescent="0.6">
      <c r="A15" s="2" t="s">
        <v>6</v>
      </c>
      <c r="B15" s="32">
        <f>중앙!B15+분당!B15+고양!B15+용인!B15+세종!B15+김해!B15+평택!B15</f>
        <v>0</v>
      </c>
      <c r="C15" s="32">
        <f>중앙!C15+분당!C15+고양!C15+용인!C15+세종!C15+김해!C15+평택!C15</f>
        <v>0</v>
      </c>
      <c r="D15" s="32">
        <f>중앙!D15+분당!D15+고양!D15+용인!D15+세종!D15+김해!D15+양산!D15+평택!D15</f>
        <v>0</v>
      </c>
      <c r="E15" s="32">
        <f>중앙!E15+분당!E15+고양!E15+용인!E15+세종!E15+김해!E15+양산!E15+평택!E15</f>
        <v>0</v>
      </c>
      <c r="F15" s="32">
        <f>중앙!F15+분당!F15+고양!F15+용인!F15+세종!F15+김해!F15+양산!F15+평택!F15</f>
        <v>0</v>
      </c>
      <c r="G15" s="32">
        <f>중앙!G15+분당!G15+고양!G15+용인!G15+세종!G15+김해!G15+양산!G15+평택!G15</f>
        <v>0</v>
      </c>
      <c r="H15" s="32">
        <f>중앙!H15+분당!H15+고양!H15+용인!H15+세종!H15+김해!H15+양산!H15+평택!H15</f>
        <v>0</v>
      </c>
      <c r="I15" s="32">
        <f>중앙!I15+분당!I15+고양!I15+용인!I15+세종!I15+김해!I15+양산!I15+평택!I15</f>
        <v>0</v>
      </c>
    </row>
    <row r="16" spans="1:9" x14ac:dyDescent="0.6">
      <c r="A16" s="2" t="s">
        <v>7</v>
      </c>
      <c r="B16" s="32">
        <f>중앙!B16+분당!B16+고양!B16+용인!B16+세종!B16+김해!B16+평택!B16</f>
        <v>0</v>
      </c>
      <c r="C16" s="32">
        <f>중앙!C16+분당!C16+고양!C16+용인!C16+세종!C16+김해!C16+평택!C16</f>
        <v>0</v>
      </c>
      <c r="D16" s="32">
        <f>중앙!D16+분당!D16+고양!D16+용인!D16+세종!D16+김해!D16+양산!D16+평택!D16</f>
        <v>0</v>
      </c>
      <c r="E16" s="32">
        <f>중앙!E16+분당!E16+고양!E16+용인!E16+세종!E16+김해!E16+양산!E16+평택!E16</f>
        <v>0</v>
      </c>
      <c r="F16" s="32">
        <f>중앙!F16+분당!F16+고양!F16+용인!F16+세종!F16+김해!F16+양산!F16+평택!F16</f>
        <v>0</v>
      </c>
      <c r="G16" s="32">
        <f>중앙!G16+분당!G16+고양!G16+용인!G16+세종!G16+김해!G16+양산!G16+평택!G16</f>
        <v>0</v>
      </c>
      <c r="H16" s="32">
        <f>중앙!H16+분당!H16+고양!H16+용인!H16+세종!H16+김해!H16+양산!H16+평택!H16</f>
        <v>0</v>
      </c>
      <c r="I16" s="32">
        <f>중앙!I16+분당!I16+고양!I16+용인!I16+세종!I16+김해!I16+양산!I16+평택!I16</f>
        <v>0</v>
      </c>
    </row>
    <row r="17" spans="1:9" x14ac:dyDescent="0.6">
      <c r="A17" s="2" t="s">
        <v>8</v>
      </c>
      <c r="B17" s="32">
        <f>중앙!B17+분당!B17+고양!B17+용인!B17+세종!B17+김해!B17+평택!B17</f>
        <v>0</v>
      </c>
      <c r="C17" s="32">
        <f>중앙!C17+분당!C17+고양!C17+용인!C17+세종!C17+김해!C17+평택!C17</f>
        <v>0</v>
      </c>
      <c r="D17" s="32">
        <f>중앙!D17+분당!D17+고양!D17+용인!D17+세종!D17+김해!D17+양산!D17+평택!D17</f>
        <v>0</v>
      </c>
      <c r="E17" s="32">
        <f>중앙!E17+분당!E17+고양!E17+용인!E17+세종!E17+김해!E17+양산!E17+평택!E17</f>
        <v>0</v>
      </c>
      <c r="F17" s="32">
        <f>중앙!F17+분당!F17+고양!F17+용인!F17+세종!F17+김해!F17+양산!F17+평택!F17</f>
        <v>0</v>
      </c>
      <c r="G17" s="32">
        <f>중앙!G17+분당!G17+고양!G17+용인!G17+세종!G17+김해!G17+양산!G17+평택!G17</f>
        <v>0</v>
      </c>
      <c r="H17" s="32">
        <f>중앙!H17+분당!H17+고양!H17+용인!H17+세종!H17+김해!H17+양산!H17+평택!H17</f>
        <v>0</v>
      </c>
      <c r="I17" s="32">
        <f>중앙!I17+분당!I17+고양!I17+용인!I17+세종!I17+김해!I17+양산!I17+평택!I17</f>
        <v>0</v>
      </c>
    </row>
    <row r="18" spans="1:9" x14ac:dyDescent="0.6">
      <c r="A18" s="2" t="s">
        <v>9</v>
      </c>
      <c r="B18" s="32">
        <f>중앙!B18+분당!B18+고양!B18+용인!B18+세종!B18+김해!B18+평택!B18</f>
        <v>0</v>
      </c>
      <c r="C18" s="32">
        <f>중앙!C18+분당!C18+고양!C18+용인!C18+세종!C18+김해!C18+평택!C18</f>
        <v>0</v>
      </c>
      <c r="D18" s="32">
        <f>중앙!D18+분당!D18+고양!D18+용인!D18+세종!D18+김해!D18+양산!D18+평택!D18</f>
        <v>0</v>
      </c>
      <c r="E18" s="32">
        <f>중앙!E18+분당!E18+고양!E18+용인!E18+세종!E18+김해!E18+양산!E18+평택!E18</f>
        <v>0</v>
      </c>
      <c r="F18" s="32">
        <f>중앙!F18+분당!F18+고양!F18+용인!F18+세종!F18+김해!F18+양산!F18+평택!F18</f>
        <v>0</v>
      </c>
      <c r="G18" s="32">
        <f>중앙!G18+분당!G18+고양!G18+용인!G18+세종!G18+김해!G18+양산!G18+평택!G18</f>
        <v>0</v>
      </c>
      <c r="H18" s="32">
        <f>중앙!H18+분당!H18+고양!H18+용인!H18+세종!H18+김해!H18+양산!H18+평택!H18</f>
        <v>0</v>
      </c>
      <c r="I18" s="32">
        <f>중앙!I18+분당!I18+고양!I18+용인!I18+세종!I18+김해!I18+양산!I18+평택!I18</f>
        <v>0</v>
      </c>
    </row>
    <row r="19" spans="1:9" x14ac:dyDescent="0.6">
      <c r="A19" s="2" t="s">
        <v>10</v>
      </c>
      <c r="B19" s="32">
        <f>중앙!B19+분당!B19+고양!B19+용인!B19+세종!B19+김해!B19+평택!B19</f>
        <v>0</v>
      </c>
      <c r="C19" s="32">
        <f>중앙!C19+분당!C19+고양!C19+용인!C19+세종!C19+김해!C19+평택!C19</f>
        <v>0</v>
      </c>
      <c r="D19" s="32">
        <f>중앙!D19+분당!D19+고양!D19+용인!D19+세종!D19+김해!D19+양산!D19+평택!D19</f>
        <v>0</v>
      </c>
      <c r="E19" s="32">
        <f>중앙!E19+분당!E19+고양!E19+용인!E19+세종!E19+김해!E19+양산!E19+평택!E19</f>
        <v>0</v>
      </c>
      <c r="F19" s="32">
        <f>중앙!F19+분당!F19+고양!F19+용인!F19+세종!F19+김해!F19+양산!F19+평택!F19</f>
        <v>0</v>
      </c>
      <c r="G19" s="32">
        <f>중앙!G19+분당!G19+고양!G19+용인!G19+세종!G19+김해!G19+양산!G19+평택!G19</f>
        <v>0</v>
      </c>
      <c r="H19" s="32">
        <f>중앙!H19+분당!H19+고양!H19+용인!H19+세종!H19+김해!H19+양산!H19+평택!H19</f>
        <v>0</v>
      </c>
      <c r="I19" s="32">
        <f>중앙!I19+분당!I19+고양!I19+용인!I19+세종!I19+김해!I19+양산!I19+평택!I19</f>
        <v>0</v>
      </c>
    </row>
    <row r="20" spans="1:9" x14ac:dyDescent="0.6">
      <c r="A20" s="2" t="s">
        <v>11</v>
      </c>
      <c r="B20" s="32">
        <f>중앙!B20+분당!B20+고양!B20+용인!B20+세종!B20+김해!B20+평택!B20</f>
        <v>0</v>
      </c>
      <c r="C20" s="32">
        <f>중앙!C20+분당!C20+고양!C20+용인!C20+세종!C20+김해!C20+평택!C20</f>
        <v>0</v>
      </c>
      <c r="D20" s="32">
        <f>중앙!D20+분당!D20+고양!D20+용인!D20+세종!D20+김해!D20+양산!D20+평택!D20</f>
        <v>0</v>
      </c>
      <c r="E20" s="32">
        <f>중앙!E20+분당!E20+고양!E20+용인!E20+세종!E20+김해!E20+양산!E20+평택!E20</f>
        <v>0</v>
      </c>
      <c r="F20" s="32">
        <f>중앙!F20+분당!F20+고양!F20+용인!F20+세종!F20+김해!F20+양산!F20+평택!F20</f>
        <v>0</v>
      </c>
      <c r="G20" s="32">
        <f>중앙!G20+분당!G20+고양!G20+용인!G20+세종!G20+김해!G20+양산!G20+평택!G20</f>
        <v>0</v>
      </c>
      <c r="H20" s="32">
        <f>중앙!H20+분당!H20+고양!H20+용인!H20+세종!H20+김해!H20+양산!H20+평택!H20</f>
        <v>0</v>
      </c>
      <c r="I20" s="32">
        <f>중앙!I20+분당!I20+고양!I20+용인!I20+세종!I20+김해!I20+양산!I20+평택!I20</f>
        <v>0</v>
      </c>
    </row>
    <row r="21" spans="1:9" x14ac:dyDescent="0.6">
      <c r="A21" s="2" t="s">
        <v>12</v>
      </c>
      <c r="B21" s="32">
        <f>중앙!B21+분당!B21+고양!B21+용인!B21+세종!B21+김해!B21+평택!B21</f>
        <v>0</v>
      </c>
      <c r="C21" s="32">
        <f>중앙!C21+분당!C21+고양!C21+용인!C21+세종!C21+김해!C21+평택!C21</f>
        <v>0</v>
      </c>
      <c r="D21" s="32">
        <f>중앙!D21+분당!D21+고양!D21+용인!D21+세종!D21+김해!D21+양산!D21+평택!D21</f>
        <v>0</v>
      </c>
      <c r="E21" s="32">
        <f>중앙!E21+분당!E21+고양!E21+용인!E21+세종!E21+김해!E21+양산!E21+평택!E21</f>
        <v>0</v>
      </c>
      <c r="F21" s="32">
        <f>중앙!F21+분당!F21+고양!F21+용인!F21+세종!F21+김해!F21+양산!F21+평택!F21</f>
        <v>0</v>
      </c>
      <c r="G21" s="32">
        <f>중앙!G21+분당!G21+고양!G21+용인!G21+세종!G21+김해!G21+양산!G21+평택!G21</f>
        <v>0</v>
      </c>
      <c r="H21" s="32">
        <f>중앙!H21+분당!H21+고양!H21+용인!H21+세종!H21+김해!H21+양산!H21+평택!H21</f>
        <v>0</v>
      </c>
      <c r="I21" s="32">
        <f>중앙!I21+분당!I21+고양!I21+용인!I21+세종!I21+김해!I21+양산!I21+평택!I21</f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2:K51"/>
  <sheetViews>
    <sheetView topLeftCell="B1" zoomScale="85" zoomScaleNormal="85" workbookViewId="0">
      <selection activeCell="B4" sqref="B4:K47"/>
    </sheetView>
  </sheetViews>
  <sheetFormatPr defaultRowHeight="16.899999999999999" x14ac:dyDescent="0.6"/>
  <cols>
    <col min="1" max="1" width="30.5" bestFit="1" customWidth="1"/>
    <col min="2" max="3" width="32.5" customWidth="1"/>
    <col min="4" max="4" width="29.25" customWidth="1"/>
    <col min="5" max="5" width="20.125" customWidth="1"/>
    <col min="6" max="11" width="10.875" bestFit="1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1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44"/>
      <c r="C22" s="44"/>
      <c r="D22" s="44"/>
      <c r="E22" s="44"/>
      <c r="F22" s="44"/>
      <c r="G22" s="44"/>
      <c r="H22" s="44"/>
      <c r="I22" s="44"/>
      <c r="J22" s="44"/>
      <c r="K22" s="44"/>
    </row>
    <row r="23" spans="1:11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1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1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1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1" x14ac:dyDescent="0.6">
      <c r="A30" s="2" t="s">
        <v>71</v>
      </c>
      <c r="B30" s="2"/>
      <c r="C30" s="2"/>
      <c r="D30" s="2"/>
      <c r="E30" s="18"/>
      <c r="F30" s="29"/>
      <c r="G30" s="29"/>
      <c r="H30" s="29"/>
      <c r="I30" s="29"/>
      <c r="J30" s="29"/>
      <c r="K30" s="29"/>
    </row>
    <row r="31" spans="1:11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6">
      <c r="G32" s="44"/>
    </row>
    <row r="33" spans="1:6" x14ac:dyDescent="0.6">
      <c r="A33" s="2" t="s">
        <v>33</v>
      </c>
      <c r="B33" s="30"/>
      <c r="C33" s="30"/>
      <c r="D33" s="30"/>
      <c r="E33" s="39"/>
      <c r="F33" s="43"/>
    </row>
    <row r="34" spans="1:6" ht="16.5" customHeight="1" x14ac:dyDescent="0.6">
      <c r="A34" s="2" t="s">
        <v>6</v>
      </c>
      <c r="B34" s="47"/>
      <c r="C34" s="47"/>
      <c r="D34" s="47"/>
      <c r="E34" s="39"/>
      <c r="F34" s="43"/>
    </row>
    <row r="35" spans="1:6" x14ac:dyDescent="0.6">
      <c r="A35" s="2" t="s">
        <v>7</v>
      </c>
      <c r="B35" s="30"/>
      <c r="C35" s="30"/>
      <c r="D35" s="30"/>
      <c r="E35" s="39"/>
      <c r="F35" s="43"/>
    </row>
    <row r="36" spans="1:6" x14ac:dyDescent="0.6">
      <c r="A36" s="2" t="s">
        <v>8</v>
      </c>
      <c r="B36" s="30"/>
      <c r="C36" s="30"/>
      <c r="D36" s="30"/>
      <c r="E36" s="39"/>
      <c r="F36" s="48"/>
    </row>
    <row r="37" spans="1:6" x14ac:dyDescent="0.6">
      <c r="A37" s="2" t="s">
        <v>9</v>
      </c>
      <c r="B37" s="30"/>
      <c r="C37" s="30"/>
      <c r="D37" s="30"/>
      <c r="E37" s="39"/>
      <c r="F37" s="43"/>
    </row>
    <row r="38" spans="1:6" x14ac:dyDescent="0.6">
      <c r="A38" s="2" t="s">
        <v>10</v>
      </c>
      <c r="B38" s="30"/>
      <c r="C38" s="30"/>
      <c r="D38" s="30"/>
      <c r="E38" s="39"/>
      <c r="F38" s="43"/>
    </row>
    <row r="39" spans="1:6" x14ac:dyDescent="0.6">
      <c r="A39" s="2" t="s">
        <v>11</v>
      </c>
      <c r="B39" s="30"/>
      <c r="C39" s="30"/>
      <c r="D39" s="47"/>
      <c r="E39" s="34"/>
      <c r="F39" s="43"/>
    </row>
    <row r="40" spans="1:6" x14ac:dyDescent="0.6">
      <c r="B40" s="1"/>
      <c r="C40" s="1"/>
      <c r="D40" s="1"/>
      <c r="F40" s="43"/>
    </row>
    <row r="41" spans="1:6" x14ac:dyDescent="0.6">
      <c r="A41" s="2" t="s">
        <v>35</v>
      </c>
      <c r="B41" s="30"/>
      <c r="C41" s="30"/>
      <c r="D41" s="30"/>
      <c r="E41" s="39"/>
      <c r="F41" s="43"/>
    </row>
    <row r="42" spans="1:6" ht="16.5" customHeight="1" x14ac:dyDescent="0.6">
      <c r="A42" s="2" t="s">
        <v>26</v>
      </c>
      <c r="B42" s="47"/>
      <c r="C42" s="47"/>
      <c r="D42" s="47"/>
      <c r="E42" s="39"/>
      <c r="F42" s="43"/>
    </row>
    <row r="43" spans="1:6" x14ac:dyDescent="0.6">
      <c r="A43" s="2" t="s">
        <v>28</v>
      </c>
      <c r="B43" s="30"/>
      <c r="C43" s="30"/>
      <c r="D43" s="30"/>
      <c r="E43" s="39"/>
      <c r="F43" s="43"/>
    </row>
    <row r="44" spans="1:6" x14ac:dyDescent="0.6">
      <c r="A44" s="2" t="s">
        <v>19</v>
      </c>
      <c r="B44" s="30"/>
      <c r="C44" s="30"/>
      <c r="D44" s="30"/>
      <c r="E44" s="39"/>
      <c r="F44" s="43"/>
    </row>
    <row r="45" spans="1:6" x14ac:dyDescent="0.6">
      <c r="A45" s="2" t="s">
        <v>37</v>
      </c>
      <c r="B45" s="30"/>
      <c r="C45" s="30"/>
      <c r="D45" s="30"/>
      <c r="E45" s="39"/>
      <c r="F45" s="43"/>
    </row>
    <row r="46" spans="1:6" x14ac:dyDescent="0.6">
      <c r="A46" s="2" t="s">
        <v>38</v>
      </c>
      <c r="B46" s="30"/>
      <c r="C46" s="30"/>
      <c r="D46" s="30"/>
      <c r="E46" s="34"/>
      <c r="F46" s="43"/>
    </row>
    <row r="47" spans="1:6" x14ac:dyDescent="0.6">
      <c r="A47" s="4" t="s">
        <v>39</v>
      </c>
      <c r="B47" s="30"/>
      <c r="C47" s="30"/>
      <c r="D47" s="30"/>
      <c r="E47" s="39"/>
      <c r="F47" s="43"/>
    </row>
    <row r="49" spans="4:4" x14ac:dyDescent="0.6">
      <c r="D49" t="s">
        <v>52</v>
      </c>
    </row>
    <row r="50" spans="4:4" x14ac:dyDescent="0.6">
      <c r="D50" t="s">
        <v>64</v>
      </c>
    </row>
    <row r="51" spans="4:4" x14ac:dyDescent="0.6">
      <c r="D51" t="s">
        <v>53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2:K47"/>
  <sheetViews>
    <sheetView zoomScale="85" zoomScaleNormal="85" workbookViewId="0">
      <selection activeCell="B4" sqref="B4:K47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7.5" customWidth="1"/>
    <col min="6" max="6" width="21.25" bestFit="1" customWidth="1"/>
    <col min="7" max="8" width="10.875" bestFit="1" customWidth="1"/>
    <col min="9" max="9" width="12.125" customWidth="1"/>
    <col min="10" max="11" width="10.875" bestFit="1" customWidth="1"/>
  </cols>
  <sheetData>
    <row r="2" spans="1:11" x14ac:dyDescent="0.6">
      <c r="K2" s="8" t="s">
        <v>13</v>
      </c>
    </row>
    <row r="3" spans="1:11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1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1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1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1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1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1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1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1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1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1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6">
      <c r="E14" s="5"/>
      <c r="F14" s="5"/>
      <c r="G14" s="5"/>
      <c r="H14" s="5"/>
      <c r="I14" s="5"/>
      <c r="J14" s="5"/>
      <c r="K14" s="5"/>
    </row>
    <row r="15" spans="1:11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1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</row>
    <row r="17" spans="1:11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</row>
    <row r="18" spans="1:11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</row>
    <row r="19" spans="1:11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</row>
    <row r="20" spans="1:11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</row>
    <row r="21" spans="1:11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6">
      <c r="B22" s="1"/>
      <c r="C22" s="1"/>
      <c r="D22" s="1"/>
      <c r="E22" s="1"/>
      <c r="F22" s="1"/>
      <c r="G22" s="1"/>
      <c r="H22" s="1"/>
      <c r="I22" s="1"/>
    </row>
    <row r="23" spans="1:11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1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1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1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1" x14ac:dyDescent="0.6">
      <c r="A30" s="2" t="s">
        <v>71</v>
      </c>
      <c r="B30" s="2"/>
      <c r="C30" s="2"/>
      <c r="D30" s="2"/>
      <c r="E30" s="18"/>
      <c r="F30" s="29"/>
      <c r="G30" s="29"/>
      <c r="H30" s="29"/>
      <c r="I30" s="29"/>
      <c r="J30" s="29"/>
      <c r="K30" s="29"/>
    </row>
    <row r="31" spans="1:11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5" x14ac:dyDescent="0.6">
      <c r="A33" s="2" t="s">
        <v>33</v>
      </c>
      <c r="B33" s="30"/>
      <c r="C33" s="30"/>
      <c r="D33" s="30"/>
      <c r="E33" s="39"/>
    </row>
    <row r="34" spans="1:5" x14ac:dyDescent="0.6">
      <c r="A34" s="2" t="s">
        <v>6</v>
      </c>
      <c r="B34" s="47"/>
      <c r="C34" s="47"/>
      <c r="D34" s="47"/>
      <c r="E34" s="39"/>
    </row>
    <row r="35" spans="1:5" x14ac:dyDescent="0.6">
      <c r="A35" s="2" t="s">
        <v>7</v>
      </c>
      <c r="B35" s="30"/>
      <c r="C35" s="30"/>
      <c r="D35" s="30"/>
      <c r="E35" s="39"/>
    </row>
    <row r="36" spans="1:5" x14ac:dyDescent="0.6">
      <c r="A36" s="2" t="s">
        <v>8</v>
      </c>
      <c r="B36" s="30"/>
      <c r="C36" s="30"/>
      <c r="D36" s="30"/>
      <c r="E36" s="39"/>
    </row>
    <row r="37" spans="1:5" x14ac:dyDescent="0.6">
      <c r="A37" s="2" t="s">
        <v>9</v>
      </c>
      <c r="B37" s="30"/>
      <c r="C37" s="30"/>
      <c r="D37" s="30"/>
      <c r="E37" s="39"/>
    </row>
    <row r="38" spans="1:5" x14ac:dyDescent="0.6">
      <c r="A38" s="2" t="s">
        <v>10</v>
      </c>
      <c r="B38" s="30"/>
      <c r="C38" s="30"/>
      <c r="D38" s="30"/>
      <c r="E38" s="39"/>
    </row>
    <row r="39" spans="1:5" x14ac:dyDescent="0.6">
      <c r="A39" s="2" t="s">
        <v>11</v>
      </c>
      <c r="B39" s="30"/>
      <c r="C39" s="30"/>
      <c r="D39" s="30"/>
      <c r="E39" s="34"/>
    </row>
    <row r="40" spans="1:5" x14ac:dyDescent="0.6">
      <c r="B40" s="1"/>
      <c r="C40" s="1"/>
      <c r="D40" s="1"/>
    </row>
    <row r="41" spans="1:5" x14ac:dyDescent="0.6">
      <c r="A41" s="2" t="s">
        <v>35</v>
      </c>
      <c r="B41" s="30"/>
      <c r="C41" s="30"/>
      <c r="D41" s="30"/>
      <c r="E41" s="39"/>
    </row>
    <row r="42" spans="1:5" x14ac:dyDescent="0.6">
      <c r="A42" s="2" t="s">
        <v>26</v>
      </c>
      <c r="B42" s="47"/>
      <c r="C42" s="47"/>
      <c r="D42" s="47"/>
      <c r="E42" s="39"/>
    </row>
    <row r="43" spans="1:5" x14ac:dyDescent="0.6">
      <c r="A43" s="2" t="s">
        <v>28</v>
      </c>
      <c r="B43" s="30"/>
      <c r="C43" s="30"/>
      <c r="D43" s="30"/>
      <c r="E43" s="39"/>
    </row>
    <row r="44" spans="1:5" x14ac:dyDescent="0.6">
      <c r="A44" s="2" t="s">
        <v>19</v>
      </c>
      <c r="B44" s="30"/>
      <c r="C44" s="30"/>
      <c r="D44" s="30"/>
      <c r="E44" s="39"/>
    </row>
    <row r="45" spans="1:5" x14ac:dyDescent="0.6">
      <c r="A45" s="2" t="s">
        <v>37</v>
      </c>
      <c r="B45" s="30"/>
      <c r="C45" s="30"/>
      <c r="D45" s="30"/>
      <c r="E45" s="39"/>
    </row>
    <row r="46" spans="1:5" x14ac:dyDescent="0.6">
      <c r="A46" s="2" t="s">
        <v>38</v>
      </c>
      <c r="B46" s="30"/>
      <c r="C46" s="30"/>
      <c r="D46" s="30"/>
      <c r="E46" s="34"/>
    </row>
    <row r="47" spans="1:5" x14ac:dyDescent="0.6">
      <c r="A47" s="4" t="s">
        <v>39</v>
      </c>
      <c r="B47" s="30"/>
      <c r="C47" s="30"/>
      <c r="D47" s="30"/>
      <c r="E47" s="3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2:L48"/>
  <sheetViews>
    <sheetView zoomScale="85" zoomScaleNormal="85" workbookViewId="0">
      <selection activeCell="E27" sqref="E27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9.375" customWidth="1"/>
    <col min="6" max="6" width="21.625" customWidth="1"/>
    <col min="7" max="8" width="10.875" bestFit="1" customWidth="1"/>
    <col min="9" max="9" width="12.125" customWidth="1"/>
    <col min="10" max="11" width="10.875" bestFit="1" customWidth="1"/>
    <col min="12" max="12" width="11.25" customWidth="1"/>
  </cols>
  <sheetData>
    <row r="2" spans="1:12" x14ac:dyDescent="0.6">
      <c r="K2" s="8" t="s">
        <v>13</v>
      </c>
    </row>
    <row r="3" spans="1:12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2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2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2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2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2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2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2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2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2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2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x14ac:dyDescent="0.6">
      <c r="E14" s="5"/>
      <c r="F14" s="5"/>
      <c r="G14" s="5"/>
      <c r="H14" s="5"/>
      <c r="I14" s="5"/>
      <c r="J14" s="5"/>
      <c r="K14" s="5"/>
    </row>
    <row r="15" spans="1:12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</row>
    <row r="16" spans="1:12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  <c r="L16" s="44" t="e">
        <f>AVERAGE(E16:I16)</f>
        <v>#DIV/0!</v>
      </c>
    </row>
    <row r="17" spans="1:12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  <c r="L17" s="44" t="e">
        <f t="shared" ref="L17:L21" si="0">AVERAGE(E17:I17)</f>
        <v>#DIV/0!</v>
      </c>
    </row>
    <row r="18" spans="1:12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  <c r="L18" s="44" t="e">
        <f t="shared" si="0"/>
        <v>#DIV/0!</v>
      </c>
    </row>
    <row r="19" spans="1:12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  <c r="L19" s="44" t="e">
        <f t="shared" si="0"/>
        <v>#DIV/0!</v>
      </c>
    </row>
    <row r="20" spans="1:12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  <c r="L20" s="44" t="e">
        <f t="shared" si="0"/>
        <v>#DIV/0!</v>
      </c>
    </row>
    <row r="21" spans="1:12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44" t="e">
        <f t="shared" si="0"/>
        <v>#DIV/0!</v>
      </c>
    </row>
    <row r="22" spans="1:12" x14ac:dyDescent="0.6">
      <c r="E22" s="44"/>
      <c r="F22" s="44"/>
      <c r="G22" s="44"/>
      <c r="H22" s="44"/>
      <c r="I22" s="44"/>
    </row>
    <row r="23" spans="1:12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2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2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2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2" x14ac:dyDescent="0.6">
      <c r="A30" s="2" t="s">
        <v>71</v>
      </c>
      <c r="B30" s="3"/>
      <c r="C30" s="2"/>
      <c r="D30" s="2"/>
      <c r="E30" s="18"/>
      <c r="F30" s="29"/>
      <c r="G30" s="29"/>
      <c r="H30" s="29"/>
      <c r="I30" s="29"/>
      <c r="J30" s="29"/>
      <c r="K30" s="29"/>
    </row>
    <row r="31" spans="1:12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7" x14ac:dyDescent="0.6">
      <c r="A33" s="2" t="s">
        <v>33</v>
      </c>
      <c r="B33" s="30"/>
      <c r="C33" s="30"/>
      <c r="D33" s="30"/>
      <c r="E33" s="39"/>
    </row>
    <row r="34" spans="1:7" x14ac:dyDescent="0.6">
      <c r="A34" s="2" t="s">
        <v>6</v>
      </c>
      <c r="B34" s="47"/>
      <c r="C34" s="47"/>
      <c r="D34" s="47"/>
      <c r="E34" s="39"/>
    </row>
    <row r="35" spans="1:7" x14ac:dyDescent="0.6">
      <c r="A35" s="2" t="s">
        <v>7</v>
      </c>
      <c r="B35" s="30"/>
      <c r="C35" s="30"/>
      <c r="D35" s="30"/>
      <c r="E35" s="39"/>
      <c r="G35" s="43"/>
    </row>
    <row r="36" spans="1:7" x14ac:dyDescent="0.6">
      <c r="A36" s="2" t="s">
        <v>8</v>
      </c>
      <c r="B36" s="30"/>
      <c r="C36" s="30"/>
      <c r="D36" s="30"/>
      <c r="E36" s="39"/>
      <c r="G36" s="43"/>
    </row>
    <row r="37" spans="1:7" x14ac:dyDescent="0.6">
      <c r="A37" s="2" t="s">
        <v>9</v>
      </c>
      <c r="B37" s="30"/>
      <c r="C37" s="30"/>
      <c r="D37" s="30"/>
      <c r="E37" s="39"/>
      <c r="G37" s="43"/>
    </row>
    <row r="38" spans="1:7" x14ac:dyDescent="0.6">
      <c r="A38" s="2" t="s">
        <v>10</v>
      </c>
      <c r="B38" s="30"/>
      <c r="C38" s="30"/>
      <c r="D38" s="30"/>
      <c r="E38" s="39"/>
      <c r="G38" s="43"/>
    </row>
    <row r="39" spans="1:7" x14ac:dyDescent="0.6">
      <c r="A39" s="2" t="s">
        <v>11</v>
      </c>
      <c r="B39" s="30"/>
      <c r="C39" s="30"/>
      <c r="D39" s="30"/>
      <c r="E39" s="34"/>
    </row>
    <row r="40" spans="1:7" x14ac:dyDescent="0.6">
      <c r="B40" s="1"/>
      <c r="C40" s="1"/>
      <c r="D40" s="1"/>
    </row>
    <row r="41" spans="1:7" x14ac:dyDescent="0.6">
      <c r="A41" s="2" t="s">
        <v>35</v>
      </c>
      <c r="B41" s="30"/>
      <c r="C41" s="30"/>
      <c r="D41" s="30"/>
      <c r="E41" s="39"/>
    </row>
    <row r="42" spans="1:7" x14ac:dyDescent="0.6">
      <c r="A42" s="2" t="s">
        <v>26</v>
      </c>
      <c r="B42" s="47"/>
      <c r="C42" s="47"/>
      <c r="D42" s="47"/>
      <c r="E42" s="39"/>
    </row>
    <row r="43" spans="1:7" x14ac:dyDescent="0.6">
      <c r="A43" s="2" t="s">
        <v>28</v>
      </c>
      <c r="B43" s="30"/>
      <c r="C43" s="30"/>
      <c r="D43" s="30"/>
      <c r="E43" s="39"/>
      <c r="F43" s="43"/>
    </row>
    <row r="44" spans="1:7" x14ac:dyDescent="0.6">
      <c r="A44" s="2" t="s">
        <v>19</v>
      </c>
      <c r="B44" s="30"/>
      <c r="C44" s="30"/>
      <c r="D44" s="30"/>
      <c r="E44" s="39"/>
    </row>
    <row r="45" spans="1:7" x14ac:dyDescent="0.6">
      <c r="A45" s="2" t="s">
        <v>37</v>
      </c>
      <c r="B45" s="30"/>
      <c r="C45" s="30"/>
      <c r="D45" s="30"/>
      <c r="E45" s="39"/>
    </row>
    <row r="46" spans="1:7" x14ac:dyDescent="0.6">
      <c r="A46" s="2" t="s">
        <v>38</v>
      </c>
      <c r="B46" s="30"/>
      <c r="C46" s="30"/>
      <c r="D46" s="30"/>
      <c r="E46" s="34"/>
    </row>
    <row r="47" spans="1:7" x14ac:dyDescent="0.6">
      <c r="A47" s="4" t="s">
        <v>39</v>
      </c>
      <c r="B47" s="30"/>
      <c r="C47" s="30"/>
      <c r="D47" s="30"/>
      <c r="E47" s="39"/>
    </row>
    <row r="48" spans="1:7" x14ac:dyDescent="0.6">
      <c r="D48" t="s">
        <v>65</v>
      </c>
    </row>
  </sheetData>
  <phoneticPr fontId="2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2:L47"/>
  <sheetViews>
    <sheetView zoomScale="85" zoomScaleNormal="85" workbookViewId="0">
      <selection activeCell="B10" sqref="B10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9.5" customWidth="1"/>
    <col min="6" max="6" width="21.25" bestFit="1" customWidth="1"/>
    <col min="7" max="8" width="10.875" bestFit="1" customWidth="1"/>
    <col min="9" max="9" width="12.125" customWidth="1"/>
    <col min="10" max="11" width="10.875" bestFit="1" customWidth="1"/>
  </cols>
  <sheetData>
    <row r="2" spans="1:12" x14ac:dyDescent="0.6">
      <c r="K2" s="8" t="s">
        <v>13</v>
      </c>
    </row>
    <row r="3" spans="1:12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2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2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2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2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2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2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2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2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2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2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x14ac:dyDescent="0.6">
      <c r="E14" s="5"/>
      <c r="F14" s="5"/>
      <c r="G14" s="5"/>
      <c r="H14" s="5"/>
      <c r="I14" s="5"/>
      <c r="J14" s="5"/>
      <c r="K14" s="5"/>
    </row>
    <row r="15" spans="1:12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  <c r="L15" s="44" t="e">
        <f>AVERAGE(E15:I15)</f>
        <v>#DIV/0!</v>
      </c>
    </row>
    <row r="16" spans="1:12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  <c r="L16" s="44" t="e">
        <f t="shared" ref="L16:L20" si="0">AVERAGE(E16:I16)</f>
        <v>#DIV/0!</v>
      </c>
    </row>
    <row r="17" spans="1:12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  <c r="L17" s="44" t="e">
        <f t="shared" si="0"/>
        <v>#DIV/0!</v>
      </c>
    </row>
    <row r="18" spans="1:12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  <c r="L18" s="44" t="e">
        <f t="shared" si="0"/>
        <v>#DIV/0!</v>
      </c>
    </row>
    <row r="19" spans="1:12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  <c r="L19" s="44" t="e">
        <f t="shared" si="0"/>
        <v>#DIV/0!</v>
      </c>
    </row>
    <row r="20" spans="1:12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  <c r="L20" s="44" t="e">
        <f t="shared" si="0"/>
        <v>#DIV/0!</v>
      </c>
    </row>
    <row r="21" spans="1:12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2" x14ac:dyDescent="0.6">
      <c r="B22" s="44"/>
      <c r="C22" s="44"/>
      <c r="D22" s="44"/>
      <c r="E22" s="44"/>
      <c r="F22" s="44"/>
      <c r="G22" s="44"/>
      <c r="H22" s="44"/>
      <c r="I22" s="44"/>
    </row>
    <row r="23" spans="1:12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2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2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2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2" x14ac:dyDescent="0.6">
      <c r="A30" s="2" t="s">
        <v>71</v>
      </c>
      <c r="B30" s="2"/>
      <c r="C30" s="2"/>
      <c r="D30" s="2"/>
      <c r="E30" s="18"/>
      <c r="F30" s="29"/>
      <c r="G30" s="29"/>
      <c r="H30" s="29"/>
      <c r="I30" s="29"/>
      <c r="J30" s="29"/>
      <c r="K30" s="29"/>
    </row>
    <row r="31" spans="1:12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5" x14ac:dyDescent="0.6">
      <c r="A33" s="2" t="s">
        <v>33</v>
      </c>
      <c r="B33" s="30"/>
      <c r="C33" s="30"/>
      <c r="D33" s="30"/>
      <c r="E33" s="39"/>
    </row>
    <row r="34" spans="1:5" x14ac:dyDescent="0.6">
      <c r="A34" s="2" t="s">
        <v>6</v>
      </c>
      <c r="B34" s="47"/>
      <c r="C34" s="47"/>
      <c r="D34" s="47"/>
      <c r="E34" s="39"/>
    </row>
    <row r="35" spans="1:5" x14ac:dyDescent="0.6">
      <c r="A35" s="2" t="s">
        <v>7</v>
      </c>
      <c r="B35" s="30"/>
      <c r="C35" s="30"/>
      <c r="D35" s="30"/>
      <c r="E35" s="39"/>
    </row>
    <row r="36" spans="1:5" x14ac:dyDescent="0.6">
      <c r="A36" s="2" t="s">
        <v>8</v>
      </c>
      <c r="B36" s="30"/>
      <c r="C36" s="30"/>
      <c r="D36" s="30"/>
      <c r="E36" s="39"/>
    </row>
    <row r="37" spans="1:5" x14ac:dyDescent="0.6">
      <c r="A37" s="2" t="s">
        <v>9</v>
      </c>
      <c r="B37" s="30"/>
      <c r="C37" s="30"/>
      <c r="D37" s="30"/>
      <c r="E37" s="39"/>
    </row>
    <row r="38" spans="1:5" x14ac:dyDescent="0.6">
      <c r="A38" s="2" t="s">
        <v>10</v>
      </c>
      <c r="B38" s="30"/>
      <c r="C38" s="30"/>
      <c r="D38" s="30"/>
      <c r="E38" s="39"/>
    </row>
    <row r="39" spans="1:5" x14ac:dyDescent="0.6">
      <c r="A39" s="2" t="s">
        <v>11</v>
      </c>
      <c r="B39" s="30"/>
      <c r="C39" s="30"/>
      <c r="D39" s="30"/>
      <c r="E39" s="34"/>
    </row>
    <row r="40" spans="1:5" x14ac:dyDescent="0.6">
      <c r="B40" s="1"/>
      <c r="C40" s="1"/>
      <c r="D40" s="1"/>
    </row>
    <row r="41" spans="1:5" x14ac:dyDescent="0.6">
      <c r="A41" s="2" t="s">
        <v>35</v>
      </c>
      <c r="B41" s="30"/>
      <c r="C41" s="30"/>
      <c r="D41" s="30"/>
      <c r="E41" s="39"/>
    </row>
    <row r="42" spans="1:5" x14ac:dyDescent="0.6">
      <c r="A42" s="2" t="s">
        <v>26</v>
      </c>
      <c r="B42" s="47"/>
      <c r="C42" s="47"/>
      <c r="D42" s="47"/>
      <c r="E42" s="39"/>
    </row>
    <row r="43" spans="1:5" x14ac:dyDescent="0.6">
      <c r="A43" s="2" t="s">
        <v>28</v>
      </c>
      <c r="B43" s="30"/>
      <c r="C43" s="30"/>
      <c r="D43" s="30"/>
      <c r="E43" s="39"/>
    </row>
    <row r="44" spans="1:5" x14ac:dyDescent="0.6">
      <c r="A44" s="2" t="s">
        <v>19</v>
      </c>
      <c r="B44" s="30"/>
      <c r="C44" s="30"/>
      <c r="D44" s="30"/>
      <c r="E44" s="39"/>
    </row>
    <row r="45" spans="1:5" x14ac:dyDescent="0.6">
      <c r="A45" s="2" t="s">
        <v>37</v>
      </c>
      <c r="B45" s="30"/>
      <c r="C45" s="30"/>
      <c r="D45" s="30"/>
      <c r="E45" s="39"/>
    </row>
    <row r="46" spans="1:5" x14ac:dyDescent="0.6">
      <c r="A46" s="2" t="s">
        <v>38</v>
      </c>
      <c r="B46" s="30"/>
      <c r="C46" s="30"/>
      <c r="D46" s="30"/>
      <c r="E46" s="34"/>
    </row>
    <row r="47" spans="1:5" x14ac:dyDescent="0.6">
      <c r="A47" s="4" t="s">
        <v>39</v>
      </c>
      <c r="B47" s="30"/>
      <c r="C47" s="30"/>
      <c r="D47" s="30"/>
      <c r="E47" s="3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2:L47"/>
  <sheetViews>
    <sheetView topLeftCell="B1" zoomScale="85" zoomScaleNormal="85" workbookViewId="0">
      <selection activeCell="I20" sqref="I20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3.25" customWidth="1"/>
    <col min="6" max="6" width="21.25" bestFit="1" customWidth="1"/>
    <col min="7" max="8" width="10.875" bestFit="1" customWidth="1"/>
    <col min="9" max="9" width="12.125" customWidth="1"/>
    <col min="10" max="11" width="10.875" bestFit="1" customWidth="1"/>
  </cols>
  <sheetData>
    <row r="2" spans="1:12" x14ac:dyDescent="0.6">
      <c r="K2" s="8" t="s">
        <v>13</v>
      </c>
    </row>
    <row r="3" spans="1:12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2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2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2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2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2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2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2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2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2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2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x14ac:dyDescent="0.6">
      <c r="E14" s="5"/>
      <c r="F14" s="5"/>
      <c r="G14" s="5"/>
      <c r="H14" s="5"/>
      <c r="I14" s="5"/>
      <c r="J14" s="5"/>
      <c r="K14" s="5"/>
    </row>
    <row r="15" spans="1:12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  <c r="L15" s="44" t="e">
        <f>AVERAGE(E15:I15)</f>
        <v>#DIV/0!</v>
      </c>
    </row>
    <row r="16" spans="1:12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  <c r="L16" s="44" t="e">
        <f t="shared" ref="L16:L20" si="0">AVERAGE(E16:I16)</f>
        <v>#DIV/0!</v>
      </c>
    </row>
    <row r="17" spans="1:12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  <c r="L17" s="44" t="e">
        <f t="shared" si="0"/>
        <v>#DIV/0!</v>
      </c>
    </row>
    <row r="18" spans="1:12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  <c r="L18" s="44" t="e">
        <f t="shared" si="0"/>
        <v>#DIV/0!</v>
      </c>
    </row>
    <row r="19" spans="1:12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  <c r="L19" s="44" t="e">
        <f t="shared" si="0"/>
        <v>#DIV/0!</v>
      </c>
    </row>
    <row r="20" spans="1:12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  <c r="L20" s="44" t="e">
        <f t="shared" si="0"/>
        <v>#DIV/0!</v>
      </c>
    </row>
    <row r="21" spans="1:12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2" x14ac:dyDescent="0.6">
      <c r="B22" s="1"/>
      <c r="C22" s="1"/>
      <c r="D22" s="1"/>
      <c r="E22" s="1"/>
      <c r="F22" s="1"/>
      <c r="G22" s="1"/>
      <c r="H22" s="1"/>
      <c r="I22" s="1"/>
    </row>
    <row r="23" spans="1:12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2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2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2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2" x14ac:dyDescent="0.6">
      <c r="A30" s="2" t="s">
        <v>71</v>
      </c>
      <c r="B30" s="2"/>
      <c r="C30" s="2"/>
      <c r="D30" s="2"/>
      <c r="E30" s="18"/>
      <c r="F30" s="29"/>
      <c r="G30" s="29"/>
      <c r="H30" s="29"/>
      <c r="I30" s="29"/>
      <c r="J30" s="29"/>
      <c r="K30" s="29"/>
    </row>
    <row r="31" spans="1:12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5" x14ac:dyDescent="0.6">
      <c r="A33" s="2" t="s">
        <v>33</v>
      </c>
      <c r="B33" s="30"/>
      <c r="C33" s="30"/>
      <c r="D33" s="30"/>
      <c r="E33" s="39"/>
    </row>
    <row r="34" spans="1:5" x14ac:dyDescent="0.6">
      <c r="A34" s="2" t="s">
        <v>6</v>
      </c>
      <c r="B34" s="47"/>
      <c r="C34" s="47"/>
      <c r="D34" s="47"/>
      <c r="E34" s="39"/>
    </row>
    <row r="35" spans="1:5" x14ac:dyDescent="0.6">
      <c r="A35" s="2" t="s">
        <v>7</v>
      </c>
      <c r="B35" s="30"/>
      <c r="C35" s="30"/>
      <c r="D35" s="30"/>
      <c r="E35" s="39"/>
    </row>
    <row r="36" spans="1:5" x14ac:dyDescent="0.6">
      <c r="A36" s="2" t="s">
        <v>8</v>
      </c>
      <c r="B36" s="30"/>
      <c r="C36" s="30"/>
      <c r="D36" s="30"/>
      <c r="E36" s="39"/>
    </row>
    <row r="37" spans="1:5" x14ac:dyDescent="0.6">
      <c r="A37" s="2" t="s">
        <v>9</v>
      </c>
      <c r="B37" s="30"/>
      <c r="C37" s="30"/>
      <c r="D37" s="30"/>
      <c r="E37" s="39"/>
    </row>
    <row r="38" spans="1:5" x14ac:dyDescent="0.6">
      <c r="A38" s="2" t="s">
        <v>10</v>
      </c>
      <c r="B38" s="30"/>
      <c r="C38" s="30"/>
      <c r="D38" s="30"/>
      <c r="E38" s="39"/>
    </row>
    <row r="39" spans="1:5" x14ac:dyDescent="0.6">
      <c r="A39" s="2" t="s">
        <v>11</v>
      </c>
      <c r="B39" s="30"/>
      <c r="C39" s="30"/>
      <c r="D39" s="30"/>
      <c r="E39" s="34"/>
    </row>
    <row r="40" spans="1:5" x14ac:dyDescent="0.6">
      <c r="B40" s="1"/>
      <c r="C40" s="1"/>
      <c r="D40" s="1"/>
    </row>
    <row r="41" spans="1:5" x14ac:dyDescent="0.6">
      <c r="A41" s="2" t="s">
        <v>35</v>
      </c>
      <c r="B41" s="30"/>
      <c r="C41" s="30"/>
      <c r="D41" s="30"/>
      <c r="E41" s="39"/>
    </row>
    <row r="42" spans="1:5" x14ac:dyDescent="0.6">
      <c r="A42" s="2" t="s">
        <v>26</v>
      </c>
      <c r="B42" s="47"/>
      <c r="C42" s="47"/>
      <c r="D42" s="47"/>
      <c r="E42" s="39"/>
    </row>
    <row r="43" spans="1:5" x14ac:dyDescent="0.6">
      <c r="A43" s="2" t="s">
        <v>28</v>
      </c>
      <c r="B43" s="30"/>
      <c r="C43" s="30"/>
      <c r="D43" s="30"/>
      <c r="E43" s="39"/>
    </row>
    <row r="44" spans="1:5" x14ac:dyDescent="0.6">
      <c r="A44" s="2" t="s">
        <v>19</v>
      </c>
      <c r="B44" s="30"/>
      <c r="C44" s="30"/>
      <c r="D44" s="30"/>
      <c r="E44" s="39"/>
    </row>
    <row r="45" spans="1:5" x14ac:dyDescent="0.6">
      <c r="A45" s="2" t="s">
        <v>37</v>
      </c>
      <c r="B45" s="30"/>
      <c r="C45" s="30"/>
      <c r="D45" s="30"/>
      <c r="E45" s="39"/>
    </row>
    <row r="46" spans="1:5" x14ac:dyDescent="0.6">
      <c r="A46" s="2" t="s">
        <v>38</v>
      </c>
      <c r="B46" s="30"/>
      <c r="C46" s="30"/>
      <c r="D46" s="30"/>
      <c r="E46" s="34"/>
    </row>
    <row r="47" spans="1:5" x14ac:dyDescent="0.6">
      <c r="A47" s="4" t="s">
        <v>39</v>
      </c>
      <c r="B47" s="30"/>
      <c r="C47" s="30"/>
      <c r="D47" s="30"/>
      <c r="E47" s="3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2:L47"/>
  <sheetViews>
    <sheetView topLeftCell="B1" zoomScale="85" zoomScaleNormal="85" workbookViewId="0">
      <selection activeCell="I26" sqref="I26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6.125" customWidth="1"/>
    <col min="6" max="6" width="18.75" customWidth="1"/>
    <col min="7" max="8" width="10.875" bestFit="1" customWidth="1"/>
    <col min="9" max="9" width="12.125" customWidth="1"/>
    <col min="10" max="11" width="10.875" bestFit="1" customWidth="1"/>
  </cols>
  <sheetData>
    <row r="2" spans="1:12" x14ac:dyDescent="0.6">
      <c r="K2" s="8" t="s">
        <v>13</v>
      </c>
    </row>
    <row r="3" spans="1:12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2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2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2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2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2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2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2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2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2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2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x14ac:dyDescent="0.6">
      <c r="E14" s="5"/>
      <c r="F14" s="5"/>
      <c r="G14" s="5"/>
      <c r="H14" s="5"/>
      <c r="I14" s="5"/>
      <c r="J14" s="5"/>
      <c r="K14" s="5"/>
    </row>
    <row r="15" spans="1:12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  <c r="L15" s="44"/>
    </row>
    <row r="16" spans="1:12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  <c r="L16" s="44"/>
    </row>
    <row r="17" spans="1:12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  <c r="L17" s="44"/>
    </row>
    <row r="18" spans="1:12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  <c r="L18" s="44"/>
    </row>
    <row r="19" spans="1:12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  <c r="L19" s="44"/>
    </row>
    <row r="20" spans="1:12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  <c r="L20" s="44"/>
    </row>
    <row r="21" spans="1:12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2" x14ac:dyDescent="0.6">
      <c r="B22" s="44"/>
      <c r="C22" s="44"/>
      <c r="D22" s="44"/>
      <c r="E22" s="44"/>
      <c r="F22" s="44"/>
      <c r="G22" s="44"/>
      <c r="H22" s="44"/>
      <c r="I22" s="44"/>
    </row>
    <row r="23" spans="1:12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2" x14ac:dyDescent="0.6">
      <c r="A27" s="2" t="s">
        <v>26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2" x14ac:dyDescent="0.6">
      <c r="A28" s="2" t="s">
        <v>27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2" x14ac:dyDescent="0.6">
      <c r="A29" s="2" t="s">
        <v>30</v>
      </c>
      <c r="B29" s="18"/>
      <c r="C29" s="18"/>
      <c r="D29" s="18"/>
      <c r="E29" s="18"/>
      <c r="F29" s="29"/>
      <c r="G29" s="29"/>
      <c r="H29" s="29"/>
      <c r="I29" s="29"/>
      <c r="J29" s="29"/>
      <c r="K29" s="29"/>
    </row>
    <row r="30" spans="1:12" x14ac:dyDescent="0.6">
      <c r="A30" s="2" t="s">
        <v>71</v>
      </c>
      <c r="B30" s="76"/>
      <c r="C30" s="18"/>
      <c r="D30" s="18"/>
      <c r="E30" s="18"/>
      <c r="F30" s="29"/>
      <c r="G30" s="29"/>
      <c r="H30" s="29"/>
      <c r="I30" s="29"/>
      <c r="J30" s="29"/>
      <c r="K30" s="29"/>
    </row>
    <row r="31" spans="1:12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5" x14ac:dyDescent="0.6">
      <c r="A33" s="2" t="s">
        <v>33</v>
      </c>
      <c r="B33" s="30"/>
      <c r="C33" s="30"/>
      <c r="D33" s="30"/>
      <c r="E33" s="39"/>
    </row>
    <row r="34" spans="1:5" x14ac:dyDescent="0.6">
      <c r="A34" s="2" t="s">
        <v>6</v>
      </c>
      <c r="B34" s="47"/>
      <c r="C34" s="47"/>
      <c r="D34" s="47"/>
      <c r="E34" s="39"/>
    </row>
    <row r="35" spans="1:5" x14ac:dyDescent="0.6">
      <c r="A35" s="2" t="s">
        <v>7</v>
      </c>
      <c r="B35" s="30"/>
      <c r="C35" s="30"/>
      <c r="D35" s="30"/>
      <c r="E35" s="39"/>
    </row>
    <row r="36" spans="1:5" x14ac:dyDescent="0.6">
      <c r="A36" s="2" t="s">
        <v>8</v>
      </c>
      <c r="B36" s="30"/>
      <c r="C36" s="30"/>
      <c r="D36" s="30"/>
      <c r="E36" s="39"/>
    </row>
    <row r="37" spans="1:5" x14ac:dyDescent="0.6">
      <c r="A37" s="2" t="s">
        <v>9</v>
      </c>
      <c r="B37" s="30"/>
      <c r="C37" s="30"/>
      <c r="D37" s="30"/>
      <c r="E37" s="39"/>
    </row>
    <row r="38" spans="1:5" x14ac:dyDescent="0.6">
      <c r="A38" s="2" t="s">
        <v>10</v>
      </c>
      <c r="B38" s="30"/>
      <c r="C38" s="30"/>
      <c r="D38" s="30"/>
      <c r="E38" s="39"/>
    </row>
    <row r="39" spans="1:5" x14ac:dyDescent="0.6">
      <c r="A39" s="2" t="s">
        <v>11</v>
      </c>
      <c r="B39" s="30"/>
      <c r="C39" s="30"/>
      <c r="D39" s="30"/>
      <c r="E39" s="34"/>
    </row>
    <row r="40" spans="1:5" x14ac:dyDescent="0.6">
      <c r="B40" s="1"/>
      <c r="C40" s="1"/>
      <c r="D40" s="1"/>
    </row>
    <row r="41" spans="1:5" x14ac:dyDescent="0.6">
      <c r="A41" s="2" t="s">
        <v>35</v>
      </c>
      <c r="B41" s="30"/>
      <c r="C41" s="30"/>
      <c r="D41" s="30"/>
      <c r="E41" s="39"/>
    </row>
    <row r="42" spans="1:5" x14ac:dyDescent="0.6">
      <c r="A42" s="2" t="s">
        <v>26</v>
      </c>
      <c r="B42" s="47"/>
      <c r="C42" s="47"/>
      <c r="D42" s="47"/>
      <c r="E42" s="39"/>
    </row>
    <row r="43" spans="1:5" x14ac:dyDescent="0.6">
      <c r="A43" s="2" t="s">
        <v>28</v>
      </c>
      <c r="B43" s="30"/>
      <c r="C43" s="30"/>
      <c r="D43" s="30"/>
      <c r="E43" s="39"/>
    </row>
    <row r="44" spans="1:5" x14ac:dyDescent="0.6">
      <c r="A44" s="2" t="s">
        <v>19</v>
      </c>
      <c r="B44" s="30"/>
      <c r="C44" s="30"/>
      <c r="D44" s="30"/>
      <c r="E44" s="39"/>
    </row>
    <row r="45" spans="1:5" x14ac:dyDescent="0.6">
      <c r="A45" s="2" t="s">
        <v>37</v>
      </c>
      <c r="B45" s="30"/>
      <c r="C45" s="30"/>
      <c r="D45" s="30"/>
      <c r="E45" s="39"/>
    </row>
    <row r="46" spans="1:5" x14ac:dyDescent="0.6">
      <c r="A46" s="2" t="s">
        <v>38</v>
      </c>
      <c r="B46" s="30"/>
      <c r="C46" s="30"/>
      <c r="D46" s="30"/>
      <c r="E46" s="34"/>
    </row>
    <row r="47" spans="1:5" x14ac:dyDescent="0.6">
      <c r="A47" s="4" t="s">
        <v>39</v>
      </c>
      <c r="B47" s="30"/>
      <c r="C47" s="30"/>
      <c r="D47" s="30"/>
      <c r="E47" s="39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Q47"/>
  <sheetViews>
    <sheetView zoomScale="70" zoomScaleNormal="70" workbookViewId="0">
      <selection activeCell="B14" sqref="B14"/>
    </sheetView>
  </sheetViews>
  <sheetFormatPr defaultRowHeight="16.899999999999999" x14ac:dyDescent="0.6"/>
  <cols>
    <col min="1" max="1" width="30.5" bestFit="1" customWidth="1"/>
    <col min="2" max="4" width="30.5" customWidth="1"/>
    <col min="5" max="5" width="13.25" customWidth="1"/>
    <col min="6" max="6" width="14" customWidth="1"/>
    <col min="7" max="8" width="10.875" bestFit="1" customWidth="1"/>
    <col min="9" max="9" width="12.125" customWidth="1"/>
    <col min="10" max="11" width="10.875" bestFit="1" customWidth="1"/>
  </cols>
  <sheetData>
    <row r="2" spans="1:12" x14ac:dyDescent="0.6">
      <c r="K2" s="8" t="s">
        <v>13</v>
      </c>
    </row>
    <row r="3" spans="1:12" x14ac:dyDescent="0.6">
      <c r="A3" s="2"/>
      <c r="B3" s="87">
        <v>2025</v>
      </c>
      <c r="C3" s="85">
        <v>2024</v>
      </c>
      <c r="D3" s="85">
        <v>2023</v>
      </c>
      <c r="E3" s="11">
        <v>2022</v>
      </c>
      <c r="F3" s="11">
        <v>2021</v>
      </c>
      <c r="G3" s="11">
        <v>2020</v>
      </c>
      <c r="H3" s="11">
        <v>2019</v>
      </c>
      <c r="I3" s="11">
        <v>2018</v>
      </c>
      <c r="J3" s="11">
        <v>2017</v>
      </c>
      <c r="K3" s="11">
        <v>2016</v>
      </c>
    </row>
    <row r="4" spans="1:12" x14ac:dyDescent="0.6">
      <c r="A4" s="2" t="s">
        <v>0</v>
      </c>
      <c r="B4" s="32"/>
      <c r="C4" s="32"/>
      <c r="D4" s="32"/>
      <c r="E4" s="7"/>
      <c r="F4" s="7"/>
      <c r="G4" s="5"/>
      <c r="H4" s="5"/>
      <c r="I4" s="5"/>
      <c r="J4" s="5"/>
      <c r="K4" s="5"/>
    </row>
    <row r="5" spans="1:12" x14ac:dyDescent="0.6">
      <c r="A5" s="2" t="s">
        <v>1</v>
      </c>
      <c r="B5" s="32"/>
      <c r="C5" s="32"/>
      <c r="D5" s="32"/>
      <c r="E5" s="5"/>
      <c r="F5" s="5"/>
      <c r="G5" s="5"/>
      <c r="H5" s="5"/>
      <c r="I5" s="5"/>
      <c r="J5" s="5"/>
      <c r="K5" s="5"/>
    </row>
    <row r="6" spans="1:12" x14ac:dyDescent="0.6">
      <c r="A6" s="2" t="s">
        <v>2</v>
      </c>
      <c r="B6" s="32"/>
      <c r="C6" s="32"/>
      <c r="D6" s="32"/>
      <c r="E6" s="5"/>
      <c r="F6" s="5"/>
      <c r="G6" s="5"/>
      <c r="H6" s="5"/>
      <c r="I6" s="5"/>
      <c r="J6" s="5"/>
      <c r="K6" s="5"/>
    </row>
    <row r="7" spans="1:12" x14ac:dyDescent="0.6">
      <c r="A7" s="2" t="s">
        <v>3</v>
      </c>
      <c r="B7" s="32"/>
      <c r="C7" s="32"/>
      <c r="D7" s="32"/>
      <c r="E7" s="5"/>
      <c r="F7" s="5"/>
      <c r="G7" s="5"/>
      <c r="H7" s="5"/>
      <c r="I7" s="5"/>
      <c r="J7" s="5"/>
      <c r="K7" s="5"/>
    </row>
    <row r="8" spans="1:12" x14ac:dyDescent="0.6">
      <c r="A8" s="2" t="s">
        <v>18</v>
      </c>
      <c r="B8" s="32"/>
      <c r="C8" s="32"/>
      <c r="D8" s="32"/>
      <c r="E8" s="5"/>
      <c r="F8" s="5"/>
      <c r="G8" s="5"/>
      <c r="H8" s="5"/>
      <c r="I8" s="5"/>
      <c r="J8" s="5"/>
      <c r="K8" s="5"/>
    </row>
    <row r="9" spans="1:12" x14ac:dyDescent="0.6">
      <c r="A9" s="2" t="s">
        <v>19</v>
      </c>
      <c r="B9" s="32"/>
      <c r="C9" s="32"/>
      <c r="D9" s="32"/>
      <c r="E9" s="5"/>
      <c r="F9" s="5"/>
      <c r="G9" s="5"/>
      <c r="H9" s="5"/>
      <c r="I9" s="5"/>
      <c r="J9" s="5"/>
      <c r="K9" s="5"/>
    </row>
    <row r="10" spans="1:12" x14ac:dyDescent="0.6">
      <c r="A10" s="2" t="s">
        <v>17</v>
      </c>
      <c r="B10" s="32"/>
      <c r="C10" s="32"/>
      <c r="D10" s="32"/>
      <c r="E10" s="7"/>
      <c r="F10" s="7"/>
      <c r="G10" s="5"/>
      <c r="H10" s="5"/>
      <c r="I10" s="5"/>
      <c r="J10" s="5"/>
      <c r="K10" s="5"/>
    </row>
    <row r="11" spans="1:12" x14ac:dyDescent="0.6">
      <c r="A11" s="2" t="s">
        <v>4</v>
      </c>
      <c r="B11" s="32"/>
      <c r="C11" s="32"/>
      <c r="D11" s="32"/>
      <c r="E11" s="5"/>
      <c r="F11" s="5"/>
      <c r="G11" s="5"/>
      <c r="H11" s="5"/>
      <c r="I11" s="5"/>
      <c r="J11" s="5"/>
      <c r="K11" s="5"/>
    </row>
    <row r="12" spans="1:12" x14ac:dyDescent="0.6">
      <c r="A12" s="2" t="s">
        <v>69</v>
      </c>
      <c r="B12" s="32"/>
      <c r="C12" s="32"/>
      <c r="D12" s="32"/>
      <c r="E12" s="5"/>
      <c r="F12" s="5"/>
      <c r="G12" s="5"/>
      <c r="H12" s="5"/>
      <c r="I12" s="5"/>
      <c r="J12" s="5"/>
      <c r="K12" s="5"/>
    </row>
    <row r="13" spans="1:12" x14ac:dyDescent="0.6">
      <c r="A13" s="2" t="s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 x14ac:dyDescent="0.6">
      <c r="E14" s="5"/>
      <c r="F14" s="5"/>
      <c r="G14" s="5"/>
      <c r="H14" s="5"/>
      <c r="I14" s="5"/>
      <c r="J14" s="5"/>
      <c r="K14" s="5"/>
    </row>
    <row r="15" spans="1:12" x14ac:dyDescent="0.6">
      <c r="A15" s="2" t="s">
        <v>6</v>
      </c>
      <c r="B15" s="32"/>
      <c r="C15" s="32"/>
      <c r="D15" s="32"/>
      <c r="E15" s="5"/>
      <c r="F15" s="5"/>
      <c r="G15" s="5"/>
      <c r="H15" s="5"/>
      <c r="I15" s="5"/>
      <c r="J15" s="5"/>
      <c r="K15" s="5"/>
      <c r="L15" s="44"/>
    </row>
    <row r="16" spans="1:12" x14ac:dyDescent="0.6">
      <c r="A16" s="2" t="s">
        <v>7</v>
      </c>
      <c r="B16" s="32"/>
      <c r="C16" s="32"/>
      <c r="D16" s="32"/>
      <c r="E16" s="5"/>
      <c r="F16" s="5"/>
      <c r="G16" s="5"/>
      <c r="H16" s="5"/>
      <c r="I16" s="5"/>
      <c r="J16" s="5"/>
      <c r="K16" s="5"/>
      <c r="L16" s="44"/>
    </row>
    <row r="17" spans="1:17" x14ac:dyDescent="0.6">
      <c r="A17" s="2" t="s">
        <v>8</v>
      </c>
      <c r="B17" s="32"/>
      <c r="C17" s="32"/>
      <c r="D17" s="32"/>
      <c r="E17" s="5"/>
      <c r="F17" s="5"/>
      <c r="G17" s="5"/>
      <c r="H17" s="5"/>
      <c r="I17" s="5"/>
      <c r="J17" s="5"/>
      <c r="K17" s="5"/>
      <c r="L17" s="44"/>
    </row>
    <row r="18" spans="1:17" x14ac:dyDescent="0.6">
      <c r="A18" s="2" t="s">
        <v>9</v>
      </c>
      <c r="B18" s="32"/>
      <c r="C18" s="32"/>
      <c r="D18" s="32"/>
      <c r="E18" s="5"/>
      <c r="F18" s="5"/>
      <c r="G18" s="5"/>
      <c r="H18" s="5"/>
      <c r="I18" s="5"/>
      <c r="J18" s="5"/>
      <c r="K18" s="5"/>
      <c r="L18" s="44"/>
      <c r="Q18">
        <f>1254/1221</f>
        <v>1.027027027027027</v>
      </c>
    </row>
    <row r="19" spans="1:17" x14ac:dyDescent="0.6">
      <c r="A19" s="2" t="s">
        <v>10</v>
      </c>
      <c r="B19" s="32"/>
      <c r="C19" s="32"/>
      <c r="D19" s="32"/>
      <c r="E19" s="5"/>
      <c r="F19" s="5"/>
      <c r="G19" s="5"/>
      <c r="H19" s="5"/>
      <c r="I19" s="5"/>
      <c r="J19" s="5"/>
      <c r="K19" s="5"/>
      <c r="L19" s="44"/>
    </row>
    <row r="20" spans="1:17" x14ac:dyDescent="0.6">
      <c r="A20" s="2" t="s">
        <v>11</v>
      </c>
      <c r="B20" s="32"/>
      <c r="C20" s="32"/>
      <c r="D20" s="32"/>
      <c r="E20" s="5"/>
      <c r="F20" s="5"/>
      <c r="G20" s="5"/>
      <c r="H20" s="5"/>
      <c r="I20" s="5"/>
      <c r="J20" s="5"/>
      <c r="K20" s="5"/>
      <c r="L20" s="44"/>
    </row>
    <row r="21" spans="1:17" x14ac:dyDescent="0.6">
      <c r="A21" s="2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3" spans="1:17" x14ac:dyDescent="0.6">
      <c r="A23" s="10" t="s">
        <v>25</v>
      </c>
      <c r="B23" s="19"/>
      <c r="C23" s="19"/>
      <c r="D23" s="19"/>
      <c r="E23" s="85"/>
      <c r="F23" s="85"/>
      <c r="G23" s="16"/>
      <c r="H23" s="16"/>
      <c r="I23" s="16"/>
      <c r="J23" s="85"/>
      <c r="K23" s="85"/>
    </row>
    <row r="27" spans="1:17" x14ac:dyDescent="0.6">
      <c r="A27" s="2" t="s">
        <v>26</v>
      </c>
      <c r="B27" s="2"/>
      <c r="C27" s="2"/>
      <c r="D27" s="2"/>
      <c r="E27" s="29"/>
      <c r="F27" s="29"/>
      <c r="G27" s="29"/>
      <c r="H27" s="29"/>
      <c r="I27" s="29"/>
      <c r="J27" s="29"/>
      <c r="K27" s="29"/>
    </row>
    <row r="28" spans="1:17" x14ac:dyDescent="0.6">
      <c r="A28" s="2" t="s">
        <v>27</v>
      </c>
      <c r="B28" s="2"/>
      <c r="C28" s="2"/>
      <c r="D28" s="2"/>
      <c r="E28" s="29"/>
      <c r="F28" s="29"/>
      <c r="G28" s="29"/>
      <c r="H28" s="29"/>
      <c r="I28" s="29"/>
      <c r="J28" s="29"/>
      <c r="K28" s="29"/>
    </row>
    <row r="29" spans="1:17" x14ac:dyDescent="0.6">
      <c r="A29" s="2" t="s">
        <v>30</v>
      </c>
      <c r="B29" s="2"/>
      <c r="C29" s="2"/>
      <c r="D29" s="2"/>
      <c r="E29" s="18"/>
      <c r="F29" s="29"/>
      <c r="G29" s="29"/>
      <c r="H29" s="29"/>
      <c r="I29" s="29"/>
      <c r="J29" s="29"/>
      <c r="K29" s="29"/>
    </row>
    <row r="30" spans="1:17" x14ac:dyDescent="0.6">
      <c r="A30" s="2" t="s">
        <v>71</v>
      </c>
      <c r="B30" s="2"/>
      <c r="C30" s="2"/>
      <c r="D30" s="2"/>
      <c r="E30" s="18"/>
      <c r="F30" s="29"/>
      <c r="G30" s="29"/>
      <c r="H30" s="29"/>
      <c r="I30" s="29"/>
      <c r="J30" s="29"/>
      <c r="K30" s="29"/>
    </row>
    <row r="31" spans="1:17" x14ac:dyDescent="0.6">
      <c r="A31" s="2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3" spans="1:5" x14ac:dyDescent="0.6">
      <c r="A33" s="2" t="s">
        <v>33</v>
      </c>
      <c r="B33" s="30"/>
      <c r="C33" s="30"/>
      <c r="D33" s="30"/>
      <c r="E33" s="39"/>
    </row>
    <row r="34" spans="1:5" x14ac:dyDescent="0.6">
      <c r="A34" s="2" t="s">
        <v>6</v>
      </c>
      <c r="B34" s="47"/>
      <c r="C34" s="47"/>
      <c r="D34" s="47"/>
      <c r="E34" s="39"/>
    </row>
    <row r="35" spans="1:5" x14ac:dyDescent="0.6">
      <c r="A35" s="2" t="s">
        <v>7</v>
      </c>
      <c r="B35" s="30"/>
      <c r="C35" s="30"/>
      <c r="D35" s="30"/>
      <c r="E35" s="39"/>
    </row>
    <row r="36" spans="1:5" x14ac:dyDescent="0.6">
      <c r="A36" s="2" t="s">
        <v>8</v>
      </c>
      <c r="B36" s="30"/>
      <c r="C36" s="30"/>
      <c r="D36" s="30"/>
      <c r="E36" s="39"/>
    </row>
    <row r="37" spans="1:5" x14ac:dyDescent="0.6">
      <c r="A37" s="2" t="s">
        <v>9</v>
      </c>
      <c r="B37" s="30"/>
      <c r="C37" s="30"/>
      <c r="D37" s="30"/>
      <c r="E37" s="39"/>
    </row>
    <row r="38" spans="1:5" x14ac:dyDescent="0.6">
      <c r="A38" s="2" t="s">
        <v>10</v>
      </c>
      <c r="B38" s="30"/>
      <c r="C38" s="30"/>
      <c r="D38" s="30"/>
      <c r="E38" s="39"/>
    </row>
    <row r="39" spans="1:5" x14ac:dyDescent="0.6">
      <c r="A39" s="2" t="s">
        <v>11</v>
      </c>
      <c r="B39" s="30"/>
      <c r="C39" s="30"/>
      <c r="D39" s="30"/>
      <c r="E39" s="34"/>
    </row>
    <row r="40" spans="1:5" x14ac:dyDescent="0.6">
      <c r="B40" s="1"/>
      <c r="C40" s="1"/>
      <c r="D40" s="1"/>
    </row>
    <row r="41" spans="1:5" x14ac:dyDescent="0.6">
      <c r="A41" s="2" t="s">
        <v>35</v>
      </c>
      <c r="B41" s="30"/>
      <c r="C41" s="30"/>
      <c r="D41" s="30"/>
      <c r="E41" s="39"/>
    </row>
    <row r="42" spans="1:5" x14ac:dyDescent="0.6">
      <c r="A42" s="2" t="s">
        <v>26</v>
      </c>
      <c r="B42" s="47"/>
      <c r="C42" s="47"/>
      <c r="D42" s="47"/>
      <c r="E42" s="39"/>
    </row>
    <row r="43" spans="1:5" x14ac:dyDescent="0.6">
      <c r="A43" s="2" t="s">
        <v>28</v>
      </c>
      <c r="B43" s="30"/>
      <c r="C43" s="30"/>
      <c r="D43" s="30"/>
      <c r="E43" s="39"/>
    </row>
    <row r="44" spans="1:5" x14ac:dyDescent="0.6">
      <c r="A44" s="2" t="s">
        <v>19</v>
      </c>
      <c r="B44" s="30"/>
      <c r="C44" s="30"/>
      <c r="D44" s="30"/>
      <c r="E44" s="39"/>
    </row>
    <row r="45" spans="1:5" x14ac:dyDescent="0.6">
      <c r="A45" s="2" t="s">
        <v>37</v>
      </c>
      <c r="B45" s="30"/>
      <c r="C45" s="30"/>
      <c r="D45" s="30"/>
      <c r="E45" s="39"/>
    </row>
    <row r="46" spans="1:5" x14ac:dyDescent="0.6">
      <c r="A46" s="2" t="s">
        <v>38</v>
      </c>
      <c r="B46" s="30"/>
      <c r="C46" s="30"/>
      <c r="D46" s="30"/>
      <c r="E46" s="34"/>
    </row>
    <row r="47" spans="1:5" x14ac:dyDescent="0.6">
      <c r="A47" s="4" t="s">
        <v>39</v>
      </c>
      <c r="B47" s="30"/>
      <c r="C47" s="30"/>
      <c r="D47" s="30"/>
      <c r="E47" s="3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표준화방향</vt:lpstr>
      <vt:lpstr>생산자물가지수</vt:lpstr>
      <vt:lpstr>합계</vt:lpstr>
      <vt:lpstr>중대형chp</vt:lpstr>
      <vt:lpstr>동탄</vt:lpstr>
      <vt:lpstr>화성</vt:lpstr>
      <vt:lpstr>파주</vt:lpstr>
      <vt:lpstr>판교</vt:lpstr>
      <vt:lpstr>광교</vt:lpstr>
      <vt:lpstr>삼송</vt:lpstr>
      <vt:lpstr>양산</vt:lpstr>
      <vt:lpstr>대구</vt:lpstr>
      <vt:lpstr>청주</vt:lpstr>
      <vt:lpstr>소형CHP(여기부터)</vt:lpstr>
      <vt:lpstr>강남</vt:lpstr>
      <vt:lpstr>수원</vt:lpstr>
      <vt:lpstr>광주전남</vt:lpstr>
      <vt:lpstr>DH</vt:lpstr>
      <vt:lpstr>중앙</vt:lpstr>
      <vt:lpstr>분당</vt:lpstr>
      <vt:lpstr>고양</vt:lpstr>
      <vt:lpstr>용인</vt:lpstr>
      <vt:lpstr>세종</vt:lpstr>
      <vt:lpstr>김해</vt:lpstr>
      <vt:lpstr>평택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ProfileAdm</dc:creator>
  <cp:lastModifiedBy>User</cp:lastModifiedBy>
  <dcterms:created xsi:type="dcterms:W3CDTF">2023-08-28T04:24:03Z</dcterms:created>
  <dcterms:modified xsi:type="dcterms:W3CDTF">2026-08-03T05:05:08Z</dcterms:modified>
</cp:coreProperties>
</file>